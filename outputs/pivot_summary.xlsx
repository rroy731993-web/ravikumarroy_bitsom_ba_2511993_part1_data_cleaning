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1\data\"/>
    </mc:Choice>
  </mc:AlternateContent>
  <xr:revisionPtr revIDLastSave="0" documentId="8_{C5C9948A-BA49-4524-850D-D6381F2C0832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Sales_Profit_By_Region" sheetId="4" r:id="rId1"/>
    <sheet name="Category_Subcategory" sheetId="5" r:id="rId2"/>
    <sheet name="Order_Count_By_Ship_Mode" sheetId="6" r:id="rId3"/>
    <sheet name="Profit_Margin_By_Segment" sheetId="7" r:id="rId4"/>
    <sheet name="Order_Status_By_Region" sheetId="8" r:id="rId5"/>
    <sheet name="Monthly_Sales_Trend" sheetId="9" r:id="rId6"/>
    <sheet name="raw_orders" sheetId="1" r:id="rId7"/>
  </sheets>
  <definedNames>
    <definedName name="_xlnm._FilterDatabase" localSheetId="6" hidden="1">raw_orders!$A$1:$AJ$933</definedName>
  </definedNames>
  <calcPr calcId="191029"/>
  <pivotCaches>
    <pivotCache cacheId="14" r:id="rId8"/>
  </pivotCaches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2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K416" i="1" s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K886" i="1" s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3" i="1"/>
  <c r="AB4" i="1"/>
  <c r="AB5" i="1"/>
  <c r="AB6" i="1"/>
  <c r="AB7" i="1"/>
  <c r="AB8" i="1"/>
  <c r="AB9" i="1"/>
  <c r="AB10" i="1"/>
  <c r="AB11" i="1"/>
  <c r="AB12" i="1"/>
  <c r="AB13" i="1"/>
  <c r="AB14" i="1"/>
  <c r="AB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K43" i="1" s="1"/>
  <c r="AJ44" i="1"/>
  <c r="AJ45" i="1"/>
  <c r="AK45" i="1" s="1"/>
  <c r="AJ46" i="1"/>
  <c r="AJ47" i="1"/>
  <c r="AJ48" i="1"/>
  <c r="AJ49" i="1"/>
  <c r="AJ50" i="1"/>
  <c r="AJ51" i="1"/>
  <c r="AK51" i="1" s="1"/>
  <c r="AJ52" i="1"/>
  <c r="AK52" i="1" s="1"/>
  <c r="AJ53" i="1"/>
  <c r="AJ54" i="1"/>
  <c r="AJ55" i="1"/>
  <c r="AJ56" i="1"/>
  <c r="AJ57" i="1"/>
  <c r="AJ58" i="1"/>
  <c r="AJ59" i="1"/>
  <c r="AK59" i="1" s="1"/>
  <c r="AJ60" i="1"/>
  <c r="AJ61" i="1"/>
  <c r="AJ62" i="1"/>
  <c r="AJ63" i="1"/>
  <c r="AJ64" i="1"/>
  <c r="AJ65" i="1"/>
  <c r="AJ66" i="1"/>
  <c r="AJ67" i="1"/>
  <c r="AK67" i="1" s="1"/>
  <c r="AJ68" i="1"/>
  <c r="AJ69" i="1"/>
  <c r="AK69" i="1" s="1"/>
  <c r="AJ70" i="1"/>
  <c r="AJ71" i="1"/>
  <c r="AJ72" i="1"/>
  <c r="AK72" i="1" s="1"/>
  <c r="AJ73" i="1"/>
  <c r="AJ74" i="1"/>
  <c r="AJ75" i="1"/>
  <c r="AJ76" i="1"/>
  <c r="AJ77" i="1"/>
  <c r="AJ78" i="1"/>
  <c r="AJ79" i="1"/>
  <c r="AJ80" i="1"/>
  <c r="AK80" i="1" s="1"/>
  <c r="AJ81" i="1"/>
  <c r="AJ82" i="1"/>
  <c r="AJ83" i="1"/>
  <c r="AJ84" i="1"/>
  <c r="AJ85" i="1"/>
  <c r="AJ86" i="1"/>
  <c r="AJ87" i="1"/>
  <c r="AK87" i="1" s="1"/>
  <c r="AJ88" i="1"/>
  <c r="AK88" i="1" s="1"/>
  <c r="AJ89" i="1"/>
  <c r="AJ90" i="1"/>
  <c r="AJ91" i="1"/>
  <c r="AK91" i="1" s="1"/>
  <c r="AJ92" i="1"/>
  <c r="AJ93" i="1"/>
  <c r="AK93" i="1" s="1"/>
  <c r="AJ94" i="1"/>
  <c r="AJ95" i="1"/>
  <c r="AJ96" i="1"/>
  <c r="AJ97" i="1"/>
  <c r="AJ98" i="1"/>
  <c r="AJ99" i="1"/>
  <c r="AJ100" i="1"/>
  <c r="AJ101" i="1"/>
  <c r="AJ102" i="1"/>
  <c r="AJ103" i="1"/>
  <c r="AK103" i="1" s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K115" i="1" s="1"/>
  <c r="AJ116" i="1"/>
  <c r="AJ117" i="1"/>
  <c r="AJ118" i="1"/>
  <c r="AJ119" i="1"/>
  <c r="AJ120" i="1"/>
  <c r="AK120" i="1" s="1"/>
  <c r="AJ121" i="1"/>
  <c r="AJ122" i="1"/>
  <c r="AJ123" i="1"/>
  <c r="AJ124" i="1"/>
  <c r="AJ125" i="1"/>
  <c r="AJ126" i="1"/>
  <c r="AJ127" i="1"/>
  <c r="AK127" i="1" s="1"/>
  <c r="AJ128" i="1"/>
  <c r="AJ129" i="1"/>
  <c r="AJ130" i="1"/>
  <c r="AJ131" i="1"/>
  <c r="AJ132" i="1"/>
  <c r="AK132" i="1" s="1"/>
  <c r="AJ133" i="1"/>
  <c r="AJ134" i="1"/>
  <c r="AK134" i="1" s="1"/>
  <c r="AJ135" i="1"/>
  <c r="AK135" i="1" s="1"/>
  <c r="AJ136" i="1"/>
  <c r="AJ137" i="1"/>
  <c r="AJ138" i="1"/>
  <c r="AJ139" i="1"/>
  <c r="AK139" i="1" s="1"/>
  <c r="AJ140" i="1"/>
  <c r="AJ141" i="1"/>
  <c r="AJ142" i="1"/>
  <c r="AJ143" i="1"/>
  <c r="AJ144" i="1"/>
  <c r="AK144" i="1" s="1"/>
  <c r="AJ145" i="1"/>
  <c r="AJ146" i="1"/>
  <c r="AK146" i="1" s="1"/>
  <c r="AJ147" i="1"/>
  <c r="AK147" i="1" s="1"/>
  <c r="AJ148" i="1"/>
  <c r="AK148" i="1" s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K168" i="1" s="1"/>
  <c r="AJ169" i="1"/>
  <c r="AJ170" i="1"/>
  <c r="AJ171" i="1"/>
  <c r="AJ172" i="1"/>
  <c r="AJ173" i="1"/>
  <c r="AJ174" i="1"/>
  <c r="AJ175" i="1"/>
  <c r="AJ176" i="1"/>
  <c r="AK176" i="1" s="1"/>
  <c r="AJ177" i="1"/>
  <c r="AJ178" i="1"/>
  <c r="AJ179" i="1"/>
  <c r="AJ180" i="1"/>
  <c r="AK180" i="1" s="1"/>
  <c r="AJ181" i="1"/>
  <c r="AJ182" i="1"/>
  <c r="AJ183" i="1"/>
  <c r="AJ184" i="1"/>
  <c r="AJ185" i="1"/>
  <c r="AJ186" i="1"/>
  <c r="AK186" i="1" s="1"/>
  <c r="AJ187" i="1"/>
  <c r="AK187" i="1" s="1"/>
  <c r="AJ188" i="1"/>
  <c r="AJ189" i="1"/>
  <c r="AJ190" i="1"/>
  <c r="AJ191" i="1"/>
  <c r="AJ192" i="1"/>
  <c r="AJ193" i="1"/>
  <c r="AJ194" i="1"/>
  <c r="AK194" i="1" s="1"/>
  <c r="AJ195" i="1"/>
  <c r="AJ196" i="1"/>
  <c r="AK196" i="1" s="1"/>
  <c r="AJ197" i="1"/>
  <c r="AJ198" i="1"/>
  <c r="AJ199" i="1"/>
  <c r="AK199" i="1" s="1"/>
  <c r="AJ200" i="1"/>
  <c r="AJ201" i="1"/>
  <c r="AJ202" i="1"/>
  <c r="AJ203" i="1"/>
  <c r="AJ204" i="1"/>
  <c r="AJ205" i="1"/>
  <c r="AJ206" i="1"/>
  <c r="AK206" i="1" s="1"/>
  <c r="AJ207" i="1"/>
  <c r="AJ208" i="1"/>
  <c r="AJ209" i="1"/>
  <c r="AJ210" i="1"/>
  <c r="AJ211" i="1"/>
  <c r="AK211" i="1" s="1"/>
  <c r="AJ212" i="1"/>
  <c r="AJ213" i="1"/>
  <c r="AJ214" i="1"/>
  <c r="AK214" i="1" s="1"/>
  <c r="AJ215" i="1"/>
  <c r="AJ216" i="1"/>
  <c r="AJ217" i="1"/>
  <c r="AJ218" i="1"/>
  <c r="AJ219" i="1"/>
  <c r="AJ220" i="1"/>
  <c r="AJ221" i="1"/>
  <c r="AJ222" i="1"/>
  <c r="AJ223" i="1"/>
  <c r="AK223" i="1" s="1"/>
  <c r="AJ224" i="1"/>
  <c r="AJ225" i="1"/>
  <c r="AJ226" i="1"/>
  <c r="AK226" i="1" s="1"/>
  <c r="AJ227" i="1"/>
  <c r="AJ228" i="1"/>
  <c r="AJ229" i="1"/>
  <c r="AJ230" i="1"/>
  <c r="AJ231" i="1"/>
  <c r="AJ232" i="1"/>
  <c r="AJ233" i="1"/>
  <c r="AJ234" i="1"/>
  <c r="AJ235" i="1"/>
  <c r="AK235" i="1" s="1"/>
  <c r="AJ236" i="1"/>
  <c r="AJ237" i="1"/>
  <c r="AJ238" i="1"/>
  <c r="AJ239" i="1"/>
  <c r="AJ240" i="1"/>
  <c r="AK240" i="1" s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K252" i="1" s="1"/>
  <c r="AJ253" i="1"/>
  <c r="AJ254" i="1"/>
  <c r="AJ255" i="1"/>
  <c r="AJ256" i="1"/>
  <c r="AJ257" i="1"/>
  <c r="AJ258" i="1"/>
  <c r="AJ259" i="1"/>
  <c r="AK259" i="1" s="1"/>
  <c r="AJ260" i="1"/>
  <c r="AJ261" i="1"/>
  <c r="AJ262" i="1"/>
  <c r="AJ263" i="1"/>
  <c r="AJ264" i="1"/>
  <c r="AK264" i="1" s="1"/>
  <c r="AJ265" i="1"/>
  <c r="AJ266" i="1"/>
  <c r="AJ267" i="1"/>
  <c r="AJ268" i="1"/>
  <c r="AJ269" i="1"/>
  <c r="AJ270" i="1"/>
  <c r="AJ271" i="1"/>
  <c r="AK271" i="1" s="1"/>
  <c r="AJ272" i="1"/>
  <c r="AJ273" i="1"/>
  <c r="AJ274" i="1"/>
  <c r="AJ275" i="1"/>
  <c r="AJ276" i="1"/>
  <c r="AK276" i="1" s="1"/>
  <c r="AJ277" i="1"/>
  <c r="AJ278" i="1"/>
  <c r="AK278" i="1" s="1"/>
  <c r="AJ279" i="1"/>
  <c r="AK279" i="1" s="1"/>
  <c r="AJ280" i="1"/>
  <c r="AJ281" i="1"/>
  <c r="AJ282" i="1"/>
  <c r="AJ283" i="1"/>
  <c r="AK283" i="1" s="1"/>
  <c r="AJ284" i="1"/>
  <c r="AJ285" i="1"/>
  <c r="AJ286" i="1"/>
  <c r="AJ287" i="1"/>
  <c r="AJ288" i="1"/>
  <c r="AJ289" i="1"/>
  <c r="AJ290" i="1"/>
  <c r="AK290" i="1" s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K312" i="1" s="1"/>
  <c r="AJ313" i="1"/>
  <c r="AJ314" i="1"/>
  <c r="AJ315" i="1"/>
  <c r="AJ316" i="1"/>
  <c r="AJ317" i="1"/>
  <c r="AJ318" i="1"/>
  <c r="AJ319" i="1"/>
  <c r="AJ320" i="1"/>
  <c r="AK320" i="1" s="1"/>
  <c r="AJ321" i="1"/>
  <c r="AJ322" i="1"/>
  <c r="AJ323" i="1"/>
  <c r="AK323" i="1" s="1"/>
  <c r="AJ324" i="1"/>
  <c r="AK324" i="1" s="1"/>
  <c r="AJ325" i="1"/>
  <c r="AJ326" i="1"/>
  <c r="AJ327" i="1"/>
  <c r="AJ328" i="1"/>
  <c r="AJ329" i="1"/>
  <c r="AJ330" i="1"/>
  <c r="AJ331" i="1"/>
  <c r="AK331" i="1" s="1"/>
  <c r="AJ332" i="1"/>
  <c r="AJ333" i="1"/>
  <c r="AJ334" i="1"/>
  <c r="AJ335" i="1"/>
  <c r="AJ336" i="1"/>
  <c r="AK336" i="1" s="1"/>
  <c r="AJ337" i="1"/>
  <c r="AJ338" i="1"/>
  <c r="AJ339" i="1"/>
  <c r="AJ340" i="1"/>
  <c r="AJ341" i="1"/>
  <c r="AJ342" i="1"/>
  <c r="AJ343" i="1"/>
  <c r="AK343" i="1" s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K355" i="1" s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K367" i="1" s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K379" i="1" s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K395" i="1" s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K408" i="1" s="1"/>
  <c r="AJ409" i="1"/>
  <c r="AJ410" i="1"/>
  <c r="AJ411" i="1"/>
  <c r="AJ412" i="1"/>
  <c r="AJ413" i="1"/>
  <c r="AJ414" i="1"/>
  <c r="AJ415" i="1"/>
  <c r="AK415" i="1" s="1"/>
  <c r="AJ416" i="1"/>
  <c r="AJ417" i="1"/>
  <c r="AJ418" i="1"/>
  <c r="AJ419" i="1"/>
  <c r="AJ420" i="1"/>
  <c r="AK420" i="1" s="1"/>
  <c r="AJ421" i="1"/>
  <c r="AJ422" i="1"/>
  <c r="AJ423" i="1"/>
  <c r="AK423" i="1" s="1"/>
  <c r="AJ424" i="1"/>
  <c r="AJ425" i="1"/>
  <c r="AJ426" i="1"/>
  <c r="AJ427" i="1"/>
  <c r="AK427" i="1" s="1"/>
  <c r="AJ428" i="1"/>
  <c r="AJ429" i="1"/>
  <c r="AJ430" i="1"/>
  <c r="AJ431" i="1"/>
  <c r="AJ432" i="1"/>
  <c r="AK432" i="1" s="1"/>
  <c r="AJ433" i="1"/>
  <c r="AJ434" i="1"/>
  <c r="AJ435" i="1"/>
  <c r="AJ436" i="1"/>
  <c r="AK436" i="1" s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K464" i="1" s="1"/>
  <c r="AJ465" i="1"/>
  <c r="AJ466" i="1"/>
  <c r="AJ467" i="1"/>
  <c r="AJ468" i="1"/>
  <c r="AK468" i="1" s="1"/>
  <c r="AJ469" i="1"/>
  <c r="AJ470" i="1"/>
  <c r="AJ471" i="1"/>
  <c r="AJ472" i="1"/>
  <c r="AJ473" i="1"/>
  <c r="AJ474" i="1"/>
  <c r="AJ475" i="1"/>
  <c r="AK475" i="1" s="1"/>
  <c r="AJ476" i="1"/>
  <c r="AJ477" i="1"/>
  <c r="AJ478" i="1"/>
  <c r="AJ479" i="1"/>
  <c r="AJ480" i="1"/>
  <c r="AJ481" i="1"/>
  <c r="AJ482" i="1"/>
  <c r="AJ483" i="1"/>
  <c r="AJ484" i="1"/>
  <c r="AK484" i="1" s="1"/>
  <c r="AJ485" i="1"/>
  <c r="AJ486" i="1"/>
  <c r="AJ487" i="1"/>
  <c r="AK487" i="1" s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K511" i="1" s="1"/>
  <c r="AJ512" i="1"/>
  <c r="AJ513" i="1"/>
  <c r="AJ514" i="1"/>
  <c r="AK514" i="1" s="1"/>
  <c r="AJ515" i="1"/>
  <c r="AJ516" i="1"/>
  <c r="AJ517" i="1"/>
  <c r="AJ518" i="1"/>
  <c r="AJ519" i="1"/>
  <c r="AJ520" i="1"/>
  <c r="AJ521" i="1"/>
  <c r="AJ522" i="1"/>
  <c r="AJ523" i="1"/>
  <c r="AK523" i="1" s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K547" i="1" s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K571" i="1" s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K608" i="1" s="1"/>
  <c r="AJ609" i="1"/>
  <c r="AJ610" i="1"/>
  <c r="AJ611" i="1"/>
  <c r="AJ612" i="1"/>
  <c r="AJ613" i="1"/>
  <c r="AJ614" i="1"/>
  <c r="AJ615" i="1"/>
  <c r="AJ616" i="1"/>
  <c r="AJ617" i="1"/>
  <c r="AJ618" i="1"/>
  <c r="AJ619" i="1"/>
  <c r="AK619" i="1" s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K631" i="1" s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K643" i="1" s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K667" i="1" s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K691" i="1" s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K703" i="1" s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K715" i="1" s="1"/>
  <c r="AJ716" i="1"/>
  <c r="AJ717" i="1"/>
  <c r="AJ718" i="1"/>
  <c r="AJ719" i="1"/>
  <c r="AJ720" i="1"/>
  <c r="AJ721" i="1"/>
  <c r="AJ722" i="1"/>
  <c r="AJ723" i="1"/>
  <c r="AJ724" i="1"/>
  <c r="AK724" i="1" s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K759" i="1" s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2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3" i="1"/>
  <c r="AA4" i="1"/>
  <c r="AA5" i="1"/>
  <c r="AA6" i="1"/>
  <c r="AA7" i="1"/>
  <c r="AA8" i="1"/>
  <c r="AA2" i="1"/>
  <c r="AK454" i="1" l="1"/>
  <c r="AK248" i="1"/>
  <c r="AK761" i="1"/>
  <c r="AK677" i="1"/>
  <c r="AK665" i="1"/>
  <c r="AK384" i="1"/>
  <c r="AK222" i="1"/>
  <c r="AK785" i="1"/>
  <c r="AK317" i="1"/>
  <c r="AK113" i="1"/>
  <c r="AK84" i="1"/>
  <c r="AK839" i="1"/>
  <c r="AK767" i="1"/>
  <c r="AK587" i="1"/>
  <c r="AK551" i="1"/>
  <c r="AK455" i="1"/>
  <c r="AK383" i="1"/>
  <c r="AK263" i="1"/>
  <c r="AK910" i="1"/>
  <c r="AK838" i="1"/>
  <c r="AK814" i="1"/>
  <c r="AK766" i="1"/>
  <c r="AK550" i="1"/>
  <c r="AK538" i="1"/>
  <c r="AK406" i="1"/>
  <c r="AK358" i="1"/>
  <c r="AK310" i="1"/>
  <c r="AK262" i="1"/>
  <c r="AK154" i="1"/>
  <c r="AK106" i="1"/>
  <c r="AK58" i="1"/>
  <c r="AK128" i="1"/>
  <c r="AK305" i="1"/>
  <c r="AK913" i="1"/>
  <c r="AK911" i="1"/>
  <c r="AK851" i="1"/>
  <c r="AK803" i="1"/>
  <c r="AK299" i="1"/>
  <c r="AK155" i="1"/>
  <c r="AK107" i="1"/>
  <c r="AK83" i="1"/>
  <c r="AK874" i="1"/>
  <c r="AK850" i="1"/>
  <c r="AK802" i="1"/>
  <c r="AK754" i="1"/>
  <c r="AK694" i="1"/>
  <c r="AK658" i="1"/>
  <c r="AK502" i="1"/>
  <c r="AK166" i="1"/>
  <c r="AK656" i="1"/>
  <c r="AK584" i="1"/>
  <c r="AK512" i="1"/>
  <c r="AK404" i="1"/>
  <c r="AK344" i="1"/>
  <c r="AK212" i="1"/>
  <c r="AK44" i="1"/>
  <c r="AK499" i="1"/>
  <c r="AK893" i="1"/>
  <c r="AK833" i="1"/>
  <c r="AK797" i="1"/>
  <c r="AK689" i="1"/>
  <c r="AK629" i="1"/>
  <c r="AK605" i="1"/>
  <c r="AK593" i="1"/>
  <c r="AK545" i="1"/>
  <c r="AK521" i="1"/>
  <c r="AK473" i="1"/>
  <c r="AK461" i="1"/>
  <c r="AK341" i="1"/>
  <c r="AK257" i="1"/>
  <c r="AK173" i="1"/>
  <c r="AK53" i="1"/>
  <c r="AK41" i="1"/>
  <c r="AK898" i="1"/>
  <c r="AK598" i="1"/>
  <c r="AK250" i="1"/>
  <c r="AK716" i="1"/>
  <c r="AK692" i="1"/>
  <c r="AK644" i="1"/>
  <c r="AK524" i="1"/>
  <c r="AK356" i="1"/>
  <c r="AK332" i="1"/>
  <c r="AK284" i="1"/>
  <c r="AK260" i="1"/>
  <c r="AK224" i="1"/>
  <c r="AK140" i="1"/>
  <c r="AK56" i="1"/>
  <c r="AK728" i="1"/>
  <c r="AK632" i="1"/>
  <c r="AK548" i="1"/>
  <c r="AK500" i="1"/>
  <c r="AK440" i="1"/>
  <c r="AK380" i="1"/>
  <c r="AK296" i="1"/>
  <c r="AK200" i="1"/>
  <c r="AK92" i="1"/>
  <c r="AK462" i="1"/>
  <c r="AK251" i="1"/>
  <c r="AK790" i="1"/>
  <c r="AK704" i="1"/>
  <c r="AK620" i="1"/>
  <c r="AK536" i="1"/>
  <c r="AK488" i="1"/>
  <c r="AK428" i="1"/>
  <c r="AK152" i="1"/>
  <c r="AK13" i="1"/>
  <c r="AK721" i="1"/>
  <c r="AK668" i="1"/>
  <c r="AK572" i="1"/>
  <c r="AK476" i="1"/>
  <c r="AK392" i="1"/>
  <c r="AK188" i="1"/>
  <c r="AK869" i="1"/>
  <c r="AK5" i="1"/>
  <c r="AK868" i="1"/>
  <c r="AK388" i="1"/>
  <c r="AK747" i="1"/>
  <c r="AK680" i="1"/>
  <c r="AK560" i="1"/>
  <c r="AK368" i="1"/>
  <c r="AK236" i="1"/>
  <c r="AK116" i="1"/>
  <c r="AK68" i="1"/>
  <c r="AK20" i="1"/>
  <c r="AK559" i="1"/>
  <c r="AK558" i="1"/>
  <c r="AK8" i="1"/>
  <c r="AK749" i="1"/>
  <c r="AK197" i="1"/>
  <c r="AK302" i="1"/>
  <c r="AK841" i="1"/>
  <c r="AK625" i="1"/>
  <c r="AK421" i="1"/>
  <c r="AK301" i="1"/>
  <c r="AK37" i="1"/>
  <c r="AK672" i="1"/>
  <c r="AK540" i="1"/>
  <c r="AK456" i="1"/>
  <c r="AK396" i="1"/>
  <c r="AK108" i="1"/>
  <c r="AK11" i="1"/>
  <c r="AK779" i="1"/>
  <c r="AK743" i="1"/>
  <c r="AK683" i="1"/>
  <c r="AK443" i="1"/>
  <c r="AK71" i="1"/>
  <c r="AK272" i="1"/>
  <c r="AK389" i="1"/>
  <c r="AK626" i="1"/>
  <c r="AK590" i="1"/>
  <c r="AK434" i="1"/>
  <c r="AK338" i="1"/>
  <c r="AK266" i="1"/>
  <c r="AK805" i="1"/>
  <c r="AK637" i="1"/>
  <c r="AK589" i="1"/>
  <c r="AK433" i="1"/>
  <c r="AK337" i="1"/>
  <c r="AK145" i="1"/>
  <c r="AK862" i="1"/>
  <c r="AK826" i="1"/>
  <c r="AK778" i="1"/>
  <c r="AK742" i="1"/>
  <c r="AK730" i="1"/>
  <c r="AK646" i="1"/>
  <c r="AK442" i="1"/>
  <c r="AK370" i="1"/>
  <c r="AK118" i="1"/>
  <c r="AK22" i="1"/>
  <c r="AK880" i="1"/>
  <c r="AK844" i="1"/>
  <c r="AK796" i="1"/>
  <c r="AK748" i="1"/>
  <c r="AK676" i="1"/>
  <c r="AK652" i="1"/>
  <c r="AK628" i="1"/>
  <c r="AK580" i="1"/>
  <c r="AK532" i="1"/>
  <c r="AK508" i="1"/>
  <c r="AK460" i="1"/>
  <c r="AK376" i="1"/>
  <c r="AK316" i="1"/>
  <c r="AK292" i="1"/>
  <c r="AK220" i="1"/>
  <c r="AK160" i="1"/>
  <c r="AK100" i="1"/>
  <c r="AK40" i="1"/>
  <c r="AK904" i="1"/>
  <c r="AK892" i="1"/>
  <c r="AK856" i="1"/>
  <c r="AK832" i="1"/>
  <c r="AK820" i="1"/>
  <c r="AK808" i="1"/>
  <c r="AK784" i="1"/>
  <c r="AK772" i="1"/>
  <c r="AK760" i="1"/>
  <c r="AK736" i="1"/>
  <c r="AK664" i="1"/>
  <c r="AK616" i="1"/>
  <c r="AK604" i="1"/>
  <c r="AK592" i="1"/>
  <c r="AK520" i="1"/>
  <c r="AK472" i="1"/>
  <c r="AK448" i="1"/>
  <c r="AK364" i="1"/>
  <c r="AK340" i="1"/>
  <c r="AK328" i="1"/>
  <c r="AK304" i="1"/>
  <c r="AK244" i="1"/>
  <c r="AK232" i="1"/>
  <c r="AK184" i="1"/>
  <c r="AK172" i="1"/>
  <c r="AK76" i="1"/>
  <c r="AK28" i="1"/>
  <c r="AK4" i="1"/>
  <c r="AK903" i="1"/>
  <c r="AK891" i="1"/>
  <c r="AK867" i="1"/>
  <c r="AK855" i="1"/>
  <c r="AK831" i="1"/>
  <c r="AK819" i="1"/>
  <c r="AK795" i="1"/>
  <c r="AK783" i="1"/>
  <c r="AK711" i="1"/>
  <c r="AK435" i="1"/>
  <c r="AK231" i="1"/>
  <c r="AK902" i="1"/>
  <c r="AK866" i="1"/>
  <c r="AK830" i="1"/>
  <c r="AK794" i="1"/>
  <c r="AK758" i="1"/>
  <c r="AK722" i="1"/>
  <c r="AK710" i="1"/>
  <c r="AK578" i="1"/>
  <c r="AK566" i="1"/>
  <c r="AK554" i="1"/>
  <c r="AK494" i="1"/>
  <c r="AK482" i="1"/>
  <c r="AK422" i="1"/>
  <c r="AK193" i="1"/>
  <c r="AK576" i="1"/>
  <c r="AK528" i="1"/>
  <c r="AK480" i="1"/>
  <c r="AK403" i="1"/>
  <c r="AK702" i="1"/>
  <c r="AK654" i="1"/>
  <c r="AK606" i="1"/>
  <c r="AK510" i="1"/>
  <c r="AK498" i="1"/>
  <c r="AK474" i="1"/>
  <c r="AK414" i="1"/>
  <c r="AK366" i="1"/>
  <c r="AK318" i="1"/>
  <c r="AK270" i="1"/>
  <c r="AK210" i="1"/>
  <c r="AK126" i="1"/>
  <c r="AK723" i="1"/>
  <c r="AK615" i="1"/>
  <c r="AK567" i="1"/>
  <c r="AK519" i="1"/>
  <c r="AK327" i="1"/>
  <c r="AK3" i="1"/>
  <c r="AK877" i="1"/>
  <c r="AK769" i="1"/>
  <c r="AK733" i="1"/>
  <c r="AK709" i="1"/>
  <c r="AK685" i="1"/>
  <c r="AK577" i="1"/>
  <c r="AK493" i="1"/>
  <c r="AK481" i="1"/>
  <c r="AK445" i="1"/>
  <c r="AK397" i="1"/>
  <c r="AK289" i="1"/>
  <c r="AK205" i="1"/>
  <c r="AK133" i="1"/>
  <c r="AK61" i="1"/>
  <c r="AK684" i="1"/>
  <c r="AK288" i="1"/>
  <c r="AK192" i="1"/>
  <c r="AK36" i="1"/>
  <c r="AK24" i="1"/>
  <c r="AK655" i="1"/>
  <c r="AK905" i="1"/>
  <c r="AK881" i="1"/>
  <c r="AK857" i="1"/>
  <c r="AK845" i="1"/>
  <c r="AK821" i="1"/>
  <c r="AK809" i="1"/>
  <c r="AK773" i="1"/>
  <c r="AK737" i="1"/>
  <c r="AK641" i="1"/>
  <c r="AK617" i="1"/>
  <c r="AK533" i="1"/>
  <c r="AK497" i="1"/>
  <c r="AK485" i="1"/>
  <c r="AK449" i="1"/>
  <c r="AK401" i="1"/>
  <c r="AK377" i="1"/>
  <c r="AK353" i="1"/>
  <c r="AK329" i="1"/>
  <c r="AK245" i="1"/>
  <c r="AK233" i="1"/>
  <c r="AK209" i="1"/>
  <c r="AK185" i="1"/>
  <c r="AK161" i="1"/>
  <c r="AK77" i="1"/>
  <c r="AK29" i="1"/>
  <c r="AK875" i="1"/>
  <c r="AK815" i="1"/>
  <c r="AK671" i="1"/>
  <c r="AK599" i="1"/>
  <c r="AK539" i="1"/>
  <c r="AK167" i="1"/>
  <c r="AK718" i="1"/>
  <c r="AK682" i="1"/>
  <c r="AK670" i="1"/>
  <c r="AK586" i="1"/>
  <c r="AK574" i="1"/>
  <c r="AK526" i="1"/>
  <c r="AK430" i="1"/>
  <c r="AK394" i="1"/>
  <c r="AK382" i="1"/>
  <c r="AK298" i="1"/>
  <c r="AK286" i="1"/>
  <c r="AK238" i="1"/>
  <c r="AK142" i="1"/>
  <c r="AK82" i="1"/>
  <c r="AK9" i="1"/>
  <c r="AK10" i="1"/>
  <c r="AK885" i="1"/>
  <c r="AK849" i="1"/>
  <c r="AK813" i="1"/>
  <c r="AK777" i="1"/>
  <c r="AK741" i="1"/>
  <c r="AK12" i="1"/>
  <c r="AK887" i="1"/>
  <c r="AK731" i="1"/>
  <c r="AK611" i="1"/>
  <c r="AK908" i="1"/>
  <c r="AK896" i="1"/>
  <c r="AK884" i="1"/>
  <c r="AK872" i="1"/>
  <c r="AK860" i="1"/>
  <c r="AK848" i="1"/>
  <c r="AK836" i="1"/>
  <c r="AK824" i="1"/>
  <c r="AK812" i="1"/>
  <c r="AK800" i="1"/>
  <c r="AK788" i="1"/>
  <c r="AK776" i="1"/>
  <c r="AK764" i="1"/>
  <c r="AK752" i="1"/>
  <c r="AK740" i="1"/>
  <c r="AK596" i="1"/>
  <c r="AK452" i="1"/>
  <c r="AK308" i="1"/>
  <c r="AK164" i="1"/>
  <c r="AK753" i="1"/>
  <c r="AK518" i="1"/>
  <c r="AK458" i="1"/>
  <c r="AK410" i="1"/>
  <c r="AK362" i="1"/>
  <c r="AK14" i="1"/>
  <c r="AK901" i="1"/>
  <c r="AK889" i="1"/>
  <c r="AK865" i="1"/>
  <c r="AK853" i="1"/>
  <c r="AK829" i="1"/>
  <c r="AK817" i="1"/>
  <c r="AK793" i="1"/>
  <c r="AK781" i="1"/>
  <c r="AK757" i="1"/>
  <c r="AK745" i="1"/>
  <c r="AK697" i="1"/>
  <c r="AK673" i="1"/>
  <c r="AK661" i="1"/>
  <c r="AK649" i="1"/>
  <c r="AK613" i="1"/>
  <c r="AK601" i="1"/>
  <c r="AK565" i="1"/>
  <c r="AK553" i="1"/>
  <c r="AK541" i="1"/>
  <c r="AK529" i="1"/>
  <c r="AK517" i="1"/>
  <c r="AK505" i="1"/>
  <c r="AK469" i="1"/>
  <c r="AK457" i="1"/>
  <c r="AK409" i="1"/>
  <c r="AK385" i="1"/>
  <c r="AK373" i="1"/>
  <c r="AK361" i="1"/>
  <c r="AK349" i="1"/>
  <c r="AK325" i="1"/>
  <c r="AK313" i="1"/>
  <c r="AK277" i="1"/>
  <c r="AK265" i="1"/>
  <c r="AK253" i="1"/>
  <c r="AK241" i="1"/>
  <c r="AK229" i="1"/>
  <c r="AK217" i="1"/>
  <c r="AK181" i="1"/>
  <c r="AK169" i="1"/>
  <c r="AK157" i="1"/>
  <c r="AK121" i="1"/>
  <c r="AK109" i="1"/>
  <c r="AK97" i="1"/>
  <c r="AK85" i="1"/>
  <c r="AK73" i="1"/>
  <c r="AK49" i="1"/>
  <c r="AK25" i="1"/>
  <c r="AK765" i="1"/>
  <c r="AK2" i="1"/>
  <c r="AK878" i="1"/>
  <c r="AK854" i="1"/>
  <c r="AK806" i="1"/>
  <c r="AK782" i="1"/>
  <c r="AK734" i="1"/>
  <c r="AK686" i="1"/>
  <c r="AK662" i="1"/>
  <c r="AK650" i="1"/>
  <c r="AK602" i="1"/>
  <c r="AK530" i="1"/>
  <c r="AK446" i="1"/>
  <c r="AK386" i="1"/>
  <c r="AK314" i="1"/>
  <c r="AK218" i="1"/>
  <c r="AK170" i="1"/>
  <c r="AK122" i="1"/>
  <c r="AK912" i="1"/>
  <c r="AK900" i="1"/>
  <c r="AK888" i="1"/>
  <c r="AK876" i="1"/>
  <c r="AK864" i="1"/>
  <c r="AK852" i="1"/>
  <c r="AK840" i="1"/>
  <c r="AK828" i="1"/>
  <c r="AK816" i="1"/>
  <c r="AK804" i="1"/>
  <c r="AK792" i="1"/>
  <c r="AK780" i="1"/>
  <c r="AK768" i="1"/>
  <c r="AK756" i="1"/>
  <c r="AK744" i="1"/>
  <c r="AK732" i="1"/>
  <c r="AK720" i="1"/>
  <c r="AK708" i="1"/>
  <c r="AK696" i="1"/>
  <c r="AK660" i="1"/>
  <c r="AK648" i="1"/>
  <c r="AK636" i="1"/>
  <c r="AK624" i="1"/>
  <c r="AK612" i="1"/>
  <c r="AK600" i="1"/>
  <c r="AK588" i="1"/>
  <c r="AK564" i="1"/>
  <c r="AK552" i="1"/>
  <c r="AK516" i="1"/>
  <c r="AK504" i="1"/>
  <c r="AK492" i="1"/>
  <c r="AK444" i="1"/>
  <c r="AK372" i="1"/>
  <c r="AK360" i="1"/>
  <c r="AK348" i="1"/>
  <c r="AK300" i="1"/>
  <c r="AK228" i="1"/>
  <c r="AK216" i="1"/>
  <c r="AK204" i="1"/>
  <c r="AK156" i="1"/>
  <c r="AK96" i="1"/>
  <c r="AK48" i="1"/>
  <c r="AK909" i="1"/>
  <c r="AK890" i="1"/>
  <c r="AK842" i="1"/>
  <c r="AK818" i="1"/>
  <c r="AK770" i="1"/>
  <c r="AK746" i="1"/>
  <c r="AK698" i="1"/>
  <c r="AK674" i="1"/>
  <c r="AK638" i="1"/>
  <c r="AK614" i="1"/>
  <c r="AK542" i="1"/>
  <c r="AK506" i="1"/>
  <c r="AK470" i="1"/>
  <c r="AK398" i="1"/>
  <c r="AK350" i="1"/>
  <c r="AK158" i="1"/>
  <c r="AK899" i="1"/>
  <c r="AK863" i="1"/>
  <c r="AK827" i="1"/>
  <c r="AK791" i="1"/>
  <c r="AK755" i="1"/>
  <c r="AK719" i="1"/>
  <c r="AK707" i="1"/>
  <c r="AK695" i="1"/>
  <c r="AK659" i="1"/>
  <c r="AK647" i="1"/>
  <c r="AK635" i="1"/>
  <c r="AK623" i="1"/>
  <c r="AK575" i="1"/>
  <c r="AK563" i="1"/>
  <c r="AK527" i="1"/>
  <c r="AK515" i="1"/>
  <c r="AK503" i="1"/>
  <c r="AK491" i="1"/>
  <c r="AK479" i="1"/>
  <c r="AK467" i="1"/>
  <c r="AK431" i="1"/>
  <c r="AK419" i="1"/>
  <c r="AK407" i="1"/>
  <c r="AK371" i="1"/>
  <c r="AK359" i="1"/>
  <c r="AK347" i="1"/>
  <c r="AK335" i="1"/>
  <c r="AK311" i="1"/>
  <c r="AK287" i="1"/>
  <c r="AK275" i="1"/>
  <c r="AK239" i="1"/>
  <c r="AK227" i="1"/>
  <c r="AK215" i="1"/>
  <c r="AK203" i="1"/>
  <c r="AK191" i="1"/>
  <c r="AK179" i="1"/>
  <c r="AK143" i="1"/>
  <c r="AK131" i="1"/>
  <c r="AK119" i="1"/>
  <c r="AK95" i="1"/>
  <c r="AK47" i="1"/>
  <c r="AK35" i="1"/>
  <c r="AK23" i="1"/>
  <c r="AK861" i="1"/>
  <c r="AK895" i="1"/>
  <c r="AK871" i="1"/>
  <c r="AK847" i="1"/>
  <c r="AK823" i="1"/>
  <c r="AK799" i="1"/>
  <c r="AK775" i="1"/>
  <c r="AK751" i="1"/>
  <c r="AK739" i="1"/>
  <c r="AK607" i="1"/>
  <c r="AK535" i="1"/>
  <c r="AK463" i="1"/>
  <c r="AK439" i="1"/>
  <c r="AK391" i="1"/>
  <c r="AK307" i="1"/>
  <c r="AK175" i="1"/>
  <c r="AK151" i="1"/>
  <c r="AK19" i="1"/>
  <c r="AK7" i="1"/>
  <c r="AK906" i="1"/>
  <c r="AK894" i="1"/>
  <c r="AK882" i="1"/>
  <c r="AK870" i="1"/>
  <c r="AK858" i="1"/>
  <c r="AK846" i="1"/>
  <c r="AK834" i="1"/>
  <c r="AK822" i="1"/>
  <c r="AK810" i="1"/>
  <c r="AK798" i="1"/>
  <c r="AK786" i="1"/>
  <c r="AK774" i="1"/>
  <c r="AK762" i="1"/>
  <c r="AK750" i="1"/>
  <c r="AK738" i="1"/>
  <c r="AK726" i="1"/>
  <c r="AK714" i="1"/>
  <c r="AK690" i="1"/>
  <c r="AK678" i="1"/>
  <c r="AK666" i="1"/>
  <c r="AK642" i="1"/>
  <c r="AK630" i="1"/>
  <c r="AK618" i="1"/>
  <c r="AK594" i="1"/>
  <c r="AK582" i="1"/>
  <c r="AK570" i="1"/>
  <c r="AK546" i="1"/>
  <c r="AK534" i="1"/>
  <c r="AK522" i="1"/>
  <c r="AK486" i="1"/>
  <c r="AK450" i="1"/>
  <c r="AK438" i="1"/>
  <c r="AK426" i="1"/>
  <c r="AK402" i="1"/>
  <c r="AK390" i="1"/>
  <c r="AK378" i="1"/>
  <c r="AK354" i="1"/>
  <c r="AK342" i="1"/>
  <c r="AK330" i="1"/>
  <c r="AK306" i="1"/>
  <c r="AK294" i="1"/>
  <c r="AK282" i="1"/>
  <c r="AK258" i="1"/>
  <c r="AK246" i="1"/>
  <c r="AK234" i="1"/>
  <c r="AK198" i="1"/>
  <c r="AK174" i="1"/>
  <c r="AK162" i="1"/>
  <c r="AK150" i="1"/>
  <c r="AK138" i="1"/>
  <c r="AK114" i="1"/>
  <c r="AK102" i="1"/>
  <c r="AK873" i="1"/>
  <c r="AK693" i="1"/>
  <c r="AK907" i="1"/>
  <c r="AK883" i="1"/>
  <c r="AK859" i="1"/>
  <c r="AK835" i="1"/>
  <c r="AK811" i="1"/>
  <c r="AK787" i="1"/>
  <c r="AK763" i="1"/>
  <c r="AK727" i="1"/>
  <c r="AK679" i="1"/>
  <c r="AK595" i="1"/>
  <c r="AK583" i="1"/>
  <c r="AK451" i="1"/>
  <c r="AK319" i="1"/>
  <c r="AK295" i="1"/>
  <c r="AK247" i="1"/>
  <c r="AK163" i="1"/>
  <c r="AK79" i="1"/>
  <c r="AK55" i="1"/>
  <c r="AK31" i="1"/>
  <c r="AK705" i="1"/>
  <c r="AK897" i="1"/>
  <c r="AK837" i="1"/>
  <c r="AK825" i="1"/>
  <c r="AK801" i="1"/>
  <c r="AK789" i="1"/>
  <c r="AK729" i="1"/>
  <c r="AK717" i="1"/>
  <c r="AK681" i="1"/>
  <c r="AK105" i="1"/>
  <c r="AK57" i="1"/>
  <c r="AK21" i="1"/>
  <c r="AK879" i="1"/>
  <c r="AK843" i="1"/>
  <c r="AK807" i="1"/>
  <c r="AK771" i="1"/>
  <c r="AK735" i="1"/>
  <c r="AK699" i="1"/>
  <c r="AK687" i="1"/>
  <c r="AK675" i="1"/>
  <c r="AK663" i="1"/>
  <c r="AK651" i="1"/>
  <c r="AK639" i="1"/>
  <c r="AK627" i="1"/>
  <c r="AK603" i="1"/>
  <c r="AK591" i="1"/>
  <c r="AK579" i="1"/>
  <c r="AK555" i="1"/>
  <c r="AK543" i="1"/>
  <c r="AK531" i="1"/>
  <c r="AK507" i="1"/>
  <c r="AK495" i="1"/>
  <c r="AK483" i="1"/>
  <c r="AK471" i="1"/>
  <c r="AK459" i="1"/>
  <c r="AK447" i="1"/>
  <c r="AK411" i="1"/>
  <c r="AK399" i="1"/>
  <c r="AK387" i="1"/>
  <c r="AK375" i="1"/>
  <c r="AK363" i="1"/>
  <c r="AK351" i="1"/>
  <c r="AK339" i="1"/>
  <c r="AK315" i="1"/>
  <c r="AK303" i="1"/>
  <c r="AK291" i="1"/>
  <c r="AK219" i="1"/>
  <c r="AK207" i="1"/>
  <c r="AK183" i="1"/>
  <c r="AK171" i="1"/>
  <c r="AK159" i="1"/>
  <c r="AK99" i="1"/>
  <c r="AK27" i="1"/>
  <c r="AK706" i="1"/>
  <c r="AK634" i="1"/>
  <c r="AK622" i="1"/>
  <c r="AK610" i="1"/>
  <c r="AK562" i="1"/>
  <c r="AK490" i="1"/>
  <c r="AK478" i="1"/>
  <c r="AK466" i="1"/>
  <c r="AK418" i="1"/>
  <c r="AK346" i="1"/>
  <c r="AK334" i="1"/>
  <c r="AK322" i="1"/>
  <c r="AK274" i="1"/>
  <c r="AK202" i="1"/>
  <c r="AK190" i="1"/>
  <c r="AK178" i="1"/>
  <c r="AK130" i="1"/>
  <c r="AK94" i="1"/>
  <c r="AK70" i="1"/>
  <c r="AK46" i="1"/>
  <c r="AK34" i="1"/>
  <c r="AK669" i="1"/>
  <c r="AK657" i="1"/>
  <c r="AK645" i="1"/>
  <c r="AK633" i="1"/>
  <c r="AK621" i="1"/>
  <c r="AK609" i="1"/>
  <c r="AK597" i="1"/>
  <c r="AK585" i="1"/>
  <c r="AK573" i="1"/>
  <c r="AK561" i="1"/>
  <c r="AK549" i="1"/>
  <c r="AK537" i="1"/>
  <c r="AK525" i="1"/>
  <c r="AK513" i="1"/>
  <c r="AK501" i="1"/>
  <c r="AK489" i="1"/>
  <c r="AK477" i="1"/>
  <c r="AK465" i="1"/>
  <c r="AK453" i="1"/>
  <c r="AK441" i="1"/>
  <c r="AK429" i="1"/>
  <c r="AK417" i="1"/>
  <c r="AK405" i="1"/>
  <c r="AK393" i="1"/>
  <c r="AK381" i="1"/>
  <c r="AK369" i="1"/>
  <c r="AK357" i="1"/>
  <c r="AK345" i="1"/>
  <c r="AK333" i="1"/>
  <c r="AK321" i="1"/>
  <c r="AK309" i="1"/>
  <c r="AK297" i="1"/>
  <c r="AK285" i="1"/>
  <c r="AK273" i="1"/>
  <c r="AK261" i="1"/>
  <c r="AK249" i="1"/>
  <c r="AK237" i="1"/>
  <c r="AK225" i="1"/>
  <c r="AK213" i="1"/>
  <c r="AK201" i="1"/>
  <c r="AK189" i="1"/>
  <c r="AK177" i="1"/>
  <c r="AK165" i="1"/>
  <c r="AK153" i="1"/>
  <c r="AK141" i="1"/>
  <c r="AK129" i="1"/>
  <c r="AK117" i="1"/>
  <c r="AK81" i="1"/>
  <c r="AK33" i="1"/>
  <c r="AK6" i="1"/>
  <c r="AK725" i="1"/>
  <c r="AK713" i="1"/>
  <c r="AK701" i="1"/>
  <c r="AK653" i="1"/>
  <c r="AK581" i="1"/>
  <c r="AK569" i="1"/>
  <c r="AK557" i="1"/>
  <c r="AK509" i="1"/>
  <c r="AK437" i="1"/>
  <c r="AK425" i="1"/>
  <c r="AK413" i="1"/>
  <c r="AK365" i="1"/>
  <c r="AK293" i="1"/>
  <c r="AK281" i="1"/>
  <c r="AK269" i="1"/>
  <c r="AK221" i="1"/>
  <c r="AK149" i="1"/>
  <c r="AK137" i="1"/>
  <c r="AK125" i="1"/>
  <c r="AK101" i="1"/>
  <c r="AK89" i="1"/>
  <c r="AK65" i="1"/>
  <c r="AK17" i="1"/>
  <c r="AK712" i="1"/>
  <c r="AK700" i="1"/>
  <c r="AK688" i="1"/>
  <c r="AK640" i="1"/>
  <c r="AK568" i="1"/>
  <c r="AK556" i="1"/>
  <c r="AK544" i="1"/>
  <c r="AK496" i="1"/>
  <c r="AK424" i="1"/>
  <c r="AK412" i="1"/>
  <c r="AK400" i="1"/>
  <c r="AK352" i="1"/>
  <c r="AK280" i="1"/>
  <c r="AK268" i="1"/>
  <c r="AK256" i="1"/>
  <c r="AK208" i="1"/>
  <c r="AK136" i="1"/>
  <c r="AK124" i="1"/>
  <c r="AK112" i="1"/>
  <c r="AK64" i="1"/>
  <c r="AK16" i="1"/>
  <c r="AK267" i="1"/>
  <c r="AK255" i="1"/>
  <c r="AK243" i="1"/>
  <c r="AK195" i="1"/>
  <c r="AK123" i="1"/>
  <c r="AK111" i="1"/>
  <c r="AK75" i="1"/>
  <c r="AK63" i="1"/>
  <c r="AK39" i="1"/>
  <c r="AK15" i="1"/>
  <c r="AK374" i="1"/>
  <c r="AK326" i="1"/>
  <c r="AK254" i="1"/>
  <c r="AK242" i="1"/>
  <c r="AK230" i="1"/>
  <c r="AK182" i="1"/>
  <c r="AK110" i="1"/>
  <c r="AK98" i="1"/>
  <c r="AK86" i="1"/>
  <c r="AK74" i="1"/>
  <c r="AK62" i="1"/>
  <c r="AK50" i="1"/>
  <c r="AK38" i="1"/>
  <c r="AK26" i="1"/>
  <c r="AK60" i="1"/>
  <c r="AK104" i="1"/>
  <c r="AK32" i="1"/>
  <c r="AK90" i="1"/>
  <c r="AK78" i="1"/>
  <c r="AK66" i="1"/>
  <c r="AK54" i="1"/>
  <c r="AK42" i="1"/>
  <c r="AK30" i="1"/>
  <c r="AK18" i="1"/>
  <c r="H438" i="1"/>
  <c r="AN438" i="1" s="1"/>
  <c r="H439" i="1"/>
  <c r="AN439" i="1" s="1"/>
  <c r="H440" i="1"/>
  <c r="AN440" i="1" s="1"/>
  <c r="H441" i="1"/>
  <c r="AN441" i="1" s="1"/>
  <c r="H442" i="1"/>
  <c r="AN442" i="1" s="1"/>
  <c r="H443" i="1"/>
  <c r="AN443" i="1" s="1"/>
  <c r="H444" i="1"/>
  <c r="AN444" i="1" s="1"/>
  <c r="H445" i="1"/>
  <c r="AN445" i="1" s="1"/>
  <c r="H446" i="1"/>
  <c r="AN446" i="1" s="1"/>
  <c r="H447" i="1"/>
  <c r="AN447" i="1" s="1"/>
  <c r="H448" i="1"/>
  <c r="AN448" i="1" s="1"/>
  <c r="H449" i="1"/>
  <c r="AN449" i="1" s="1"/>
  <c r="H450" i="1"/>
  <c r="AN450" i="1" s="1"/>
  <c r="H451" i="1"/>
  <c r="AN451" i="1" s="1"/>
  <c r="H452" i="1"/>
  <c r="AN452" i="1" s="1"/>
  <c r="H453" i="1"/>
  <c r="AN453" i="1" s="1"/>
  <c r="H454" i="1"/>
  <c r="AN454" i="1" s="1"/>
  <c r="H455" i="1"/>
  <c r="AN455" i="1" s="1"/>
  <c r="H456" i="1"/>
  <c r="AN456" i="1" s="1"/>
  <c r="H457" i="1"/>
  <c r="AN457" i="1" s="1"/>
  <c r="H458" i="1"/>
  <c r="AN458" i="1" s="1"/>
  <c r="H459" i="1"/>
  <c r="AN459" i="1" s="1"/>
  <c r="H460" i="1"/>
  <c r="AN460" i="1" s="1"/>
  <c r="H461" i="1"/>
  <c r="AN461" i="1" s="1"/>
  <c r="H462" i="1"/>
  <c r="AN462" i="1" s="1"/>
  <c r="H463" i="1"/>
  <c r="AN463" i="1" s="1"/>
  <c r="H464" i="1"/>
  <c r="AN464" i="1" s="1"/>
  <c r="H465" i="1"/>
  <c r="AN465" i="1" s="1"/>
  <c r="H466" i="1"/>
  <c r="AN466" i="1" s="1"/>
  <c r="H467" i="1"/>
  <c r="AN467" i="1" s="1"/>
  <c r="H468" i="1"/>
  <c r="AN468" i="1" s="1"/>
  <c r="H469" i="1"/>
  <c r="AN469" i="1" s="1"/>
  <c r="H470" i="1"/>
  <c r="AN470" i="1" s="1"/>
  <c r="H471" i="1"/>
  <c r="AN471" i="1" s="1"/>
  <c r="H472" i="1"/>
  <c r="AN472" i="1" s="1"/>
  <c r="H473" i="1"/>
  <c r="AN473" i="1" s="1"/>
  <c r="H474" i="1"/>
  <c r="AN474" i="1" s="1"/>
  <c r="H475" i="1"/>
  <c r="AN475" i="1" s="1"/>
  <c r="H476" i="1"/>
  <c r="AN476" i="1" s="1"/>
  <c r="H477" i="1"/>
  <c r="AN477" i="1" s="1"/>
  <c r="H478" i="1"/>
  <c r="AN478" i="1" s="1"/>
  <c r="H479" i="1"/>
  <c r="AN479" i="1" s="1"/>
  <c r="H480" i="1"/>
  <c r="AN480" i="1" s="1"/>
  <c r="H481" i="1"/>
  <c r="AN481" i="1" s="1"/>
  <c r="H482" i="1"/>
  <c r="AN482" i="1" s="1"/>
  <c r="H483" i="1"/>
  <c r="AN483" i="1" s="1"/>
  <c r="H484" i="1"/>
  <c r="AN484" i="1" s="1"/>
  <c r="H485" i="1"/>
  <c r="AN485" i="1" s="1"/>
  <c r="H486" i="1"/>
  <c r="AN486" i="1" s="1"/>
  <c r="H487" i="1"/>
  <c r="AN487" i="1" s="1"/>
  <c r="H488" i="1"/>
  <c r="AN488" i="1" s="1"/>
  <c r="H489" i="1"/>
  <c r="AN489" i="1" s="1"/>
  <c r="H490" i="1"/>
  <c r="AN490" i="1" s="1"/>
  <c r="H491" i="1"/>
  <c r="AN491" i="1" s="1"/>
  <c r="H492" i="1"/>
  <c r="AN492" i="1" s="1"/>
  <c r="H493" i="1"/>
  <c r="AN493" i="1" s="1"/>
  <c r="H494" i="1"/>
  <c r="AN494" i="1" s="1"/>
  <c r="H495" i="1"/>
  <c r="AN495" i="1" s="1"/>
  <c r="H496" i="1"/>
  <c r="AN496" i="1" s="1"/>
  <c r="H497" i="1"/>
  <c r="AN497" i="1" s="1"/>
  <c r="H498" i="1"/>
  <c r="AN498" i="1" s="1"/>
  <c r="H499" i="1"/>
  <c r="AN499" i="1" s="1"/>
  <c r="H500" i="1"/>
  <c r="AN500" i="1" s="1"/>
  <c r="H501" i="1"/>
  <c r="AN501" i="1" s="1"/>
  <c r="H502" i="1"/>
  <c r="AN502" i="1" s="1"/>
  <c r="H503" i="1"/>
  <c r="AN503" i="1" s="1"/>
  <c r="H504" i="1"/>
  <c r="AN504" i="1" s="1"/>
  <c r="H505" i="1"/>
  <c r="AN505" i="1" s="1"/>
  <c r="H506" i="1"/>
  <c r="AN506" i="1" s="1"/>
  <c r="H507" i="1"/>
  <c r="AN507" i="1" s="1"/>
  <c r="H508" i="1"/>
  <c r="AN508" i="1" s="1"/>
  <c r="H509" i="1"/>
  <c r="AN509" i="1" s="1"/>
  <c r="H510" i="1"/>
  <c r="AN510" i="1" s="1"/>
  <c r="H511" i="1"/>
  <c r="AN511" i="1" s="1"/>
  <c r="H512" i="1"/>
  <c r="AN512" i="1" s="1"/>
  <c r="H513" i="1"/>
  <c r="AN513" i="1" s="1"/>
  <c r="H514" i="1"/>
  <c r="AN514" i="1" s="1"/>
  <c r="H515" i="1"/>
  <c r="AN515" i="1" s="1"/>
  <c r="H516" i="1"/>
  <c r="AN516" i="1" s="1"/>
  <c r="H517" i="1"/>
  <c r="AN517" i="1" s="1"/>
  <c r="H518" i="1"/>
  <c r="AN518" i="1" s="1"/>
  <c r="H519" i="1"/>
  <c r="AN519" i="1" s="1"/>
  <c r="H520" i="1"/>
  <c r="AN520" i="1" s="1"/>
  <c r="H521" i="1"/>
  <c r="AN521" i="1" s="1"/>
  <c r="H522" i="1"/>
  <c r="AN522" i="1" s="1"/>
  <c r="H523" i="1"/>
  <c r="AN523" i="1" s="1"/>
  <c r="H524" i="1"/>
  <c r="AN524" i="1" s="1"/>
  <c r="H525" i="1"/>
  <c r="AN525" i="1" s="1"/>
  <c r="H526" i="1"/>
  <c r="AN526" i="1" s="1"/>
  <c r="H527" i="1"/>
  <c r="AN527" i="1" s="1"/>
  <c r="H528" i="1"/>
  <c r="AN528" i="1" s="1"/>
  <c r="H529" i="1"/>
  <c r="AN529" i="1" s="1"/>
  <c r="H530" i="1"/>
  <c r="AN530" i="1" s="1"/>
  <c r="H531" i="1"/>
  <c r="AN531" i="1" s="1"/>
  <c r="H532" i="1"/>
  <c r="AN532" i="1" s="1"/>
  <c r="H533" i="1"/>
  <c r="AN533" i="1" s="1"/>
  <c r="H534" i="1"/>
  <c r="AN534" i="1" s="1"/>
  <c r="H535" i="1"/>
  <c r="AN535" i="1" s="1"/>
  <c r="H536" i="1"/>
  <c r="AN536" i="1" s="1"/>
  <c r="H537" i="1"/>
  <c r="AN537" i="1" s="1"/>
  <c r="H538" i="1"/>
  <c r="AN538" i="1" s="1"/>
  <c r="H539" i="1"/>
  <c r="AN539" i="1" s="1"/>
  <c r="H540" i="1"/>
  <c r="AN540" i="1" s="1"/>
  <c r="H541" i="1"/>
  <c r="AN541" i="1" s="1"/>
  <c r="H542" i="1"/>
  <c r="AN542" i="1" s="1"/>
  <c r="H543" i="1"/>
  <c r="AN543" i="1" s="1"/>
  <c r="H544" i="1"/>
  <c r="AN544" i="1" s="1"/>
  <c r="H545" i="1"/>
  <c r="AN545" i="1" s="1"/>
  <c r="H546" i="1"/>
  <c r="AN546" i="1" s="1"/>
  <c r="H547" i="1"/>
  <c r="AN547" i="1" s="1"/>
  <c r="H548" i="1"/>
  <c r="AN548" i="1" s="1"/>
  <c r="H549" i="1"/>
  <c r="AN549" i="1" s="1"/>
  <c r="H550" i="1"/>
  <c r="AN550" i="1" s="1"/>
  <c r="H551" i="1"/>
  <c r="AN551" i="1" s="1"/>
  <c r="H552" i="1"/>
  <c r="AN552" i="1" s="1"/>
  <c r="H553" i="1"/>
  <c r="AN553" i="1" s="1"/>
  <c r="H554" i="1"/>
  <c r="AN554" i="1" s="1"/>
  <c r="H555" i="1"/>
  <c r="AN555" i="1" s="1"/>
  <c r="H556" i="1"/>
  <c r="AN556" i="1" s="1"/>
  <c r="H557" i="1"/>
  <c r="AN557" i="1" s="1"/>
  <c r="H558" i="1"/>
  <c r="AN558" i="1" s="1"/>
  <c r="H559" i="1"/>
  <c r="AN559" i="1" s="1"/>
  <c r="H560" i="1"/>
  <c r="AN560" i="1" s="1"/>
  <c r="H561" i="1"/>
  <c r="AN561" i="1" s="1"/>
  <c r="H562" i="1"/>
  <c r="AN562" i="1" s="1"/>
  <c r="H563" i="1"/>
  <c r="AN563" i="1" s="1"/>
  <c r="H564" i="1"/>
  <c r="AN564" i="1" s="1"/>
  <c r="H565" i="1"/>
  <c r="AN565" i="1" s="1"/>
  <c r="H566" i="1"/>
  <c r="AN566" i="1" s="1"/>
  <c r="H567" i="1"/>
  <c r="AN567" i="1" s="1"/>
  <c r="H568" i="1"/>
  <c r="AN568" i="1" s="1"/>
  <c r="H569" i="1"/>
  <c r="AN569" i="1" s="1"/>
  <c r="H570" i="1"/>
  <c r="AN570" i="1" s="1"/>
  <c r="H571" i="1"/>
  <c r="AN571" i="1" s="1"/>
  <c r="H572" i="1"/>
  <c r="AN572" i="1" s="1"/>
  <c r="H573" i="1"/>
  <c r="AN573" i="1" s="1"/>
  <c r="H574" i="1"/>
  <c r="AN574" i="1" s="1"/>
  <c r="H575" i="1"/>
  <c r="AN575" i="1" s="1"/>
  <c r="H576" i="1"/>
  <c r="AN576" i="1" s="1"/>
  <c r="H577" i="1"/>
  <c r="AN577" i="1" s="1"/>
  <c r="H578" i="1"/>
  <c r="AN578" i="1" s="1"/>
  <c r="H579" i="1"/>
  <c r="AN579" i="1" s="1"/>
  <c r="H580" i="1"/>
  <c r="AN580" i="1" s="1"/>
  <c r="H581" i="1"/>
  <c r="AN581" i="1" s="1"/>
  <c r="H582" i="1"/>
  <c r="AN582" i="1" s="1"/>
  <c r="H583" i="1"/>
  <c r="AN583" i="1" s="1"/>
  <c r="H584" i="1"/>
  <c r="AN584" i="1" s="1"/>
  <c r="H585" i="1"/>
  <c r="AN585" i="1" s="1"/>
  <c r="H586" i="1"/>
  <c r="AN586" i="1" s="1"/>
  <c r="H587" i="1"/>
  <c r="AN587" i="1" s="1"/>
  <c r="H588" i="1"/>
  <c r="AN588" i="1" s="1"/>
  <c r="H589" i="1"/>
  <c r="AN589" i="1" s="1"/>
  <c r="H590" i="1"/>
  <c r="AN590" i="1" s="1"/>
  <c r="H591" i="1"/>
  <c r="AN591" i="1" s="1"/>
  <c r="H592" i="1"/>
  <c r="AN592" i="1" s="1"/>
  <c r="H593" i="1"/>
  <c r="AN593" i="1" s="1"/>
  <c r="H594" i="1"/>
  <c r="AN594" i="1" s="1"/>
  <c r="H595" i="1"/>
  <c r="AN595" i="1" s="1"/>
  <c r="H596" i="1"/>
  <c r="AN596" i="1" s="1"/>
  <c r="H597" i="1"/>
  <c r="AN597" i="1" s="1"/>
  <c r="H598" i="1"/>
  <c r="AN598" i="1" s="1"/>
  <c r="H599" i="1"/>
  <c r="AN599" i="1" s="1"/>
  <c r="H600" i="1"/>
  <c r="AN600" i="1" s="1"/>
  <c r="H601" i="1"/>
  <c r="AN601" i="1" s="1"/>
  <c r="H602" i="1"/>
  <c r="AN602" i="1" s="1"/>
  <c r="H603" i="1"/>
  <c r="AN603" i="1" s="1"/>
  <c r="H604" i="1"/>
  <c r="AN604" i="1" s="1"/>
  <c r="H605" i="1"/>
  <c r="AN605" i="1" s="1"/>
  <c r="H606" i="1"/>
  <c r="AN606" i="1" s="1"/>
  <c r="H607" i="1"/>
  <c r="AN607" i="1" s="1"/>
  <c r="H608" i="1"/>
  <c r="AN608" i="1" s="1"/>
  <c r="H609" i="1"/>
  <c r="AN609" i="1" s="1"/>
  <c r="H610" i="1"/>
  <c r="AN610" i="1" s="1"/>
  <c r="H611" i="1"/>
  <c r="AN611" i="1" s="1"/>
  <c r="H612" i="1"/>
  <c r="AN612" i="1" s="1"/>
  <c r="H613" i="1"/>
  <c r="AN613" i="1" s="1"/>
  <c r="H614" i="1"/>
  <c r="AN614" i="1" s="1"/>
  <c r="H615" i="1"/>
  <c r="AN615" i="1" s="1"/>
  <c r="H616" i="1"/>
  <c r="AN616" i="1" s="1"/>
  <c r="H617" i="1"/>
  <c r="AN617" i="1" s="1"/>
  <c r="H618" i="1"/>
  <c r="AN618" i="1" s="1"/>
  <c r="H619" i="1"/>
  <c r="AN619" i="1" s="1"/>
  <c r="H620" i="1"/>
  <c r="AN620" i="1" s="1"/>
  <c r="H621" i="1"/>
  <c r="AN621" i="1" s="1"/>
  <c r="H622" i="1"/>
  <c r="AN622" i="1" s="1"/>
  <c r="H623" i="1"/>
  <c r="AN623" i="1" s="1"/>
  <c r="H624" i="1"/>
  <c r="AN624" i="1" s="1"/>
  <c r="H625" i="1"/>
  <c r="AN625" i="1" s="1"/>
  <c r="H626" i="1"/>
  <c r="AN626" i="1" s="1"/>
  <c r="H627" i="1"/>
  <c r="AN627" i="1" s="1"/>
  <c r="H628" i="1"/>
  <c r="AN628" i="1" s="1"/>
  <c r="H629" i="1"/>
  <c r="AN629" i="1" s="1"/>
  <c r="H630" i="1"/>
  <c r="AN630" i="1" s="1"/>
  <c r="H631" i="1"/>
  <c r="AN631" i="1" s="1"/>
  <c r="H632" i="1"/>
  <c r="AN632" i="1" s="1"/>
  <c r="H633" i="1"/>
  <c r="AN633" i="1" s="1"/>
  <c r="H634" i="1"/>
  <c r="AN634" i="1" s="1"/>
  <c r="H635" i="1"/>
  <c r="AN635" i="1" s="1"/>
  <c r="H636" i="1"/>
  <c r="AN636" i="1" s="1"/>
  <c r="H637" i="1"/>
  <c r="AN637" i="1" s="1"/>
  <c r="H638" i="1"/>
  <c r="AN638" i="1" s="1"/>
  <c r="H639" i="1"/>
  <c r="AN639" i="1" s="1"/>
  <c r="H640" i="1"/>
  <c r="AN640" i="1" s="1"/>
  <c r="H641" i="1"/>
  <c r="AN641" i="1" s="1"/>
  <c r="H642" i="1"/>
  <c r="AN642" i="1" s="1"/>
  <c r="H643" i="1"/>
  <c r="AN643" i="1" s="1"/>
  <c r="H644" i="1"/>
  <c r="AN644" i="1" s="1"/>
  <c r="H645" i="1"/>
  <c r="AN645" i="1" s="1"/>
  <c r="H646" i="1"/>
  <c r="AN646" i="1" s="1"/>
  <c r="H647" i="1"/>
  <c r="AN647" i="1" s="1"/>
  <c r="H648" i="1"/>
  <c r="AN648" i="1" s="1"/>
  <c r="H649" i="1"/>
  <c r="AN649" i="1" s="1"/>
  <c r="H650" i="1"/>
  <c r="AN650" i="1" s="1"/>
  <c r="H651" i="1"/>
  <c r="AN651" i="1" s="1"/>
  <c r="H652" i="1"/>
  <c r="AN652" i="1" s="1"/>
  <c r="H653" i="1"/>
  <c r="AN653" i="1" s="1"/>
  <c r="H654" i="1"/>
  <c r="AN654" i="1" s="1"/>
  <c r="H655" i="1"/>
  <c r="AN655" i="1" s="1"/>
  <c r="H656" i="1"/>
  <c r="AN656" i="1" s="1"/>
  <c r="H657" i="1"/>
  <c r="AN657" i="1" s="1"/>
  <c r="H658" i="1"/>
  <c r="AN658" i="1" s="1"/>
  <c r="H659" i="1"/>
  <c r="AN659" i="1" s="1"/>
  <c r="H660" i="1"/>
  <c r="AN660" i="1" s="1"/>
  <c r="H661" i="1"/>
  <c r="AN661" i="1" s="1"/>
  <c r="H662" i="1"/>
  <c r="AN662" i="1" s="1"/>
  <c r="H663" i="1"/>
  <c r="AN663" i="1" s="1"/>
  <c r="H664" i="1"/>
  <c r="AN664" i="1" s="1"/>
  <c r="H665" i="1"/>
  <c r="AN665" i="1" s="1"/>
  <c r="H666" i="1"/>
  <c r="AN666" i="1" s="1"/>
  <c r="H667" i="1"/>
  <c r="AN667" i="1" s="1"/>
  <c r="H668" i="1"/>
  <c r="AN668" i="1" s="1"/>
  <c r="H669" i="1"/>
  <c r="AN669" i="1" s="1"/>
  <c r="H670" i="1"/>
  <c r="AN670" i="1" s="1"/>
  <c r="H671" i="1"/>
  <c r="AN671" i="1" s="1"/>
  <c r="H672" i="1"/>
  <c r="AN672" i="1" s="1"/>
  <c r="H673" i="1"/>
  <c r="AN673" i="1" s="1"/>
  <c r="H674" i="1"/>
  <c r="AN674" i="1" s="1"/>
  <c r="H675" i="1"/>
  <c r="AN675" i="1" s="1"/>
  <c r="H676" i="1"/>
  <c r="AN676" i="1" s="1"/>
  <c r="H677" i="1"/>
  <c r="AN677" i="1" s="1"/>
  <c r="H678" i="1"/>
  <c r="AN678" i="1" s="1"/>
  <c r="H679" i="1"/>
  <c r="AN679" i="1" s="1"/>
  <c r="H680" i="1"/>
  <c r="AN680" i="1" s="1"/>
  <c r="H681" i="1"/>
  <c r="AN681" i="1" s="1"/>
  <c r="H682" i="1"/>
  <c r="AN682" i="1" s="1"/>
  <c r="H683" i="1"/>
  <c r="AN683" i="1" s="1"/>
  <c r="H684" i="1"/>
  <c r="AN684" i="1" s="1"/>
  <c r="H685" i="1"/>
  <c r="AN685" i="1" s="1"/>
  <c r="H686" i="1"/>
  <c r="AN686" i="1" s="1"/>
  <c r="H687" i="1"/>
  <c r="AN687" i="1" s="1"/>
  <c r="H688" i="1"/>
  <c r="AN688" i="1" s="1"/>
  <c r="H689" i="1"/>
  <c r="AN689" i="1" s="1"/>
  <c r="H690" i="1"/>
  <c r="AN690" i="1" s="1"/>
  <c r="H691" i="1"/>
  <c r="AN691" i="1" s="1"/>
  <c r="H692" i="1"/>
  <c r="AN692" i="1" s="1"/>
  <c r="H693" i="1"/>
  <c r="AN693" i="1" s="1"/>
  <c r="H694" i="1"/>
  <c r="AN694" i="1" s="1"/>
  <c r="H695" i="1"/>
  <c r="AN695" i="1" s="1"/>
  <c r="H696" i="1"/>
  <c r="AN696" i="1" s="1"/>
  <c r="H697" i="1"/>
  <c r="AN697" i="1" s="1"/>
  <c r="H698" i="1"/>
  <c r="AN698" i="1" s="1"/>
  <c r="H699" i="1"/>
  <c r="AN699" i="1" s="1"/>
  <c r="H700" i="1"/>
  <c r="AN700" i="1" s="1"/>
  <c r="H701" i="1"/>
  <c r="AN701" i="1" s="1"/>
  <c r="H702" i="1"/>
  <c r="AN702" i="1" s="1"/>
  <c r="H703" i="1"/>
  <c r="AN703" i="1" s="1"/>
  <c r="H704" i="1"/>
  <c r="AN704" i="1" s="1"/>
  <c r="H705" i="1"/>
  <c r="AN705" i="1" s="1"/>
  <c r="H706" i="1"/>
  <c r="AN706" i="1" s="1"/>
  <c r="H707" i="1"/>
  <c r="AN707" i="1" s="1"/>
  <c r="H708" i="1"/>
  <c r="AN708" i="1" s="1"/>
  <c r="H709" i="1"/>
  <c r="AN709" i="1" s="1"/>
  <c r="H710" i="1"/>
  <c r="AN710" i="1" s="1"/>
  <c r="H711" i="1"/>
  <c r="AN711" i="1" s="1"/>
  <c r="H712" i="1"/>
  <c r="AN712" i="1" s="1"/>
  <c r="H713" i="1"/>
  <c r="AN713" i="1" s="1"/>
  <c r="H714" i="1"/>
  <c r="AN714" i="1" s="1"/>
  <c r="H715" i="1"/>
  <c r="AN715" i="1" s="1"/>
  <c r="H716" i="1"/>
  <c r="AN716" i="1" s="1"/>
  <c r="H717" i="1"/>
  <c r="AN717" i="1" s="1"/>
  <c r="H718" i="1"/>
  <c r="AN718" i="1" s="1"/>
  <c r="H719" i="1"/>
  <c r="AN719" i="1" s="1"/>
  <c r="H720" i="1"/>
  <c r="AN720" i="1" s="1"/>
  <c r="H721" i="1"/>
  <c r="AN721" i="1" s="1"/>
  <c r="H722" i="1"/>
  <c r="AN722" i="1" s="1"/>
  <c r="H723" i="1"/>
  <c r="AN723" i="1" s="1"/>
  <c r="H724" i="1"/>
  <c r="AN724" i="1" s="1"/>
  <c r="H725" i="1"/>
  <c r="AN725" i="1" s="1"/>
  <c r="H726" i="1"/>
  <c r="AN726" i="1" s="1"/>
  <c r="H727" i="1"/>
  <c r="AN727" i="1" s="1"/>
  <c r="H728" i="1"/>
  <c r="AN728" i="1" s="1"/>
  <c r="H729" i="1"/>
  <c r="AN729" i="1" s="1"/>
  <c r="H730" i="1"/>
  <c r="AN730" i="1" s="1"/>
  <c r="H731" i="1"/>
  <c r="AN731" i="1" s="1"/>
  <c r="H732" i="1"/>
  <c r="AN732" i="1" s="1"/>
  <c r="H733" i="1"/>
  <c r="AN733" i="1" s="1"/>
  <c r="H734" i="1"/>
  <c r="AN734" i="1" s="1"/>
  <c r="H735" i="1"/>
  <c r="AN735" i="1" s="1"/>
  <c r="H736" i="1"/>
  <c r="AN736" i="1" s="1"/>
  <c r="H737" i="1"/>
  <c r="AN737" i="1" s="1"/>
  <c r="H738" i="1"/>
  <c r="AN738" i="1" s="1"/>
  <c r="H739" i="1"/>
  <c r="AN739" i="1" s="1"/>
  <c r="H740" i="1"/>
  <c r="AN740" i="1" s="1"/>
  <c r="H741" i="1"/>
  <c r="AN741" i="1" s="1"/>
  <c r="H742" i="1"/>
  <c r="AN742" i="1" s="1"/>
  <c r="H743" i="1"/>
  <c r="AN743" i="1" s="1"/>
  <c r="H744" i="1"/>
  <c r="AN744" i="1" s="1"/>
  <c r="H745" i="1"/>
  <c r="AN745" i="1" s="1"/>
  <c r="H746" i="1"/>
  <c r="AN746" i="1" s="1"/>
  <c r="H747" i="1"/>
  <c r="AN747" i="1" s="1"/>
  <c r="H748" i="1"/>
  <c r="AN748" i="1" s="1"/>
  <c r="H749" i="1"/>
  <c r="AN749" i="1" s="1"/>
  <c r="H750" i="1"/>
  <c r="AN750" i="1" s="1"/>
  <c r="H751" i="1"/>
  <c r="AN751" i="1" s="1"/>
  <c r="H752" i="1"/>
  <c r="AN752" i="1" s="1"/>
  <c r="H753" i="1"/>
  <c r="AN753" i="1" s="1"/>
  <c r="H754" i="1"/>
  <c r="AN754" i="1" s="1"/>
  <c r="H755" i="1"/>
  <c r="AN755" i="1" s="1"/>
  <c r="H756" i="1"/>
  <c r="AN756" i="1" s="1"/>
  <c r="H757" i="1"/>
  <c r="AN757" i="1" s="1"/>
  <c r="H758" i="1"/>
  <c r="AN758" i="1" s="1"/>
  <c r="H759" i="1"/>
  <c r="AN759" i="1" s="1"/>
  <c r="H760" i="1"/>
  <c r="AN760" i="1" s="1"/>
  <c r="H761" i="1"/>
  <c r="AN761" i="1" s="1"/>
  <c r="H762" i="1"/>
  <c r="AN762" i="1" s="1"/>
  <c r="H763" i="1"/>
  <c r="AN763" i="1" s="1"/>
  <c r="H764" i="1"/>
  <c r="AN764" i="1" s="1"/>
  <c r="H765" i="1"/>
  <c r="AN765" i="1" s="1"/>
  <c r="H766" i="1"/>
  <c r="AN766" i="1" s="1"/>
  <c r="H767" i="1"/>
  <c r="AN767" i="1" s="1"/>
  <c r="H768" i="1"/>
  <c r="AN768" i="1" s="1"/>
  <c r="H769" i="1"/>
  <c r="AN769" i="1" s="1"/>
  <c r="H770" i="1"/>
  <c r="AN770" i="1" s="1"/>
  <c r="H771" i="1"/>
  <c r="AN771" i="1" s="1"/>
  <c r="H772" i="1"/>
  <c r="AN772" i="1" s="1"/>
  <c r="H773" i="1"/>
  <c r="AN773" i="1" s="1"/>
  <c r="H774" i="1"/>
  <c r="AN774" i="1" s="1"/>
  <c r="H775" i="1"/>
  <c r="AN775" i="1" s="1"/>
  <c r="H776" i="1"/>
  <c r="AN776" i="1" s="1"/>
  <c r="H777" i="1"/>
  <c r="AN777" i="1" s="1"/>
  <c r="H778" i="1"/>
  <c r="AN778" i="1" s="1"/>
  <c r="H779" i="1"/>
  <c r="AN779" i="1" s="1"/>
  <c r="H780" i="1"/>
  <c r="AN780" i="1" s="1"/>
  <c r="H781" i="1"/>
  <c r="AN781" i="1" s="1"/>
  <c r="H782" i="1"/>
  <c r="AN782" i="1" s="1"/>
  <c r="H783" i="1"/>
  <c r="AN783" i="1" s="1"/>
  <c r="H784" i="1"/>
  <c r="AN784" i="1" s="1"/>
  <c r="H785" i="1"/>
  <c r="AN785" i="1" s="1"/>
  <c r="H786" i="1"/>
  <c r="AN786" i="1" s="1"/>
  <c r="H787" i="1"/>
  <c r="AN787" i="1" s="1"/>
  <c r="H788" i="1"/>
  <c r="AN788" i="1" s="1"/>
  <c r="H789" i="1"/>
  <c r="AN789" i="1" s="1"/>
  <c r="H790" i="1"/>
  <c r="AN790" i="1" s="1"/>
  <c r="H791" i="1"/>
  <c r="AN791" i="1" s="1"/>
  <c r="H792" i="1"/>
  <c r="AN792" i="1" s="1"/>
  <c r="H793" i="1"/>
  <c r="AN793" i="1" s="1"/>
  <c r="H794" i="1"/>
  <c r="AN794" i="1" s="1"/>
  <c r="H795" i="1"/>
  <c r="AN795" i="1" s="1"/>
  <c r="H796" i="1"/>
  <c r="AN796" i="1" s="1"/>
  <c r="H797" i="1"/>
  <c r="AN797" i="1" s="1"/>
  <c r="H798" i="1"/>
  <c r="AN798" i="1" s="1"/>
  <c r="H799" i="1"/>
  <c r="AN799" i="1" s="1"/>
  <c r="H800" i="1"/>
  <c r="AN800" i="1" s="1"/>
  <c r="H801" i="1"/>
  <c r="AN801" i="1" s="1"/>
  <c r="H802" i="1"/>
  <c r="AN802" i="1" s="1"/>
  <c r="H803" i="1"/>
  <c r="AN803" i="1" s="1"/>
  <c r="H804" i="1"/>
  <c r="AN804" i="1" s="1"/>
  <c r="H805" i="1"/>
  <c r="AN805" i="1" s="1"/>
  <c r="H806" i="1"/>
  <c r="AN806" i="1" s="1"/>
  <c r="H807" i="1"/>
  <c r="AN807" i="1" s="1"/>
  <c r="H808" i="1"/>
  <c r="AN808" i="1" s="1"/>
  <c r="H809" i="1"/>
  <c r="AN809" i="1" s="1"/>
  <c r="H810" i="1"/>
  <c r="AN810" i="1" s="1"/>
  <c r="H811" i="1"/>
  <c r="AN811" i="1" s="1"/>
  <c r="H812" i="1"/>
  <c r="AN812" i="1" s="1"/>
  <c r="H813" i="1"/>
  <c r="AN813" i="1" s="1"/>
  <c r="H814" i="1"/>
  <c r="AN814" i="1" s="1"/>
  <c r="H815" i="1"/>
  <c r="AN815" i="1" s="1"/>
  <c r="H816" i="1"/>
  <c r="AN816" i="1" s="1"/>
  <c r="H817" i="1"/>
  <c r="AN817" i="1" s="1"/>
  <c r="H818" i="1"/>
  <c r="AN818" i="1" s="1"/>
  <c r="H819" i="1"/>
  <c r="AN819" i="1" s="1"/>
  <c r="H820" i="1"/>
  <c r="AN820" i="1" s="1"/>
  <c r="H821" i="1"/>
  <c r="AN821" i="1" s="1"/>
  <c r="H822" i="1"/>
  <c r="AN822" i="1" s="1"/>
  <c r="H823" i="1"/>
  <c r="AN823" i="1" s="1"/>
  <c r="H824" i="1"/>
  <c r="AN824" i="1" s="1"/>
  <c r="H825" i="1"/>
  <c r="AN825" i="1" s="1"/>
  <c r="H826" i="1"/>
  <c r="AN826" i="1" s="1"/>
  <c r="H827" i="1"/>
  <c r="AN827" i="1" s="1"/>
  <c r="H828" i="1"/>
  <c r="AN828" i="1" s="1"/>
  <c r="H829" i="1"/>
  <c r="AN829" i="1" s="1"/>
  <c r="H830" i="1"/>
  <c r="AN830" i="1" s="1"/>
  <c r="H831" i="1"/>
  <c r="AN831" i="1" s="1"/>
  <c r="H832" i="1"/>
  <c r="AN832" i="1" s="1"/>
  <c r="H833" i="1"/>
  <c r="AN833" i="1" s="1"/>
  <c r="H834" i="1"/>
  <c r="AN834" i="1" s="1"/>
  <c r="H835" i="1"/>
  <c r="AN835" i="1" s="1"/>
  <c r="H836" i="1"/>
  <c r="AN836" i="1" s="1"/>
  <c r="H837" i="1"/>
  <c r="AN837" i="1" s="1"/>
  <c r="H838" i="1"/>
  <c r="AN838" i="1" s="1"/>
  <c r="H839" i="1"/>
  <c r="AN839" i="1" s="1"/>
  <c r="H840" i="1"/>
  <c r="AN840" i="1" s="1"/>
  <c r="H841" i="1"/>
  <c r="AN841" i="1" s="1"/>
  <c r="H842" i="1"/>
  <c r="AN842" i="1" s="1"/>
  <c r="H843" i="1"/>
  <c r="AN843" i="1" s="1"/>
  <c r="H844" i="1"/>
  <c r="AN844" i="1" s="1"/>
  <c r="H845" i="1"/>
  <c r="AN845" i="1" s="1"/>
  <c r="H846" i="1"/>
  <c r="AN846" i="1" s="1"/>
  <c r="H847" i="1"/>
  <c r="AN847" i="1" s="1"/>
  <c r="H848" i="1"/>
  <c r="AN848" i="1" s="1"/>
  <c r="H849" i="1"/>
  <c r="AN849" i="1" s="1"/>
  <c r="H850" i="1"/>
  <c r="AN850" i="1" s="1"/>
  <c r="H851" i="1"/>
  <c r="AN851" i="1" s="1"/>
  <c r="H852" i="1"/>
  <c r="AN852" i="1" s="1"/>
  <c r="H853" i="1"/>
  <c r="AN853" i="1" s="1"/>
  <c r="H854" i="1"/>
  <c r="AN854" i="1" s="1"/>
  <c r="H855" i="1"/>
  <c r="AN855" i="1" s="1"/>
  <c r="H856" i="1"/>
  <c r="AN856" i="1" s="1"/>
  <c r="H857" i="1"/>
  <c r="AN857" i="1" s="1"/>
  <c r="H858" i="1"/>
  <c r="AN858" i="1" s="1"/>
  <c r="H859" i="1"/>
  <c r="AN859" i="1" s="1"/>
  <c r="H860" i="1"/>
  <c r="AN860" i="1" s="1"/>
  <c r="H861" i="1"/>
  <c r="AN861" i="1" s="1"/>
  <c r="H862" i="1"/>
  <c r="AN862" i="1" s="1"/>
  <c r="H863" i="1"/>
  <c r="AN863" i="1" s="1"/>
  <c r="H864" i="1"/>
  <c r="AN864" i="1" s="1"/>
  <c r="H865" i="1"/>
  <c r="AN865" i="1" s="1"/>
  <c r="H866" i="1"/>
  <c r="AN866" i="1" s="1"/>
  <c r="H867" i="1"/>
  <c r="AN867" i="1" s="1"/>
  <c r="H868" i="1"/>
  <c r="AN868" i="1" s="1"/>
  <c r="H869" i="1"/>
  <c r="AN869" i="1" s="1"/>
  <c r="H870" i="1"/>
  <c r="AN870" i="1" s="1"/>
  <c r="H871" i="1"/>
  <c r="AN871" i="1" s="1"/>
  <c r="H872" i="1"/>
  <c r="AN872" i="1" s="1"/>
  <c r="H873" i="1"/>
  <c r="AN873" i="1" s="1"/>
  <c r="H874" i="1"/>
  <c r="AN874" i="1" s="1"/>
  <c r="H875" i="1"/>
  <c r="AN875" i="1" s="1"/>
  <c r="H876" i="1"/>
  <c r="AN876" i="1" s="1"/>
  <c r="H877" i="1"/>
  <c r="AN877" i="1" s="1"/>
  <c r="H878" i="1"/>
  <c r="AN878" i="1" s="1"/>
  <c r="H879" i="1"/>
  <c r="AN879" i="1" s="1"/>
  <c r="H880" i="1"/>
  <c r="AN880" i="1" s="1"/>
  <c r="H881" i="1"/>
  <c r="AN881" i="1" s="1"/>
  <c r="H882" i="1"/>
  <c r="AN882" i="1" s="1"/>
  <c r="H883" i="1"/>
  <c r="AN883" i="1" s="1"/>
  <c r="H884" i="1"/>
  <c r="AN884" i="1" s="1"/>
  <c r="H885" i="1"/>
  <c r="AN885" i="1" s="1"/>
  <c r="H886" i="1"/>
  <c r="AN886" i="1" s="1"/>
  <c r="H887" i="1"/>
  <c r="AN887" i="1" s="1"/>
  <c r="H888" i="1"/>
  <c r="AN888" i="1" s="1"/>
  <c r="H889" i="1"/>
  <c r="AN889" i="1" s="1"/>
  <c r="H890" i="1"/>
  <c r="AN890" i="1" s="1"/>
  <c r="H891" i="1"/>
  <c r="AN891" i="1" s="1"/>
  <c r="H892" i="1"/>
  <c r="AN892" i="1" s="1"/>
  <c r="H893" i="1"/>
  <c r="AN893" i="1" s="1"/>
  <c r="H894" i="1"/>
  <c r="AN894" i="1" s="1"/>
  <c r="H895" i="1"/>
  <c r="AN895" i="1" s="1"/>
  <c r="H896" i="1"/>
  <c r="AN896" i="1" s="1"/>
  <c r="H897" i="1"/>
  <c r="AN897" i="1" s="1"/>
  <c r="H898" i="1"/>
  <c r="AN898" i="1" s="1"/>
  <c r="H899" i="1"/>
  <c r="AN899" i="1" s="1"/>
  <c r="H900" i="1"/>
  <c r="AN900" i="1" s="1"/>
  <c r="H901" i="1"/>
  <c r="AN901" i="1" s="1"/>
  <c r="H902" i="1"/>
  <c r="AN902" i="1" s="1"/>
  <c r="H903" i="1"/>
  <c r="AN903" i="1" s="1"/>
  <c r="H904" i="1"/>
  <c r="AN904" i="1" s="1"/>
  <c r="H905" i="1"/>
  <c r="AN905" i="1" s="1"/>
  <c r="H906" i="1"/>
  <c r="AN906" i="1" s="1"/>
  <c r="H907" i="1"/>
  <c r="AN907" i="1" s="1"/>
  <c r="H908" i="1"/>
  <c r="AN908" i="1" s="1"/>
  <c r="H909" i="1"/>
  <c r="AN909" i="1" s="1"/>
  <c r="H910" i="1"/>
  <c r="AN910" i="1" s="1"/>
  <c r="H911" i="1"/>
  <c r="AN911" i="1" s="1"/>
  <c r="H912" i="1"/>
  <c r="AN912" i="1" s="1"/>
  <c r="H913" i="1"/>
  <c r="AN913" i="1" s="1"/>
  <c r="H3" i="1"/>
  <c r="AN3" i="1" s="1"/>
  <c r="H4" i="1"/>
  <c r="AN4" i="1" s="1"/>
  <c r="H5" i="1"/>
  <c r="AN5" i="1" s="1"/>
  <c r="H6" i="1"/>
  <c r="AN6" i="1" s="1"/>
  <c r="H7" i="1"/>
  <c r="AN7" i="1" s="1"/>
  <c r="H8" i="1"/>
  <c r="AN8" i="1" s="1"/>
  <c r="H9" i="1"/>
  <c r="AN9" i="1" s="1"/>
  <c r="H10" i="1"/>
  <c r="AN10" i="1" s="1"/>
  <c r="H11" i="1"/>
  <c r="AN11" i="1" s="1"/>
  <c r="H12" i="1"/>
  <c r="AN12" i="1" s="1"/>
  <c r="H13" i="1"/>
  <c r="AN13" i="1" s="1"/>
  <c r="H14" i="1"/>
  <c r="AN14" i="1" s="1"/>
  <c r="H15" i="1"/>
  <c r="AN15" i="1" s="1"/>
  <c r="H16" i="1"/>
  <c r="AN16" i="1" s="1"/>
  <c r="H17" i="1"/>
  <c r="AN17" i="1" s="1"/>
  <c r="H18" i="1"/>
  <c r="AN18" i="1" s="1"/>
  <c r="H19" i="1"/>
  <c r="AN19" i="1" s="1"/>
  <c r="H20" i="1"/>
  <c r="AN20" i="1" s="1"/>
  <c r="H21" i="1"/>
  <c r="AN21" i="1" s="1"/>
  <c r="H22" i="1"/>
  <c r="AN22" i="1" s="1"/>
  <c r="H23" i="1"/>
  <c r="AN23" i="1" s="1"/>
  <c r="H24" i="1"/>
  <c r="AN24" i="1" s="1"/>
  <c r="H25" i="1"/>
  <c r="AN25" i="1" s="1"/>
  <c r="H26" i="1"/>
  <c r="AN26" i="1" s="1"/>
  <c r="H27" i="1"/>
  <c r="AN27" i="1" s="1"/>
  <c r="H28" i="1"/>
  <c r="AN28" i="1" s="1"/>
  <c r="H29" i="1"/>
  <c r="AN29" i="1" s="1"/>
  <c r="H30" i="1"/>
  <c r="AN30" i="1" s="1"/>
  <c r="H31" i="1"/>
  <c r="AN31" i="1" s="1"/>
  <c r="H32" i="1"/>
  <c r="AN32" i="1" s="1"/>
  <c r="H33" i="1"/>
  <c r="AN33" i="1" s="1"/>
  <c r="H34" i="1"/>
  <c r="AN34" i="1" s="1"/>
  <c r="H35" i="1"/>
  <c r="AN35" i="1" s="1"/>
  <c r="H36" i="1"/>
  <c r="AN36" i="1" s="1"/>
  <c r="H37" i="1"/>
  <c r="AN37" i="1" s="1"/>
  <c r="H38" i="1"/>
  <c r="AN38" i="1" s="1"/>
  <c r="H39" i="1"/>
  <c r="AN39" i="1" s="1"/>
  <c r="H40" i="1"/>
  <c r="AN40" i="1" s="1"/>
  <c r="H41" i="1"/>
  <c r="AN41" i="1" s="1"/>
  <c r="H42" i="1"/>
  <c r="AN42" i="1" s="1"/>
  <c r="H43" i="1"/>
  <c r="AN43" i="1" s="1"/>
  <c r="H44" i="1"/>
  <c r="AN44" i="1" s="1"/>
  <c r="H45" i="1"/>
  <c r="AN45" i="1" s="1"/>
  <c r="H46" i="1"/>
  <c r="AN46" i="1" s="1"/>
  <c r="H47" i="1"/>
  <c r="AN47" i="1" s="1"/>
  <c r="H48" i="1"/>
  <c r="AN48" i="1" s="1"/>
  <c r="H49" i="1"/>
  <c r="AN49" i="1" s="1"/>
  <c r="H50" i="1"/>
  <c r="AN50" i="1" s="1"/>
  <c r="H51" i="1"/>
  <c r="AN51" i="1" s="1"/>
  <c r="H52" i="1"/>
  <c r="AN52" i="1" s="1"/>
  <c r="H53" i="1"/>
  <c r="AN53" i="1" s="1"/>
  <c r="H54" i="1"/>
  <c r="AN54" i="1" s="1"/>
  <c r="H55" i="1"/>
  <c r="AN55" i="1" s="1"/>
  <c r="H56" i="1"/>
  <c r="AN56" i="1" s="1"/>
  <c r="H57" i="1"/>
  <c r="AN57" i="1" s="1"/>
  <c r="H58" i="1"/>
  <c r="AN58" i="1" s="1"/>
  <c r="H59" i="1"/>
  <c r="AN59" i="1" s="1"/>
  <c r="H60" i="1"/>
  <c r="AN60" i="1" s="1"/>
  <c r="H61" i="1"/>
  <c r="AN61" i="1" s="1"/>
  <c r="H62" i="1"/>
  <c r="AN62" i="1" s="1"/>
  <c r="H63" i="1"/>
  <c r="AN63" i="1" s="1"/>
  <c r="H64" i="1"/>
  <c r="AN64" i="1" s="1"/>
  <c r="H65" i="1"/>
  <c r="AN65" i="1" s="1"/>
  <c r="H66" i="1"/>
  <c r="AN66" i="1" s="1"/>
  <c r="H67" i="1"/>
  <c r="AN67" i="1" s="1"/>
  <c r="H68" i="1"/>
  <c r="AN68" i="1" s="1"/>
  <c r="H69" i="1"/>
  <c r="AN69" i="1" s="1"/>
  <c r="H70" i="1"/>
  <c r="AN70" i="1" s="1"/>
  <c r="H71" i="1"/>
  <c r="AN71" i="1" s="1"/>
  <c r="H72" i="1"/>
  <c r="AN72" i="1" s="1"/>
  <c r="H73" i="1"/>
  <c r="AN73" i="1" s="1"/>
  <c r="H74" i="1"/>
  <c r="AN74" i="1" s="1"/>
  <c r="H75" i="1"/>
  <c r="AN75" i="1" s="1"/>
  <c r="H76" i="1"/>
  <c r="AN76" i="1" s="1"/>
  <c r="H77" i="1"/>
  <c r="AN77" i="1" s="1"/>
  <c r="H78" i="1"/>
  <c r="AN78" i="1" s="1"/>
  <c r="H79" i="1"/>
  <c r="AN79" i="1" s="1"/>
  <c r="H80" i="1"/>
  <c r="AN80" i="1" s="1"/>
  <c r="H81" i="1"/>
  <c r="AN81" i="1" s="1"/>
  <c r="H82" i="1"/>
  <c r="AN82" i="1" s="1"/>
  <c r="H83" i="1"/>
  <c r="AN83" i="1" s="1"/>
  <c r="H84" i="1"/>
  <c r="AN84" i="1" s="1"/>
  <c r="H85" i="1"/>
  <c r="AN85" i="1" s="1"/>
  <c r="H86" i="1"/>
  <c r="AN86" i="1" s="1"/>
  <c r="H87" i="1"/>
  <c r="AN87" i="1" s="1"/>
  <c r="H88" i="1"/>
  <c r="AN88" i="1" s="1"/>
  <c r="H89" i="1"/>
  <c r="AN89" i="1" s="1"/>
  <c r="H90" i="1"/>
  <c r="AN90" i="1" s="1"/>
  <c r="H91" i="1"/>
  <c r="AN91" i="1" s="1"/>
  <c r="H92" i="1"/>
  <c r="AN92" i="1" s="1"/>
  <c r="H93" i="1"/>
  <c r="AN93" i="1" s="1"/>
  <c r="H94" i="1"/>
  <c r="AN94" i="1" s="1"/>
  <c r="H95" i="1"/>
  <c r="AN95" i="1" s="1"/>
  <c r="H96" i="1"/>
  <c r="AN96" i="1" s="1"/>
  <c r="H97" i="1"/>
  <c r="AN97" i="1" s="1"/>
  <c r="H98" i="1"/>
  <c r="AN98" i="1" s="1"/>
  <c r="H99" i="1"/>
  <c r="AN99" i="1" s="1"/>
  <c r="H100" i="1"/>
  <c r="AN100" i="1" s="1"/>
  <c r="H101" i="1"/>
  <c r="AN101" i="1" s="1"/>
  <c r="H102" i="1"/>
  <c r="AN102" i="1" s="1"/>
  <c r="H103" i="1"/>
  <c r="AN103" i="1" s="1"/>
  <c r="H104" i="1"/>
  <c r="AN104" i="1" s="1"/>
  <c r="H105" i="1"/>
  <c r="AN105" i="1" s="1"/>
  <c r="H106" i="1"/>
  <c r="AN106" i="1" s="1"/>
  <c r="H107" i="1"/>
  <c r="AN107" i="1" s="1"/>
  <c r="H108" i="1"/>
  <c r="AN108" i="1" s="1"/>
  <c r="H109" i="1"/>
  <c r="AN109" i="1" s="1"/>
  <c r="H110" i="1"/>
  <c r="AN110" i="1" s="1"/>
  <c r="H111" i="1"/>
  <c r="AN111" i="1" s="1"/>
  <c r="H112" i="1"/>
  <c r="AN112" i="1" s="1"/>
  <c r="H113" i="1"/>
  <c r="AN113" i="1" s="1"/>
  <c r="H114" i="1"/>
  <c r="AN114" i="1" s="1"/>
  <c r="H115" i="1"/>
  <c r="AN115" i="1" s="1"/>
  <c r="H116" i="1"/>
  <c r="AN116" i="1" s="1"/>
  <c r="H117" i="1"/>
  <c r="AN117" i="1" s="1"/>
  <c r="H118" i="1"/>
  <c r="AN118" i="1" s="1"/>
  <c r="H119" i="1"/>
  <c r="AN119" i="1" s="1"/>
  <c r="H120" i="1"/>
  <c r="AN120" i="1" s="1"/>
  <c r="H121" i="1"/>
  <c r="AN121" i="1" s="1"/>
  <c r="H122" i="1"/>
  <c r="AN122" i="1" s="1"/>
  <c r="H123" i="1"/>
  <c r="AN123" i="1" s="1"/>
  <c r="H124" i="1"/>
  <c r="AN124" i="1" s="1"/>
  <c r="H125" i="1"/>
  <c r="AN125" i="1" s="1"/>
  <c r="H126" i="1"/>
  <c r="AN126" i="1" s="1"/>
  <c r="H127" i="1"/>
  <c r="AN127" i="1" s="1"/>
  <c r="H128" i="1"/>
  <c r="AN128" i="1" s="1"/>
  <c r="H129" i="1"/>
  <c r="AN129" i="1" s="1"/>
  <c r="H130" i="1"/>
  <c r="AN130" i="1" s="1"/>
  <c r="H131" i="1"/>
  <c r="AN131" i="1" s="1"/>
  <c r="H132" i="1"/>
  <c r="AN132" i="1" s="1"/>
  <c r="H133" i="1"/>
  <c r="AN133" i="1" s="1"/>
  <c r="H134" i="1"/>
  <c r="AN134" i="1" s="1"/>
  <c r="H135" i="1"/>
  <c r="AN135" i="1" s="1"/>
  <c r="H136" i="1"/>
  <c r="AN136" i="1" s="1"/>
  <c r="H137" i="1"/>
  <c r="AN137" i="1" s="1"/>
  <c r="H138" i="1"/>
  <c r="AN138" i="1" s="1"/>
  <c r="H139" i="1"/>
  <c r="AN139" i="1" s="1"/>
  <c r="H140" i="1"/>
  <c r="AN140" i="1" s="1"/>
  <c r="H141" i="1"/>
  <c r="AN141" i="1" s="1"/>
  <c r="H142" i="1"/>
  <c r="AN142" i="1" s="1"/>
  <c r="H143" i="1"/>
  <c r="AN143" i="1" s="1"/>
  <c r="H144" i="1"/>
  <c r="AN144" i="1" s="1"/>
  <c r="H145" i="1"/>
  <c r="AN145" i="1" s="1"/>
  <c r="H146" i="1"/>
  <c r="AN146" i="1" s="1"/>
  <c r="H147" i="1"/>
  <c r="AN147" i="1" s="1"/>
  <c r="H148" i="1"/>
  <c r="AN148" i="1" s="1"/>
  <c r="H149" i="1"/>
  <c r="AN149" i="1" s="1"/>
  <c r="H150" i="1"/>
  <c r="AN150" i="1" s="1"/>
  <c r="H151" i="1"/>
  <c r="AN151" i="1" s="1"/>
  <c r="H152" i="1"/>
  <c r="AN152" i="1" s="1"/>
  <c r="H153" i="1"/>
  <c r="AN153" i="1" s="1"/>
  <c r="H154" i="1"/>
  <c r="AN154" i="1" s="1"/>
  <c r="H155" i="1"/>
  <c r="AN155" i="1" s="1"/>
  <c r="H156" i="1"/>
  <c r="AN156" i="1" s="1"/>
  <c r="H157" i="1"/>
  <c r="AN157" i="1" s="1"/>
  <c r="H158" i="1"/>
  <c r="AN158" i="1" s="1"/>
  <c r="H159" i="1"/>
  <c r="AN159" i="1" s="1"/>
  <c r="H160" i="1"/>
  <c r="AN160" i="1" s="1"/>
  <c r="H161" i="1"/>
  <c r="AN161" i="1" s="1"/>
  <c r="H162" i="1"/>
  <c r="AN162" i="1" s="1"/>
  <c r="H163" i="1"/>
  <c r="AN163" i="1" s="1"/>
  <c r="H164" i="1"/>
  <c r="AN164" i="1" s="1"/>
  <c r="H165" i="1"/>
  <c r="AN165" i="1" s="1"/>
  <c r="H166" i="1"/>
  <c r="AN166" i="1" s="1"/>
  <c r="H167" i="1"/>
  <c r="AN167" i="1" s="1"/>
  <c r="H168" i="1"/>
  <c r="AN168" i="1" s="1"/>
  <c r="H169" i="1"/>
  <c r="AN169" i="1" s="1"/>
  <c r="H170" i="1"/>
  <c r="AN170" i="1" s="1"/>
  <c r="H171" i="1"/>
  <c r="AN171" i="1" s="1"/>
  <c r="H172" i="1"/>
  <c r="AN172" i="1" s="1"/>
  <c r="H173" i="1"/>
  <c r="AN173" i="1" s="1"/>
  <c r="H174" i="1"/>
  <c r="AN174" i="1" s="1"/>
  <c r="H175" i="1"/>
  <c r="AN175" i="1" s="1"/>
  <c r="H176" i="1"/>
  <c r="AN176" i="1" s="1"/>
  <c r="H177" i="1"/>
  <c r="AN177" i="1" s="1"/>
  <c r="H178" i="1"/>
  <c r="AN178" i="1" s="1"/>
  <c r="H179" i="1"/>
  <c r="AN179" i="1" s="1"/>
  <c r="H180" i="1"/>
  <c r="AN180" i="1" s="1"/>
  <c r="H181" i="1"/>
  <c r="AN181" i="1" s="1"/>
  <c r="H182" i="1"/>
  <c r="AN182" i="1" s="1"/>
  <c r="H183" i="1"/>
  <c r="AN183" i="1" s="1"/>
  <c r="H184" i="1"/>
  <c r="AN184" i="1" s="1"/>
  <c r="H185" i="1"/>
  <c r="AN185" i="1" s="1"/>
  <c r="H186" i="1"/>
  <c r="AN186" i="1" s="1"/>
  <c r="H187" i="1"/>
  <c r="AN187" i="1" s="1"/>
  <c r="H188" i="1"/>
  <c r="AN188" i="1" s="1"/>
  <c r="H189" i="1"/>
  <c r="AN189" i="1" s="1"/>
  <c r="H190" i="1"/>
  <c r="AN190" i="1" s="1"/>
  <c r="H191" i="1"/>
  <c r="AN191" i="1" s="1"/>
  <c r="H192" i="1"/>
  <c r="AN192" i="1" s="1"/>
  <c r="H193" i="1"/>
  <c r="AN193" i="1" s="1"/>
  <c r="H194" i="1"/>
  <c r="AN194" i="1" s="1"/>
  <c r="H195" i="1"/>
  <c r="AN195" i="1" s="1"/>
  <c r="H196" i="1"/>
  <c r="AN196" i="1" s="1"/>
  <c r="H197" i="1"/>
  <c r="AN197" i="1" s="1"/>
  <c r="H198" i="1"/>
  <c r="AN198" i="1" s="1"/>
  <c r="H199" i="1"/>
  <c r="AN199" i="1" s="1"/>
  <c r="H200" i="1"/>
  <c r="AN200" i="1" s="1"/>
  <c r="H201" i="1"/>
  <c r="AN201" i="1" s="1"/>
  <c r="H202" i="1"/>
  <c r="AN202" i="1" s="1"/>
  <c r="H203" i="1"/>
  <c r="AN203" i="1" s="1"/>
  <c r="H204" i="1"/>
  <c r="AN204" i="1" s="1"/>
  <c r="H205" i="1"/>
  <c r="AN205" i="1" s="1"/>
  <c r="H206" i="1"/>
  <c r="AN206" i="1" s="1"/>
  <c r="H207" i="1"/>
  <c r="AN207" i="1" s="1"/>
  <c r="H208" i="1"/>
  <c r="AN208" i="1" s="1"/>
  <c r="H209" i="1"/>
  <c r="AN209" i="1" s="1"/>
  <c r="H210" i="1"/>
  <c r="AN210" i="1" s="1"/>
  <c r="H211" i="1"/>
  <c r="AN211" i="1" s="1"/>
  <c r="H212" i="1"/>
  <c r="AN212" i="1" s="1"/>
  <c r="H213" i="1"/>
  <c r="AN213" i="1" s="1"/>
  <c r="H214" i="1"/>
  <c r="AN214" i="1" s="1"/>
  <c r="H215" i="1"/>
  <c r="AN215" i="1" s="1"/>
  <c r="H216" i="1"/>
  <c r="AN216" i="1" s="1"/>
  <c r="H217" i="1"/>
  <c r="AN217" i="1" s="1"/>
  <c r="H218" i="1"/>
  <c r="AN218" i="1" s="1"/>
  <c r="H219" i="1"/>
  <c r="AN219" i="1" s="1"/>
  <c r="H220" i="1"/>
  <c r="AN220" i="1" s="1"/>
  <c r="H221" i="1"/>
  <c r="AN221" i="1" s="1"/>
  <c r="H222" i="1"/>
  <c r="AN222" i="1" s="1"/>
  <c r="H223" i="1"/>
  <c r="AN223" i="1" s="1"/>
  <c r="H224" i="1"/>
  <c r="AN224" i="1" s="1"/>
  <c r="H225" i="1"/>
  <c r="AN225" i="1" s="1"/>
  <c r="H226" i="1"/>
  <c r="AN226" i="1" s="1"/>
  <c r="H227" i="1"/>
  <c r="AN227" i="1" s="1"/>
  <c r="H228" i="1"/>
  <c r="AN228" i="1" s="1"/>
  <c r="H229" i="1"/>
  <c r="AN229" i="1" s="1"/>
  <c r="H230" i="1"/>
  <c r="AN230" i="1" s="1"/>
  <c r="H231" i="1"/>
  <c r="AN231" i="1" s="1"/>
  <c r="H232" i="1"/>
  <c r="AN232" i="1" s="1"/>
  <c r="H233" i="1"/>
  <c r="AN233" i="1" s="1"/>
  <c r="H234" i="1"/>
  <c r="AN234" i="1" s="1"/>
  <c r="H235" i="1"/>
  <c r="AN235" i="1" s="1"/>
  <c r="H236" i="1"/>
  <c r="AN236" i="1" s="1"/>
  <c r="H237" i="1"/>
  <c r="AN237" i="1" s="1"/>
  <c r="H238" i="1"/>
  <c r="AN238" i="1" s="1"/>
  <c r="H239" i="1"/>
  <c r="AN239" i="1" s="1"/>
  <c r="H240" i="1"/>
  <c r="AN240" i="1" s="1"/>
  <c r="H241" i="1"/>
  <c r="AN241" i="1" s="1"/>
  <c r="H242" i="1"/>
  <c r="AN242" i="1" s="1"/>
  <c r="H243" i="1"/>
  <c r="AN243" i="1" s="1"/>
  <c r="H244" i="1"/>
  <c r="AN244" i="1" s="1"/>
  <c r="H245" i="1"/>
  <c r="AN245" i="1" s="1"/>
  <c r="H246" i="1"/>
  <c r="AN246" i="1" s="1"/>
  <c r="H247" i="1"/>
  <c r="AN247" i="1" s="1"/>
  <c r="H248" i="1"/>
  <c r="AN248" i="1" s="1"/>
  <c r="H249" i="1"/>
  <c r="AN249" i="1" s="1"/>
  <c r="H250" i="1"/>
  <c r="AN250" i="1" s="1"/>
  <c r="H251" i="1"/>
  <c r="AN251" i="1" s="1"/>
  <c r="H252" i="1"/>
  <c r="AN252" i="1" s="1"/>
  <c r="H253" i="1"/>
  <c r="AN253" i="1" s="1"/>
  <c r="H254" i="1"/>
  <c r="AN254" i="1" s="1"/>
  <c r="H255" i="1"/>
  <c r="AN255" i="1" s="1"/>
  <c r="H256" i="1"/>
  <c r="AN256" i="1" s="1"/>
  <c r="H257" i="1"/>
  <c r="AN257" i="1" s="1"/>
  <c r="H258" i="1"/>
  <c r="AN258" i="1" s="1"/>
  <c r="H259" i="1"/>
  <c r="AN259" i="1" s="1"/>
  <c r="H260" i="1"/>
  <c r="AN260" i="1" s="1"/>
  <c r="H261" i="1"/>
  <c r="AN261" i="1" s="1"/>
  <c r="H262" i="1"/>
  <c r="AN262" i="1" s="1"/>
  <c r="H263" i="1"/>
  <c r="AN263" i="1" s="1"/>
  <c r="H264" i="1"/>
  <c r="AN264" i="1" s="1"/>
  <c r="H265" i="1"/>
  <c r="AN265" i="1" s="1"/>
  <c r="H266" i="1"/>
  <c r="AN266" i="1" s="1"/>
  <c r="H267" i="1"/>
  <c r="AN267" i="1" s="1"/>
  <c r="H268" i="1"/>
  <c r="AN268" i="1" s="1"/>
  <c r="H269" i="1"/>
  <c r="AN269" i="1" s="1"/>
  <c r="H270" i="1"/>
  <c r="AN270" i="1" s="1"/>
  <c r="H271" i="1"/>
  <c r="AN271" i="1" s="1"/>
  <c r="H272" i="1"/>
  <c r="AN272" i="1" s="1"/>
  <c r="H273" i="1"/>
  <c r="AN273" i="1" s="1"/>
  <c r="H274" i="1"/>
  <c r="AN274" i="1" s="1"/>
  <c r="H275" i="1"/>
  <c r="AN275" i="1" s="1"/>
  <c r="H276" i="1"/>
  <c r="AN276" i="1" s="1"/>
  <c r="H277" i="1"/>
  <c r="AN277" i="1" s="1"/>
  <c r="H278" i="1"/>
  <c r="AN278" i="1" s="1"/>
  <c r="H279" i="1"/>
  <c r="AN279" i="1" s="1"/>
  <c r="H280" i="1"/>
  <c r="AN280" i="1" s="1"/>
  <c r="H281" i="1"/>
  <c r="AN281" i="1" s="1"/>
  <c r="H282" i="1"/>
  <c r="AN282" i="1" s="1"/>
  <c r="H283" i="1"/>
  <c r="AN283" i="1" s="1"/>
  <c r="H284" i="1"/>
  <c r="AN284" i="1" s="1"/>
  <c r="H285" i="1"/>
  <c r="AN285" i="1" s="1"/>
  <c r="H286" i="1"/>
  <c r="AN286" i="1" s="1"/>
  <c r="H287" i="1"/>
  <c r="AN287" i="1" s="1"/>
  <c r="H288" i="1"/>
  <c r="AN288" i="1" s="1"/>
  <c r="H289" i="1"/>
  <c r="AN289" i="1" s="1"/>
  <c r="H290" i="1"/>
  <c r="AN290" i="1" s="1"/>
  <c r="H291" i="1"/>
  <c r="AN291" i="1" s="1"/>
  <c r="H292" i="1"/>
  <c r="AN292" i="1" s="1"/>
  <c r="H293" i="1"/>
  <c r="AN293" i="1" s="1"/>
  <c r="H294" i="1"/>
  <c r="AN294" i="1" s="1"/>
  <c r="H295" i="1"/>
  <c r="AN295" i="1" s="1"/>
  <c r="H296" i="1"/>
  <c r="AN296" i="1" s="1"/>
  <c r="H297" i="1"/>
  <c r="AN297" i="1" s="1"/>
  <c r="H298" i="1"/>
  <c r="AN298" i="1" s="1"/>
  <c r="H299" i="1"/>
  <c r="AN299" i="1" s="1"/>
  <c r="H300" i="1"/>
  <c r="AN300" i="1" s="1"/>
  <c r="H301" i="1"/>
  <c r="AN301" i="1" s="1"/>
  <c r="H302" i="1"/>
  <c r="AN302" i="1" s="1"/>
  <c r="H303" i="1"/>
  <c r="AN303" i="1" s="1"/>
  <c r="H304" i="1"/>
  <c r="AN304" i="1" s="1"/>
  <c r="H305" i="1"/>
  <c r="AN305" i="1" s="1"/>
  <c r="H306" i="1"/>
  <c r="AN306" i="1" s="1"/>
  <c r="H307" i="1"/>
  <c r="AN307" i="1" s="1"/>
  <c r="H308" i="1"/>
  <c r="AN308" i="1" s="1"/>
  <c r="H309" i="1"/>
  <c r="AN309" i="1" s="1"/>
  <c r="H310" i="1"/>
  <c r="AN310" i="1" s="1"/>
  <c r="H311" i="1"/>
  <c r="AN311" i="1" s="1"/>
  <c r="H312" i="1"/>
  <c r="AN312" i="1" s="1"/>
  <c r="H313" i="1"/>
  <c r="AN313" i="1" s="1"/>
  <c r="H314" i="1"/>
  <c r="AN314" i="1" s="1"/>
  <c r="H315" i="1"/>
  <c r="AN315" i="1" s="1"/>
  <c r="H316" i="1"/>
  <c r="AN316" i="1" s="1"/>
  <c r="H317" i="1"/>
  <c r="AN317" i="1" s="1"/>
  <c r="H318" i="1"/>
  <c r="AN318" i="1" s="1"/>
  <c r="H319" i="1"/>
  <c r="AN319" i="1" s="1"/>
  <c r="H320" i="1"/>
  <c r="AN320" i="1" s="1"/>
  <c r="H321" i="1"/>
  <c r="AN321" i="1" s="1"/>
  <c r="H322" i="1"/>
  <c r="AN322" i="1" s="1"/>
  <c r="H323" i="1"/>
  <c r="AN323" i="1" s="1"/>
  <c r="H324" i="1"/>
  <c r="AN324" i="1" s="1"/>
  <c r="H325" i="1"/>
  <c r="AN325" i="1" s="1"/>
  <c r="H326" i="1"/>
  <c r="AN326" i="1" s="1"/>
  <c r="H327" i="1"/>
  <c r="AN327" i="1" s="1"/>
  <c r="H328" i="1"/>
  <c r="AN328" i="1" s="1"/>
  <c r="H329" i="1"/>
  <c r="AN329" i="1" s="1"/>
  <c r="H330" i="1"/>
  <c r="AN330" i="1" s="1"/>
  <c r="H331" i="1"/>
  <c r="AN331" i="1" s="1"/>
  <c r="H332" i="1"/>
  <c r="AN332" i="1" s="1"/>
  <c r="H333" i="1"/>
  <c r="AN333" i="1" s="1"/>
  <c r="H334" i="1"/>
  <c r="AN334" i="1" s="1"/>
  <c r="H335" i="1"/>
  <c r="AN335" i="1" s="1"/>
  <c r="H336" i="1"/>
  <c r="AN336" i="1" s="1"/>
  <c r="H337" i="1"/>
  <c r="AN337" i="1" s="1"/>
  <c r="H338" i="1"/>
  <c r="AN338" i="1" s="1"/>
  <c r="H339" i="1"/>
  <c r="AN339" i="1" s="1"/>
  <c r="H340" i="1"/>
  <c r="AN340" i="1" s="1"/>
  <c r="H341" i="1"/>
  <c r="AN341" i="1" s="1"/>
  <c r="H342" i="1"/>
  <c r="AN342" i="1" s="1"/>
  <c r="H343" i="1"/>
  <c r="AN343" i="1" s="1"/>
  <c r="H344" i="1"/>
  <c r="AN344" i="1" s="1"/>
  <c r="H345" i="1"/>
  <c r="AN345" i="1" s="1"/>
  <c r="H346" i="1"/>
  <c r="AN346" i="1" s="1"/>
  <c r="H347" i="1"/>
  <c r="AN347" i="1" s="1"/>
  <c r="H348" i="1"/>
  <c r="AN348" i="1" s="1"/>
  <c r="H349" i="1"/>
  <c r="AN349" i="1" s="1"/>
  <c r="H350" i="1"/>
  <c r="AN350" i="1" s="1"/>
  <c r="H351" i="1"/>
  <c r="AN351" i="1" s="1"/>
  <c r="H352" i="1"/>
  <c r="AN352" i="1" s="1"/>
  <c r="H353" i="1"/>
  <c r="AN353" i="1" s="1"/>
  <c r="H354" i="1"/>
  <c r="AN354" i="1" s="1"/>
  <c r="H355" i="1"/>
  <c r="AN355" i="1" s="1"/>
  <c r="H356" i="1"/>
  <c r="AN356" i="1" s="1"/>
  <c r="H357" i="1"/>
  <c r="AN357" i="1" s="1"/>
  <c r="H358" i="1"/>
  <c r="AN358" i="1" s="1"/>
  <c r="H359" i="1"/>
  <c r="AN359" i="1" s="1"/>
  <c r="H360" i="1"/>
  <c r="AN360" i="1" s="1"/>
  <c r="H361" i="1"/>
  <c r="AN361" i="1" s="1"/>
  <c r="H362" i="1"/>
  <c r="AN362" i="1" s="1"/>
  <c r="H363" i="1"/>
  <c r="AN363" i="1" s="1"/>
  <c r="H364" i="1"/>
  <c r="AN364" i="1" s="1"/>
  <c r="H365" i="1"/>
  <c r="AN365" i="1" s="1"/>
  <c r="H366" i="1"/>
  <c r="AN366" i="1" s="1"/>
  <c r="H367" i="1"/>
  <c r="AN367" i="1" s="1"/>
  <c r="H368" i="1"/>
  <c r="AN368" i="1" s="1"/>
  <c r="H369" i="1"/>
  <c r="AN369" i="1" s="1"/>
  <c r="H370" i="1"/>
  <c r="AN370" i="1" s="1"/>
  <c r="H371" i="1"/>
  <c r="AN371" i="1" s="1"/>
  <c r="H372" i="1"/>
  <c r="AN372" i="1" s="1"/>
  <c r="H373" i="1"/>
  <c r="AN373" i="1" s="1"/>
  <c r="H374" i="1"/>
  <c r="AN374" i="1" s="1"/>
  <c r="H375" i="1"/>
  <c r="AN375" i="1" s="1"/>
  <c r="H376" i="1"/>
  <c r="AN376" i="1" s="1"/>
  <c r="H377" i="1"/>
  <c r="AN377" i="1" s="1"/>
  <c r="H378" i="1"/>
  <c r="AN378" i="1" s="1"/>
  <c r="H379" i="1"/>
  <c r="AN379" i="1" s="1"/>
  <c r="H380" i="1"/>
  <c r="AN380" i="1" s="1"/>
  <c r="H381" i="1"/>
  <c r="AN381" i="1" s="1"/>
  <c r="H382" i="1"/>
  <c r="AN382" i="1" s="1"/>
  <c r="H383" i="1"/>
  <c r="AN383" i="1" s="1"/>
  <c r="H384" i="1"/>
  <c r="AN384" i="1" s="1"/>
  <c r="H385" i="1"/>
  <c r="AN385" i="1" s="1"/>
  <c r="H386" i="1"/>
  <c r="AN386" i="1" s="1"/>
  <c r="H387" i="1"/>
  <c r="AN387" i="1" s="1"/>
  <c r="H388" i="1"/>
  <c r="AN388" i="1" s="1"/>
  <c r="H389" i="1"/>
  <c r="AN389" i="1" s="1"/>
  <c r="H390" i="1"/>
  <c r="AN390" i="1" s="1"/>
  <c r="H391" i="1"/>
  <c r="AN391" i="1" s="1"/>
  <c r="H392" i="1"/>
  <c r="AN392" i="1" s="1"/>
  <c r="H393" i="1"/>
  <c r="AN393" i="1" s="1"/>
  <c r="H394" i="1"/>
  <c r="AN394" i="1" s="1"/>
  <c r="H395" i="1"/>
  <c r="AN395" i="1" s="1"/>
  <c r="H396" i="1"/>
  <c r="AN396" i="1" s="1"/>
  <c r="H397" i="1"/>
  <c r="AN397" i="1" s="1"/>
  <c r="H398" i="1"/>
  <c r="AN398" i="1" s="1"/>
  <c r="H399" i="1"/>
  <c r="AN399" i="1" s="1"/>
  <c r="H400" i="1"/>
  <c r="AN400" i="1" s="1"/>
  <c r="H401" i="1"/>
  <c r="AN401" i="1" s="1"/>
  <c r="H402" i="1"/>
  <c r="AN402" i="1" s="1"/>
  <c r="H403" i="1"/>
  <c r="AN403" i="1" s="1"/>
  <c r="H404" i="1"/>
  <c r="AN404" i="1" s="1"/>
  <c r="H405" i="1"/>
  <c r="AN405" i="1" s="1"/>
  <c r="H406" i="1"/>
  <c r="AN406" i="1" s="1"/>
  <c r="H407" i="1"/>
  <c r="AN407" i="1" s="1"/>
  <c r="H408" i="1"/>
  <c r="AN408" i="1" s="1"/>
  <c r="H409" i="1"/>
  <c r="AN409" i="1" s="1"/>
  <c r="H410" i="1"/>
  <c r="AN410" i="1" s="1"/>
  <c r="H411" i="1"/>
  <c r="AN411" i="1" s="1"/>
  <c r="H412" i="1"/>
  <c r="AN412" i="1" s="1"/>
  <c r="H413" i="1"/>
  <c r="AN413" i="1" s="1"/>
  <c r="H414" i="1"/>
  <c r="AN414" i="1" s="1"/>
  <c r="H415" i="1"/>
  <c r="AN415" i="1" s="1"/>
  <c r="H416" i="1"/>
  <c r="AN416" i="1" s="1"/>
  <c r="H417" i="1"/>
  <c r="AN417" i="1" s="1"/>
  <c r="H418" i="1"/>
  <c r="AN418" i="1" s="1"/>
  <c r="H419" i="1"/>
  <c r="AN419" i="1" s="1"/>
  <c r="H420" i="1"/>
  <c r="AN420" i="1" s="1"/>
  <c r="H421" i="1"/>
  <c r="AN421" i="1" s="1"/>
  <c r="H422" i="1"/>
  <c r="AN422" i="1" s="1"/>
  <c r="H423" i="1"/>
  <c r="AN423" i="1" s="1"/>
  <c r="H424" i="1"/>
  <c r="AN424" i="1" s="1"/>
  <c r="H425" i="1"/>
  <c r="AN425" i="1" s="1"/>
  <c r="H426" i="1"/>
  <c r="AN426" i="1" s="1"/>
  <c r="H427" i="1"/>
  <c r="AN427" i="1" s="1"/>
  <c r="H428" i="1"/>
  <c r="AN428" i="1" s="1"/>
  <c r="H429" i="1"/>
  <c r="AN429" i="1" s="1"/>
  <c r="H430" i="1"/>
  <c r="AN430" i="1" s="1"/>
  <c r="H431" i="1"/>
  <c r="AN431" i="1" s="1"/>
  <c r="H432" i="1"/>
  <c r="AN432" i="1" s="1"/>
  <c r="H433" i="1"/>
  <c r="AN433" i="1" s="1"/>
  <c r="H434" i="1"/>
  <c r="AN434" i="1" s="1"/>
  <c r="H435" i="1"/>
  <c r="AN435" i="1" s="1"/>
  <c r="H436" i="1"/>
  <c r="AN436" i="1" s="1"/>
  <c r="H437" i="1"/>
  <c r="AN437" i="1" s="1"/>
  <c r="H2" i="1"/>
  <c r="AN2" i="1" s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3" i="1"/>
  <c r="G4" i="1"/>
  <c r="G5" i="1"/>
  <c r="G6" i="1"/>
  <c r="G7" i="1"/>
  <c r="G8" i="1"/>
  <c r="G9" i="1"/>
  <c r="G10" i="1"/>
  <c r="G2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2" i="1"/>
</calcChain>
</file>

<file path=xl/sharedStrings.xml><?xml version="1.0" encoding="utf-8"?>
<sst xmlns="http://schemas.openxmlformats.org/spreadsheetml/2006/main" count="14654" uniqueCount="4115">
  <si>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</si>
  <si>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</si>
  <si>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</si>
  <si>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</si>
  <si>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</si>
  <si>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</si>
  <si>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</si>
  <si>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</si>
  <si>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</si>
  <si>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</si>
  <si>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</si>
  <si>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</si>
  <si>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</si>
  <si>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</si>
  <si>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</si>
  <si>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</si>
  <si>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</si>
  <si>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</si>
  <si>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</si>
  <si>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</si>
  <si>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</si>
  <si>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</si>
  <si>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</si>
  <si>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</si>
  <si>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</si>
  <si>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</si>
  <si>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</si>
  <si>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</si>
  <si>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</si>
  <si>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</si>
  <si>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</si>
  <si>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</si>
  <si>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</si>
  <si>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</si>
  <si>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</si>
  <si>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</si>
  <si>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</si>
  <si>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</si>
  <si>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</si>
  <si>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</si>
  <si>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</si>
  <si>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</si>
  <si>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</si>
  <si>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</si>
  <si>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</si>
  <si>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</si>
  <si>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</si>
  <si>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</si>
  <si>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</si>
  <si>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</si>
  <si>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</si>
  <si>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</si>
  <si>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</si>
  <si>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</si>
  <si>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</si>
  <si>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</si>
  <si>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</si>
  <si>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</si>
  <si>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</si>
  <si>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</si>
  <si>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</si>
  <si>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</si>
  <si>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</si>
  <si>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</si>
  <si>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</si>
  <si>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</si>
  <si>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</si>
  <si>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</si>
  <si>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</si>
  <si>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</si>
  <si>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</si>
  <si>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</si>
  <si>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</si>
  <si>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</si>
  <si>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</si>
  <si>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</si>
  <si>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</si>
  <si>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</si>
  <si>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</si>
  <si>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</si>
  <si>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</si>
  <si>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</si>
  <si>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</si>
  <si>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</si>
  <si>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</si>
  <si>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</si>
  <si>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</si>
  <si>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</si>
  <si>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</si>
  <si>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</si>
  <si>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</si>
  <si>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</si>
  <si>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</si>
  <si>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</si>
  <si>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</si>
  <si>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</si>
  <si>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</si>
  <si>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</si>
  <si>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</si>
  <si>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</si>
  <si>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</si>
  <si>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</si>
  <si>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</si>
  <si>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</si>
  <si>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</si>
  <si>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</si>
  <si>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</si>
  <si>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</si>
  <si>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</si>
  <si>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</si>
  <si>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</si>
  <si>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</si>
  <si>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</si>
  <si>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</si>
  <si>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</si>
  <si>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</si>
  <si>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</si>
  <si>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</si>
  <si>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</si>
  <si>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</si>
  <si>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</si>
  <si>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</si>
  <si>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</si>
  <si>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</si>
  <si>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</si>
  <si>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</si>
  <si>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</si>
  <si>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</si>
  <si>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</si>
  <si>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</si>
  <si>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</si>
  <si>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</si>
  <si>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</si>
  <si>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</si>
  <si>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</si>
  <si>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</si>
  <si>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</si>
  <si>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</si>
  <si>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</si>
  <si>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</si>
  <si>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</si>
  <si>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</si>
  <si>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</si>
  <si>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</si>
  <si>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</si>
  <si>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</si>
  <si>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</si>
  <si>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</si>
  <si>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</si>
  <si>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</si>
  <si>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</si>
  <si>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</si>
  <si>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</si>
  <si>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</si>
  <si>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</si>
  <si>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</si>
  <si>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</si>
  <si>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</si>
  <si>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</si>
  <si>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</si>
  <si>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</si>
  <si>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</si>
  <si>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</si>
  <si>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</si>
  <si>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</si>
  <si>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</si>
  <si>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</si>
  <si>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</si>
  <si>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</si>
  <si>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</si>
  <si>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</si>
  <si>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</si>
  <si>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</si>
  <si>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</si>
  <si>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</si>
  <si>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</si>
  <si>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</si>
  <si>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</si>
  <si>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</si>
  <si>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</si>
  <si>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</si>
  <si>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</si>
  <si>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</si>
  <si>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</si>
  <si>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</si>
  <si>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</si>
  <si>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</si>
  <si>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</si>
  <si>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</si>
  <si>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</si>
  <si>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</si>
  <si>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</si>
  <si>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</si>
  <si>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</si>
  <si>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</si>
  <si>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</si>
  <si>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</si>
  <si>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</si>
  <si>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</si>
  <si>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</si>
  <si>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</si>
  <si>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</si>
  <si>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</si>
  <si>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</si>
  <si>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</si>
  <si>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</si>
  <si>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</si>
  <si>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</si>
  <si>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</si>
  <si>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</si>
  <si>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</si>
  <si>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</si>
  <si>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</si>
  <si>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</si>
  <si>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</si>
  <si>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</si>
  <si>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</si>
  <si>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</si>
  <si>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</si>
  <si>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</si>
  <si>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</si>
  <si>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</si>
  <si>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</si>
  <si>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</si>
  <si>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</si>
  <si>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</si>
  <si>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</si>
  <si>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</si>
  <si>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</si>
  <si>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</si>
  <si>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</si>
  <si>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</si>
  <si>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</si>
  <si>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</si>
  <si>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</si>
  <si>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</si>
  <si>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</si>
  <si>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</si>
  <si>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</si>
  <si>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</si>
  <si>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</si>
  <si>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</si>
  <si>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</si>
  <si>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</si>
  <si>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</si>
  <si>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</si>
  <si>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</si>
  <si>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</si>
  <si>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</si>
  <si>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</si>
  <si>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</si>
  <si>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</si>
  <si>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</si>
  <si>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</si>
  <si>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</si>
  <si>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</si>
  <si>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</si>
  <si>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</si>
  <si>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</si>
  <si>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</si>
  <si>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</si>
  <si>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</si>
  <si>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</si>
  <si>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</si>
  <si>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</si>
  <si>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</si>
  <si>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</si>
  <si>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</si>
  <si>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</si>
  <si>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</si>
  <si>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</si>
  <si>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</si>
  <si>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</si>
  <si>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</si>
  <si>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</si>
  <si>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</si>
  <si>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</si>
  <si>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</si>
  <si>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</si>
  <si>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</si>
  <si>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</si>
  <si>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</si>
  <si>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</si>
  <si>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</si>
  <si>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</si>
  <si>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</si>
  <si>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</si>
  <si>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</si>
  <si>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</si>
  <si>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</si>
  <si>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</si>
  <si>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</si>
  <si>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</si>
  <si>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</si>
  <si>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</si>
  <si>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</si>
  <si>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</si>
  <si>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</si>
  <si>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</si>
  <si>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</si>
  <si>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</si>
  <si>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</si>
  <si>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</si>
  <si>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</si>
  <si>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</si>
  <si>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</si>
  <si>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</si>
  <si>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</si>
  <si>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</si>
  <si>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</si>
  <si>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</si>
  <si>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</si>
  <si>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</si>
  <si>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</si>
  <si>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</si>
  <si>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</si>
  <si>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</si>
  <si>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</si>
  <si>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</si>
  <si>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</si>
  <si>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</si>
  <si>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</si>
  <si>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</si>
  <si>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</si>
  <si>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</si>
  <si>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</si>
  <si>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</si>
  <si>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</si>
  <si>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</si>
  <si>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</si>
  <si>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</si>
  <si>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</si>
  <si>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</si>
  <si>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</si>
  <si>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</si>
  <si>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</si>
  <si>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</si>
  <si>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</si>
  <si>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</si>
  <si>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</si>
  <si>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</si>
  <si>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</si>
  <si>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</si>
  <si>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</si>
  <si>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</si>
  <si>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</si>
  <si>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</si>
  <si>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</si>
  <si>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</si>
  <si>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</si>
  <si>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</si>
  <si>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</si>
  <si>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</si>
  <si>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</si>
  <si>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</si>
  <si>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</si>
  <si>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</si>
  <si>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</si>
  <si>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</si>
  <si>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</si>
  <si>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</si>
  <si>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</si>
  <si>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</si>
  <si>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</si>
  <si>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</si>
  <si>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</si>
  <si>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</si>
  <si>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</si>
  <si>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</si>
  <si>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</si>
  <si>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</si>
  <si>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</si>
  <si>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</si>
  <si>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</si>
  <si>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</si>
  <si>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</si>
  <si>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</si>
  <si>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</si>
  <si>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</si>
  <si>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</si>
  <si>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</si>
  <si>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</si>
  <si>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</si>
  <si>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</si>
  <si>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</si>
  <si>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</si>
  <si>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</si>
  <si>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</si>
  <si>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</si>
  <si>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</si>
  <si>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</si>
  <si>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</si>
  <si>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</si>
  <si>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</si>
  <si>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</si>
  <si>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</si>
  <si>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</si>
  <si>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</si>
  <si>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</si>
  <si>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</si>
  <si>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</si>
  <si>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</si>
  <si>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</si>
  <si>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</si>
  <si>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</si>
  <si>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</si>
  <si>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</si>
  <si>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</si>
  <si>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</si>
  <si>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</si>
  <si>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</si>
  <si>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</si>
  <si>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</si>
  <si>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</si>
  <si>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</si>
  <si>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</si>
  <si>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</si>
  <si>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</si>
  <si>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</si>
  <si>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</si>
  <si>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</si>
  <si>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</si>
  <si>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</si>
  <si>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</si>
  <si>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</si>
  <si>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</si>
  <si>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</si>
  <si>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</si>
  <si>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</si>
  <si>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</si>
  <si>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</si>
  <si>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</si>
  <si>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</si>
  <si>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</si>
  <si>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</si>
  <si>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</si>
  <si>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</si>
  <si>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</si>
  <si>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</si>
  <si>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</si>
  <si>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</si>
  <si>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</si>
  <si>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</si>
  <si>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</si>
  <si>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</si>
  <si>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</si>
  <si>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</si>
  <si>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</si>
  <si>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</si>
  <si>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</si>
  <si>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</si>
  <si>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</si>
  <si>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</si>
  <si>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</si>
  <si>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</si>
  <si>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</si>
  <si>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</si>
  <si>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</si>
  <si>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</si>
  <si>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</si>
  <si>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</si>
  <si>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</si>
  <si>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</si>
  <si>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</si>
  <si>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</si>
  <si>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</si>
  <si>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</si>
  <si>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</si>
  <si>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</si>
  <si>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</si>
  <si>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</si>
  <si>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</si>
  <si>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</si>
  <si>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</si>
  <si>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</si>
  <si>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</si>
  <si>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</si>
  <si>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</si>
  <si>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</si>
  <si>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</si>
  <si>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</si>
  <si>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</si>
  <si>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</si>
  <si>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</si>
  <si>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</si>
  <si>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</si>
  <si>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</si>
  <si>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</si>
  <si>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</si>
  <si>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</si>
  <si>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</si>
  <si>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</si>
  <si>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</si>
  <si>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</si>
  <si>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</si>
  <si>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</si>
  <si>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</si>
  <si>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</si>
  <si>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</si>
  <si>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</si>
  <si>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</si>
  <si>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</si>
  <si>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</si>
  <si>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</si>
  <si>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</si>
  <si>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</si>
  <si>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</si>
  <si>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</si>
  <si>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</si>
  <si>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</si>
  <si>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</si>
  <si>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</si>
  <si>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</si>
  <si>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</si>
  <si>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</si>
  <si>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</si>
  <si>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</si>
  <si>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</si>
  <si>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</si>
  <si>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</si>
  <si>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</si>
  <si>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</si>
  <si>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</si>
  <si>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</si>
  <si>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</si>
  <si>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</si>
  <si>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</si>
  <si>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</si>
  <si>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</si>
  <si>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</si>
  <si>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</si>
  <si>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</si>
  <si>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</si>
  <si>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</si>
  <si>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</si>
  <si>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</si>
  <si>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</si>
  <si>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</si>
  <si>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</si>
  <si>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</si>
  <si>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</si>
  <si>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</si>
  <si>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</si>
  <si>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</si>
  <si>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</si>
  <si>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</si>
  <si>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</si>
  <si>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</si>
  <si>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</si>
  <si>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</si>
  <si>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</si>
  <si>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</si>
  <si>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</si>
  <si>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</si>
  <si>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</si>
  <si>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</si>
  <si>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</si>
  <si>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</si>
  <si>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</si>
  <si>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</si>
  <si>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</si>
  <si>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</si>
  <si>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</si>
  <si>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</si>
  <si>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</si>
  <si>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</si>
  <si>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</si>
  <si>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</si>
  <si>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</si>
  <si>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</si>
  <si>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</si>
  <si>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</si>
  <si>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</si>
  <si>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</si>
  <si>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</si>
  <si>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</si>
  <si>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</si>
  <si>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</si>
  <si>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</si>
  <si>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</si>
  <si>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</si>
  <si>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</si>
  <si>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</si>
  <si>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</si>
  <si>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</si>
  <si>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</si>
  <si>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</si>
  <si>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</si>
  <si>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</si>
  <si>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</si>
  <si>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</si>
  <si>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</si>
  <si>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</si>
  <si>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</si>
  <si>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</si>
  <si>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</si>
  <si>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</si>
  <si>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</si>
  <si>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</si>
  <si>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</si>
  <si>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</si>
  <si>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</si>
  <si>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</si>
  <si>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</si>
  <si>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</si>
  <si>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</si>
  <si>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</si>
  <si>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</si>
  <si>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</si>
  <si>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</si>
  <si>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</si>
  <si>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</si>
  <si>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</si>
  <si>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</si>
  <si>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</si>
  <si>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</si>
  <si>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</si>
  <si>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</si>
  <si>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</si>
  <si>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</si>
  <si>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</si>
  <si>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</si>
  <si>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</si>
  <si>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</si>
  <si>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</si>
  <si>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</si>
  <si>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</si>
  <si>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</si>
  <si>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</si>
  <si>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</si>
  <si>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</si>
  <si>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</si>
  <si>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</si>
  <si>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</si>
  <si>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</si>
  <si>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</si>
  <si>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</si>
  <si>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</si>
  <si>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</si>
  <si>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</si>
  <si>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</si>
  <si>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</si>
  <si>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</si>
  <si>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</si>
  <si>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</si>
  <si>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</si>
  <si>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</si>
  <si>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</si>
  <si>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</si>
  <si>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</si>
  <si>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</si>
  <si>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</si>
  <si>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</si>
  <si>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</si>
  <si>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</si>
  <si>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</si>
  <si>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</si>
  <si>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</si>
  <si>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</si>
  <si>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</si>
  <si>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</si>
  <si>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</si>
  <si>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</si>
  <si>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</si>
  <si>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</si>
  <si>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</si>
  <si>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</si>
  <si>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</si>
  <si>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</si>
  <si>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</si>
  <si>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</si>
  <si>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</si>
  <si>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</si>
  <si>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</si>
  <si>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</si>
  <si>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</si>
  <si>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</si>
  <si>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</si>
  <si>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</si>
  <si>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</si>
  <si>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</si>
  <si>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</si>
  <si>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</si>
  <si>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</si>
  <si>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</si>
  <si>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</si>
  <si>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</si>
  <si>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</si>
  <si>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</si>
  <si>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</si>
  <si>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</si>
  <si>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</si>
  <si>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</si>
  <si>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</si>
  <si>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</si>
  <si>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</si>
  <si>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</si>
  <si>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</si>
  <si>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</si>
  <si>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</si>
  <si>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</si>
  <si>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</si>
  <si>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</si>
  <si>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</si>
  <si>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</si>
  <si>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</si>
  <si>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</si>
  <si>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</si>
  <si>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</si>
  <si>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</si>
  <si>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</si>
  <si>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</si>
  <si>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</si>
  <si>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</si>
  <si>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</si>
  <si>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</si>
  <si>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</si>
  <si>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</si>
  <si>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</si>
  <si>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</si>
  <si>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</si>
  <si>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</si>
  <si>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</si>
  <si>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</si>
  <si>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</si>
  <si>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</si>
  <si>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</si>
  <si>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</si>
  <si>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</si>
  <si>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</si>
  <si>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</si>
  <si>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</si>
  <si>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</si>
  <si>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</si>
  <si>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</si>
  <si>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</si>
  <si>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</si>
  <si>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</si>
  <si>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</si>
  <si>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</si>
  <si>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</si>
  <si>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</si>
  <si>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</si>
  <si>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</si>
  <si>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</si>
  <si>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</si>
  <si>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</si>
  <si>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</si>
  <si>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</si>
  <si>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</si>
  <si>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</si>
  <si>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</si>
  <si>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</si>
  <si>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</si>
  <si>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</si>
  <si>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</si>
  <si>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</si>
  <si>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</si>
  <si>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</si>
  <si>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</si>
  <si>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</si>
  <si>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</si>
  <si>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</si>
  <si>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</si>
  <si>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</si>
  <si>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</si>
  <si>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</si>
  <si>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</si>
  <si>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</si>
  <si>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</si>
  <si>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</si>
  <si>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</si>
  <si>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</si>
  <si>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</si>
  <si>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</si>
  <si>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</si>
  <si>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</si>
  <si>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</si>
  <si>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</si>
  <si>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</si>
  <si>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</si>
  <si>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</si>
  <si>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</si>
  <si>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</si>
  <si>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</si>
  <si>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</si>
  <si>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</si>
  <si>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</si>
  <si>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</si>
  <si>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</si>
  <si>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</si>
  <si>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</si>
  <si>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</si>
  <si>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</si>
  <si>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</si>
  <si>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</si>
  <si>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</si>
  <si>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</si>
  <si>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</si>
  <si>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</si>
  <si>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</si>
  <si>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</si>
  <si>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</si>
  <si>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</si>
  <si>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</si>
  <si>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</si>
  <si>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</si>
  <si>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</si>
  <si>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</si>
  <si>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</si>
  <si>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</si>
  <si>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</si>
  <si>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</si>
  <si>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</si>
  <si>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</si>
  <si>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</si>
  <si>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</si>
  <si>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</si>
  <si>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</si>
  <si>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</si>
  <si>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</si>
  <si>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</si>
  <si>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</si>
  <si>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</si>
  <si>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</si>
  <si>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</si>
  <si>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</si>
  <si>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</si>
  <si>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</si>
  <si>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</si>
  <si>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</si>
  <si>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</si>
  <si>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</si>
  <si>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</si>
  <si>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</si>
  <si>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</si>
  <si>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</si>
  <si>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</si>
  <si>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</si>
  <si>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</si>
  <si>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</si>
  <si>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</si>
  <si>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</si>
  <si>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</si>
  <si>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</si>
  <si>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</si>
  <si>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</si>
  <si>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</si>
  <si>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</si>
  <si>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</si>
  <si>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</si>
  <si>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</si>
  <si>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</si>
  <si>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</si>
  <si>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</si>
  <si>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</si>
  <si>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</si>
  <si>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</si>
  <si>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</si>
  <si>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</si>
  <si>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</si>
  <si>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</si>
  <si>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</si>
  <si>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</si>
  <si>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</si>
  <si>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</si>
  <si>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</si>
  <si>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</si>
  <si>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</si>
  <si>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</si>
  <si>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</si>
  <si>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</si>
  <si>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</si>
  <si>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</si>
  <si>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</si>
  <si>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</si>
  <si>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</si>
  <si>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</si>
  <si>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</si>
  <si>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</si>
  <si>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</si>
  <si>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</si>
  <si>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</si>
  <si>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</si>
  <si>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</si>
  <si>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</si>
  <si>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</si>
  <si>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</si>
  <si>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</si>
  <si>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</si>
  <si>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</si>
  <si>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</si>
  <si>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</si>
  <si>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</si>
  <si>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</si>
  <si>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</si>
  <si>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</si>
  <si>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</si>
  <si>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</si>
  <si>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</si>
  <si>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</si>
  <si>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</si>
  <si>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</si>
  <si>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</si>
  <si>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</si>
  <si>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</si>
  <si>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</si>
  <si>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</si>
  <si>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</si>
  <si>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</si>
  <si>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</si>
  <si>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</si>
  <si>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</si>
  <si>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</si>
  <si>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</si>
  <si>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</si>
  <si>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</si>
  <si>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</si>
  <si>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</si>
  <si>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</si>
  <si>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</si>
  <si>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</si>
  <si>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</si>
  <si>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</si>
  <si>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</si>
  <si>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</si>
  <si>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</si>
  <si>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</si>
  <si>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</si>
  <si>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</si>
  <si>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</si>
  <si>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</si>
  <si>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</si>
  <si>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</si>
  <si>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</si>
  <si>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</si>
  <si>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</si>
  <si>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</si>
  <si>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</si>
  <si>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</si>
  <si>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</si>
  <si>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</si>
  <si>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</si>
  <si>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</si>
  <si>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</si>
  <si>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</si>
  <si>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</si>
  <si>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</si>
  <si>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</si>
  <si>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</si>
  <si>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</si>
  <si>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</si>
  <si>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</si>
  <si>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</si>
  <si>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</si>
  <si>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</si>
  <si>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</si>
  <si>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</si>
  <si>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</si>
  <si>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</si>
  <si>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</si>
  <si>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</si>
  <si>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</si>
  <si>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</si>
  <si>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</si>
  <si>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</si>
  <si>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</si>
  <si>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</si>
  <si>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</si>
  <si>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</si>
  <si>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</si>
  <si>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</si>
  <si>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</si>
  <si>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</si>
  <si>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</si>
  <si>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</si>
  <si>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</si>
  <si>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</si>
  <si>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</si>
  <si>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</si>
  <si>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</si>
  <si>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</si>
  <si>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</si>
  <si>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</si>
  <si>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</si>
  <si>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</si>
  <si>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</si>
  <si>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</si>
  <si>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</si>
  <si>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</si>
  <si>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</si>
  <si>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</si>
  <si>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</si>
  <si>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</si>
  <si>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</si>
  <si>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</si>
  <si>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</si>
  <si>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</si>
  <si>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</si>
  <si>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</si>
  <si>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</si>
  <si>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</si>
  <si>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</si>
  <si>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</si>
  <si>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</si>
  <si>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</si>
  <si>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</si>
  <si>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</si>
  <si>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</si>
  <si>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</si>
  <si>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</si>
  <si>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</si>
  <si>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</si>
  <si>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</si>
  <si>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</si>
  <si>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</si>
  <si>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</si>
  <si>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</si>
  <si>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</si>
  <si>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</si>
  <si>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</si>
  <si>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</si>
  <si>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</si>
  <si>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</si>
  <si>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</si>
  <si>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</si>
  <si>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</si>
  <si>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</si>
  <si>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</si>
  <si>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</si>
  <si>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</si>
  <si>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</si>
  <si>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</si>
  <si>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</si>
  <si>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</si>
  <si>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</si>
  <si>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</si>
  <si>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</si>
  <si>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</si>
  <si>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</si>
  <si>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</si>
  <si>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</si>
  <si>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</si>
  <si>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</si>
  <si>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</si>
  <si>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</si>
  <si>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</si>
  <si>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</si>
  <si>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</si>
  <si>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</si>
  <si>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</si>
  <si>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</si>
  <si>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</si>
  <si>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</si>
  <si>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</si>
  <si>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</si>
  <si>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</si>
  <si>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</si>
  <si>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</si>
  <si>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</si>
  <si>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</si>
  <si>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</si>
  <si>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</si>
  <si>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</si>
  <si>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</si>
  <si>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</si>
  <si>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</si>
  <si>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</si>
  <si>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</si>
  <si>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</si>
  <si>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</si>
  <si>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</si>
  <si>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</si>
  <si>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</si>
  <si>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</si>
  <si>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</si>
  <si>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</si>
  <si>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</si>
  <si>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</si>
  <si>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</si>
  <si>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</si>
  <si>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</si>
  <si>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</si>
  <si>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</si>
  <si>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</si>
  <si>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</si>
  <si>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</si>
  <si>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</si>
  <si>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</si>
  <si>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</si>
  <si>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</si>
  <si>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</si>
  <si>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</si>
  <si>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</si>
  <si>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</si>
  <si>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</si>
  <si>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</si>
  <si>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</si>
  <si>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</si>
  <si>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</si>
  <si>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</si>
  <si>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</si>
  <si>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</si>
  <si>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</si>
  <si>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</si>
  <si>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</si>
  <si>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</si>
  <si>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</si>
  <si>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</si>
  <si>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</si>
  <si>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</si>
  <si>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</si>
  <si>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</si>
  <si>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</si>
  <si>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</si>
  <si>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</si>
  <si>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</si>
  <si>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</si>
  <si>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</si>
  <si>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</si>
  <si>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</si>
  <si>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</si>
  <si>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</si>
  <si>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</si>
  <si>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</si>
  <si>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</si>
  <si>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</si>
  <si>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</si>
  <si>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</si>
  <si>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</si>
  <si>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</si>
  <si>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</si>
  <si>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</si>
  <si>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</si>
  <si>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</si>
  <si>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</si>
  <si>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</si>
  <si>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</si>
  <si>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</si>
  <si>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</si>
  <si>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</si>
  <si>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</si>
  <si>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</si>
  <si>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</si>
  <si>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</si>
  <si>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</si>
  <si>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</si>
  <si>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</si>
  <si>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</si>
  <si>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</si>
  <si>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</si>
  <si>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</si>
  <si>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</si>
  <si>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</si>
  <si>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</si>
  <si>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</si>
  <si>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</si>
  <si>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</si>
  <si>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</si>
  <si>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</si>
  <si>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</si>
  <si>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</si>
  <si>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</si>
  <si>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</si>
  <si>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</si>
  <si>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</si>
  <si>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</si>
  <si>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</si>
  <si>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</si>
  <si>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</si>
  <si>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</si>
  <si>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</si>
  <si>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</si>
  <si>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</si>
  <si>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</si>
  <si>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</si>
  <si>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</si>
  <si>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</si>
  <si>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</si>
  <si>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</si>
  <si>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</si>
  <si>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</si>
  <si>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</si>
  <si>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</si>
  <si>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</si>
  <si>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</si>
  <si>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</si>
  <si>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</si>
  <si>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</si>
  <si>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</si>
  <si>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</si>
  <si>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</si>
  <si>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</si>
  <si>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</si>
  <si>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</si>
  <si>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</si>
  <si>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</si>
  <si>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</si>
  <si>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</si>
  <si>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</si>
  <si>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</si>
  <si>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</si>
  <si>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</si>
  <si>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</si>
  <si>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</si>
  <si>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</si>
  <si>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</si>
  <si>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</si>
  <si>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</si>
  <si>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</si>
  <si>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</si>
  <si>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</si>
  <si>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</si>
  <si>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</si>
  <si>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</si>
  <si>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</si>
  <si>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</si>
  <si>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</si>
  <si>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</si>
  <si>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</si>
  <si>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</si>
  <si>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</si>
  <si>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</si>
  <si>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</si>
  <si>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</si>
  <si>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</si>
  <si>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</si>
  <si>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</si>
  <si>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</si>
  <si>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</si>
  <si>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</si>
  <si>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</si>
  <si>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</si>
  <si>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</si>
  <si>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</si>
  <si>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</si>
  <si>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</si>
  <si>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</si>
  <si>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</si>
  <si>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</si>
  <si>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</si>
  <si>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</si>
  <si>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</si>
  <si>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</si>
  <si>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</si>
  <si>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</si>
  <si>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</si>
  <si>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</si>
  <si>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</si>
  <si>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</si>
  <si>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</si>
  <si>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</si>
  <si>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</si>
  <si>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</si>
  <si>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</si>
  <si>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</si>
  <si>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</si>
  <si>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</si>
  <si>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</si>
  <si>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</si>
  <si>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</si>
  <si>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</si>
  <si>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</si>
  <si>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</si>
  <si>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</si>
  <si>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</si>
  <si>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</si>
  <si>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</si>
  <si>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</si>
  <si>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</si>
  <si>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</si>
  <si>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</si>
  <si>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</si>
  <si>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</si>
  <si>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</si>
  <si>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</si>
  <si>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</si>
  <si>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</si>
  <si>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</si>
  <si>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</si>
  <si>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</si>
  <si>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</si>
  <si>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</si>
  <si>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</si>
  <si>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</si>
  <si>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</si>
  <si>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</si>
  <si>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</si>
  <si>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</si>
  <si>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</si>
  <si>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</si>
  <si>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</si>
  <si>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</si>
  <si>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</si>
  <si>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</si>
  <si>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</si>
  <si>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</si>
  <si>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</si>
  <si>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</si>
  <si>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</si>
  <si>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</si>
  <si>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</si>
  <si>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</si>
  <si>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</si>
  <si>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</si>
  <si>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</si>
  <si>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</si>
  <si>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</si>
  <si>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</si>
  <si>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</si>
  <si>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</si>
  <si>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</si>
  <si>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</si>
  <si>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</si>
  <si>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</si>
  <si>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</si>
  <si>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</si>
  <si>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</si>
  <si>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</si>
  <si>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</si>
  <si>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</si>
  <si>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</si>
  <si>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</si>
  <si>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</si>
  <si>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</si>
  <si>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</si>
  <si>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</si>
  <si>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</si>
  <si>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</si>
  <si>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</si>
  <si>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</si>
  <si>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</si>
  <si>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</si>
  <si>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</si>
  <si>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</si>
  <si>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</si>
  <si>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</si>
  <si>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</si>
  <si>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</si>
  <si>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</si>
  <si>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</si>
  <si>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</si>
  <si>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</si>
  <si>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</si>
  <si>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</si>
  <si>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</si>
  <si>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</si>
  <si>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</si>
  <si>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</si>
  <si>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</si>
  <si>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</si>
  <si>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</si>
  <si>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</si>
  <si>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</si>
  <si>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</si>
  <si>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</si>
  <si>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</si>
  <si>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</si>
  <si>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</si>
  <si>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</si>
  <si>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</si>
  <si>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</si>
  <si>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</si>
  <si>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</si>
  <si>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</si>
  <si>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</si>
  <si>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</si>
  <si>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</si>
  <si>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</si>
  <si>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</si>
  <si>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</si>
  <si>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</si>
  <si>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</si>
  <si>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</si>
  <si>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</si>
  <si>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</si>
  <si>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</si>
  <si>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</si>
  <si>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</si>
  <si>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</si>
  <si>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</si>
  <si>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</si>
  <si>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</si>
  <si>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</si>
  <si>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</si>
  <si>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</si>
  <si>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</si>
  <si>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</si>
  <si>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</si>
  <si>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</si>
  <si>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</si>
  <si>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</si>
  <si>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</si>
  <si>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</si>
  <si>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</si>
  <si>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</si>
  <si>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</si>
  <si>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</si>
  <si>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</si>
  <si>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</si>
  <si>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</si>
  <si>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</si>
  <si>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</si>
  <si>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</si>
  <si>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</si>
  <si>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</si>
  <si>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</si>
  <si>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</si>
  <si>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</si>
  <si>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</si>
  <si>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</si>
  <si>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</si>
  <si>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</si>
  <si>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</si>
  <si>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</si>
  <si>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</si>
  <si>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</si>
  <si>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</si>
  <si>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</si>
  <si>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</si>
  <si>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</si>
  <si>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</si>
  <si>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</si>
  <si>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</si>
  <si>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</si>
  <si>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</si>
  <si>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</si>
  <si>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</si>
  <si>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</si>
  <si>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</si>
  <si>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</si>
  <si>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</si>
  <si>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</si>
  <si>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</si>
  <si>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</si>
  <si>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</si>
  <si>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</si>
  <si>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</si>
  <si>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</si>
  <si>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</si>
  <si>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</si>
  <si>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</si>
  <si>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</si>
  <si>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</si>
  <si>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</si>
  <si>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</si>
  <si>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</si>
  <si>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</si>
  <si>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</si>
  <si>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</si>
  <si>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</si>
  <si>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</si>
  <si>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</si>
  <si>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</si>
  <si>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</si>
  <si>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</si>
  <si>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</si>
  <si>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</si>
  <si>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</si>
  <si>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</si>
  <si>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</si>
  <si>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</si>
  <si>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</si>
  <si>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</si>
  <si>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</si>
  <si>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</si>
  <si>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</si>
  <si>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</si>
  <si>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</si>
  <si>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</si>
  <si>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</si>
  <si>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</si>
  <si>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</si>
  <si>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</si>
  <si>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</si>
  <si>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</si>
  <si>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</si>
  <si>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</si>
  <si>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</si>
  <si>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</si>
  <si>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</si>
  <si>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</si>
  <si>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</si>
  <si>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</si>
  <si>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</si>
  <si>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</si>
  <si>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</si>
  <si>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</si>
  <si>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</si>
  <si>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</si>
  <si>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</si>
  <si>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</si>
  <si>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</si>
  <si>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</si>
  <si>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</si>
  <si>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</si>
  <si>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</si>
  <si>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</si>
  <si>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</si>
  <si>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</si>
  <si>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</si>
  <si>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</si>
  <si>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</si>
  <si>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</si>
  <si>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</si>
  <si>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</si>
  <si>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</si>
  <si>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</si>
  <si>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</si>
  <si>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</si>
  <si>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</si>
  <si>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</si>
  <si>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</si>
  <si>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</si>
  <si>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</si>
  <si>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</si>
  <si>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</si>
  <si>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</si>
  <si>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</si>
  <si>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</si>
  <si>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</si>
  <si>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</si>
  <si>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</si>
  <si>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</si>
  <si>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</si>
  <si>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</si>
  <si>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</si>
  <si>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</si>
  <si>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</si>
  <si>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</si>
  <si>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</si>
  <si>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</si>
  <si>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</si>
  <si>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</si>
  <si>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</si>
  <si>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</si>
  <si>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</si>
  <si>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</si>
  <si>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</si>
  <si>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</si>
  <si>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</si>
  <si>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</si>
  <si>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</si>
  <si>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</si>
  <si>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</si>
  <si>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</si>
  <si>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</si>
  <si>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</si>
  <si>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</si>
  <si>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</si>
  <si>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</si>
  <si>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</si>
  <si>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</si>
  <si>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</si>
  <si>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</si>
  <si>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</si>
  <si>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</si>
  <si>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</si>
  <si>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</si>
  <si>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</si>
  <si>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</si>
  <si>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</si>
  <si>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</si>
  <si>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</si>
  <si>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</si>
  <si>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</si>
  <si>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</si>
  <si>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</si>
  <si>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</si>
  <si>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</si>
  <si>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</si>
  <si>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</si>
  <si>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</si>
  <si>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</si>
  <si>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</si>
  <si>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</si>
  <si>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</si>
  <si>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</si>
  <si>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</si>
  <si>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</si>
  <si>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</si>
  <si>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</si>
  <si>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</si>
  <si>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</si>
  <si>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</si>
  <si>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</si>
  <si>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</si>
  <si>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</si>
  <si>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</si>
  <si>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</si>
  <si>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</si>
  <si>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</si>
  <si>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</si>
  <si>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</si>
  <si>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</si>
  <si>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</si>
  <si>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</si>
  <si>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</si>
  <si>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</si>
  <si>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</si>
  <si>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</si>
  <si>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</si>
  <si>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</si>
  <si>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</si>
  <si>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</si>
  <si>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</si>
  <si>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</si>
  <si>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</si>
  <si>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</si>
  <si>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</si>
  <si>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</si>
  <si>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</si>
  <si>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</si>
  <si>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</si>
  <si>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</si>
  <si>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</si>
  <si>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</si>
  <si>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</si>
  <si>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</si>
  <si>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</si>
  <si>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</si>
  <si>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</si>
  <si>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</si>
  <si>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</si>
  <si>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</si>
  <si>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</si>
  <si>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</si>
  <si>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</si>
  <si>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</si>
  <si>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</si>
  <si>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</si>
  <si>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</si>
  <si>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</si>
  <si>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</si>
  <si>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</si>
  <si>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</si>
  <si>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</si>
  <si>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</si>
  <si>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</si>
  <si>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</si>
  <si>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</si>
  <si>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</si>
  <si>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</si>
  <si>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</si>
  <si>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</si>
  <si>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</si>
  <si>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</si>
  <si>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</si>
  <si>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</si>
  <si>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</si>
  <si>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</si>
  <si>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</si>
  <si>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</si>
  <si>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</si>
  <si>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</si>
  <si>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</si>
  <si>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</si>
  <si>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</si>
  <si>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</si>
  <si>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</si>
  <si>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</si>
  <si>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</si>
  <si>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</si>
  <si>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</si>
  <si>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</si>
  <si>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</si>
  <si>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</si>
  <si>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</si>
  <si>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</si>
  <si>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</si>
  <si>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</si>
  <si>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</si>
  <si>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</si>
  <si>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</si>
  <si>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</si>
  <si>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</si>
  <si>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</si>
  <si>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</si>
  <si>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</si>
  <si>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</si>
  <si>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</si>
  <si>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</si>
  <si>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</si>
  <si>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</si>
  <si>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</si>
  <si>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</si>
  <si>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</si>
  <si>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</si>
  <si>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</si>
  <si>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</si>
  <si>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</si>
  <si>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</si>
  <si>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</si>
  <si>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</si>
  <si>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</si>
  <si>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</si>
  <si>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</si>
  <si>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</si>
  <si>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</si>
  <si>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</si>
  <si>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</si>
  <si>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</si>
  <si>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</si>
  <si>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</si>
  <si>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</si>
  <si>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</si>
  <si>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</si>
  <si>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</si>
  <si>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</si>
  <si>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</si>
  <si>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</si>
  <si>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</si>
  <si>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</si>
  <si>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</si>
  <si>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</si>
  <si>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</si>
  <si>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</si>
  <si>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</si>
  <si>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</si>
  <si>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</si>
  <si>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</si>
  <si>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</si>
  <si>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</si>
  <si>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</si>
  <si>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</si>
  <si>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</si>
  <si>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</si>
  <si>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</si>
  <si>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</si>
  <si>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</si>
  <si>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</si>
  <si>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</si>
  <si>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</si>
  <si>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</si>
  <si>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</si>
  <si>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</si>
  <si>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</si>
  <si>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</si>
  <si>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</si>
  <si>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</si>
  <si>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</si>
  <si>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</si>
  <si>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</si>
  <si>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</si>
  <si>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</si>
  <si>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</si>
  <si>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</si>
  <si>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</si>
  <si>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</si>
  <si>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</si>
  <si>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</si>
  <si>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</si>
  <si>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</si>
  <si>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</si>
  <si>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</si>
  <si>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</si>
  <si>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</si>
  <si>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</si>
  <si>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</si>
  <si>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</si>
  <si>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</si>
  <si>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</si>
  <si>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</si>
  <si>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</si>
  <si>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</si>
  <si>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</si>
  <si>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</si>
  <si>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</si>
  <si>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</si>
  <si>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</si>
  <si>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</si>
  <si>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</si>
  <si>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</si>
  <si>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</si>
  <si>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</si>
  <si>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</si>
  <si>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</si>
  <si>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</si>
  <si>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</si>
  <si>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</si>
  <si>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</si>
  <si>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</si>
  <si>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</si>
  <si>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</si>
  <si>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</si>
  <si>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</si>
  <si>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</si>
  <si>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</si>
  <si>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</si>
  <si>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</si>
  <si>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</si>
  <si>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</si>
  <si>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</si>
  <si>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</si>
  <si>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</si>
  <si>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</si>
  <si>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</si>
  <si>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</si>
  <si>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</si>
  <si>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</si>
  <si>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</si>
  <si>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</si>
  <si>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</si>
  <si>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</si>
  <si>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</si>
  <si>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</si>
  <si>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</si>
  <si>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</si>
  <si>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</si>
  <si>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</si>
  <si>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</si>
  <si>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</si>
  <si>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</si>
  <si>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</si>
  <si>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</si>
  <si>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</si>
  <si>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</si>
  <si>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</si>
  <si>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</si>
  <si>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</si>
  <si>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</si>
  <si>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</si>
  <si>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</si>
  <si>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</si>
  <si>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</si>
  <si>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</si>
  <si>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</si>
  <si>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</si>
  <si>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</si>
  <si>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</si>
  <si>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</si>
  <si>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</si>
  <si>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</si>
  <si>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</si>
  <si>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</si>
  <si>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</si>
  <si>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</si>
  <si>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</si>
  <si>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</si>
  <si>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</si>
  <si>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</si>
  <si>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</si>
  <si>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</si>
  <si>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</si>
  <si>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</si>
  <si>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</si>
  <si>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</si>
  <si>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</si>
  <si>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</si>
  <si>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</si>
  <si>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</si>
  <si>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</si>
  <si>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</si>
  <si>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</si>
  <si>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</si>
  <si>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</si>
  <si>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</si>
  <si>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</si>
  <si>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</si>
  <si>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</si>
  <si>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</si>
  <si>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</si>
  <si>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</si>
  <si>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</si>
  <si>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</si>
  <si>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</si>
  <si>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</si>
  <si>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</si>
  <si>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</si>
  <si>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</si>
  <si>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</si>
  <si>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</si>
  <si>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</si>
  <si>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</si>
  <si>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</si>
  <si>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</si>
  <si>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</si>
  <si>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</si>
  <si>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</si>
  <si>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</si>
  <si>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</si>
  <si>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</si>
  <si>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</si>
  <si>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</si>
  <si>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</si>
  <si>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</si>
  <si>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</si>
  <si>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</si>
  <si>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</si>
  <si>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</si>
  <si>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</si>
  <si>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</si>
  <si>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</si>
  <si>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</si>
  <si>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</si>
  <si>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</si>
  <si>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</si>
  <si>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</si>
  <si>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</si>
  <si>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</si>
  <si>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</si>
  <si>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</si>
  <si>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</si>
  <si>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</si>
  <si>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</si>
  <si>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</si>
  <si>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</si>
  <si>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</si>
  <si>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</si>
  <si>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</si>
  <si>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</si>
  <si>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</si>
  <si>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</si>
  <si>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</si>
  <si>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</si>
  <si>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</si>
  <si>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</si>
  <si>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</si>
  <si>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</si>
  <si>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</si>
  <si>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</si>
  <si>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</si>
  <si>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</si>
  <si>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</si>
  <si>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</si>
  <si>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</si>
  <si>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</si>
  <si>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</si>
  <si>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</si>
  <si>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</si>
  <si>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</si>
  <si>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</si>
  <si>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</si>
  <si>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</si>
  <si>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</si>
  <si>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</si>
  <si>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</si>
  <si>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</si>
  <si>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</si>
  <si>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</si>
  <si>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</si>
  <si>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</si>
  <si>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</si>
  <si>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</si>
  <si>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</si>
  <si>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</si>
  <si>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</si>
  <si>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</si>
  <si>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</si>
  <si>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</si>
  <si>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</si>
  <si>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</si>
  <si>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</si>
  <si>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</si>
  <si>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</si>
  <si>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</si>
  <si>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</si>
  <si>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</si>
  <si>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</si>
  <si>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</si>
  <si>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</si>
  <si>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</si>
  <si>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</si>
  <si>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</si>
  <si>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</si>
  <si>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</si>
  <si>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</si>
  <si>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</si>
  <si>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</si>
  <si>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</si>
  <si>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</si>
  <si>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</si>
  <si>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</si>
  <si>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</si>
  <si>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</si>
  <si>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</si>
  <si>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</si>
  <si>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</si>
  <si>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</si>
  <si>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</si>
  <si>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</si>
  <si>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</si>
  <si>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</si>
  <si>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</si>
  <si>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</si>
  <si>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</si>
  <si>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</si>
  <si>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</si>
  <si>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</si>
  <si>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</si>
  <si>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</si>
  <si>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</si>
  <si>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</si>
  <si>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</si>
  <si>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</si>
  <si>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</si>
  <si>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</si>
  <si>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</si>
  <si>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</si>
  <si>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</si>
  <si>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</si>
  <si>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</si>
  <si>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</si>
  <si>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</si>
  <si>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</si>
  <si>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</si>
  <si>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</si>
  <si>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</si>
  <si>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</si>
  <si>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</si>
  <si>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</si>
  <si>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</si>
  <si>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</si>
  <si>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</si>
  <si>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</si>
  <si>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</si>
  <si>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</si>
  <si>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</si>
  <si>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</si>
  <si>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</si>
  <si>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</si>
  <si>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</si>
  <si>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</si>
  <si>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</si>
  <si>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</si>
  <si>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</si>
  <si>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</si>
  <si>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</si>
  <si>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</si>
  <si>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</si>
  <si>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</si>
  <si>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</si>
  <si>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</si>
  <si>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</si>
  <si>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</si>
  <si>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</si>
  <si>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</si>
  <si>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</si>
  <si>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</si>
  <si>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</si>
  <si>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</si>
  <si>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</si>
  <si>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</si>
  <si>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</si>
  <si>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</si>
  <si>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</si>
  <si>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</si>
  <si>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</si>
  <si>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</si>
  <si>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</si>
  <si>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</si>
  <si>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</si>
  <si>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</si>
  <si>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</si>
  <si>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</si>
  <si>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</si>
  <si>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</si>
  <si>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</si>
  <si>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</si>
  <si>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</si>
  <si>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</si>
  <si>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</si>
  <si>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</si>
  <si>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</si>
  <si>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</si>
  <si>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</si>
  <si>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</si>
  <si>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</si>
  <si>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</si>
  <si>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</si>
  <si>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</si>
  <si>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</si>
  <si>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</si>
  <si>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</si>
  <si>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</si>
  <si>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</si>
  <si>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</si>
  <si>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</si>
  <si>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</si>
  <si>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</si>
  <si>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</si>
  <si>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</si>
  <si>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</si>
  <si>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</si>
  <si>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</si>
  <si>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</si>
  <si>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</si>
  <si>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</si>
  <si>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</si>
  <si>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</si>
  <si>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</si>
  <si>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</si>
  <si>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</si>
  <si>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</si>
  <si>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</si>
  <si>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</si>
  <si>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</si>
  <si>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</si>
  <si>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</si>
  <si>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</si>
  <si>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</si>
  <si>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</si>
  <si>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</si>
  <si>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</si>
  <si>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</si>
  <si>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</si>
  <si>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</si>
  <si>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</si>
  <si>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</si>
  <si>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</si>
  <si>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</si>
  <si>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</si>
  <si>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</si>
  <si>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</si>
  <si>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</si>
  <si>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</si>
  <si>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</si>
  <si>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</si>
  <si>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</si>
  <si>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</si>
  <si>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</si>
  <si>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</si>
  <si>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</si>
  <si>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</si>
  <si>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</si>
  <si>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</si>
  <si>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</si>
  <si>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</si>
  <si>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</si>
  <si>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</si>
  <si>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</si>
  <si>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</si>
  <si>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</si>
  <si>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</si>
  <si>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</si>
  <si>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</si>
  <si>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</si>
  <si>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</si>
  <si>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</si>
  <si>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</si>
  <si>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</si>
  <si>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</si>
  <si>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</si>
  <si>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</si>
  <si>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</si>
  <si>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</si>
  <si>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</si>
  <si>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</si>
  <si>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</si>
  <si>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</si>
  <si>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</si>
  <si>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</si>
  <si>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</si>
  <si>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</si>
  <si>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</si>
  <si>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</si>
  <si>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</si>
  <si>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</si>
  <si>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</si>
  <si>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</si>
  <si>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</si>
  <si>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</si>
  <si>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</si>
  <si>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</si>
  <si>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</si>
  <si>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</si>
  <si>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</si>
  <si>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</si>
  <si>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</si>
  <si>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</si>
  <si>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</si>
  <si>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</si>
  <si>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</si>
  <si>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</si>
  <si>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</si>
  <si>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</si>
  <si>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</si>
  <si>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</si>
  <si>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</si>
  <si>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</si>
  <si>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</si>
  <si>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</si>
  <si>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</si>
  <si>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</si>
  <si>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</si>
  <si>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</si>
  <si>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</si>
  <si>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</si>
  <si>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</si>
  <si>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</si>
  <si>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</si>
  <si>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</si>
  <si>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</si>
  <si>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</si>
  <si>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</si>
  <si>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</si>
  <si>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</si>
  <si>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</si>
  <si>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</si>
  <si>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</si>
  <si>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</si>
  <si>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</si>
  <si>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</si>
  <si>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</si>
  <si>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</si>
  <si>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</si>
  <si>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</si>
  <si>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</si>
  <si>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</si>
  <si>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</si>
  <si>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</si>
  <si>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</si>
  <si>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</si>
  <si>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</si>
  <si>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</si>
  <si>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</si>
  <si>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</si>
  <si>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</si>
  <si>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</si>
  <si>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</si>
  <si>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</si>
  <si>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</si>
  <si>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</si>
  <si>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</si>
  <si>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</si>
  <si>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</si>
  <si>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</si>
  <si>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</si>
  <si>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</si>
  <si>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</si>
  <si>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</si>
  <si>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</si>
  <si>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</si>
  <si>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</si>
  <si>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</si>
  <si>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</si>
  <si>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</si>
  <si>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</si>
  <si>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</si>
  <si>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</si>
  <si>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</si>
  <si>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</si>
  <si>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</si>
  <si>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</si>
  <si>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</si>
  <si>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</si>
  <si>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</si>
  <si>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</si>
  <si>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</si>
  <si>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</si>
  <si>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</si>
  <si>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</si>
  <si>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</si>
  <si>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</si>
  <si>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</si>
  <si>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</si>
  <si>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</si>
  <si>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</si>
  <si>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</si>
  <si>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</si>
  <si>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</si>
  <si>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</si>
  <si>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</si>
  <si>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</si>
  <si>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</si>
  <si>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</si>
  <si>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</si>
  <si>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</si>
  <si>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</si>
  <si>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</si>
  <si>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</si>
  <si>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</si>
  <si>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</si>
  <si>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</si>
  <si>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</si>
  <si>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</si>
  <si>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</si>
  <si>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</si>
  <si>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</si>
  <si>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</si>
  <si>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</si>
  <si>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</si>
  <si>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</si>
  <si>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</si>
  <si>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</si>
  <si>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</si>
  <si>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</si>
  <si>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</si>
  <si>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</si>
  <si>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</si>
  <si>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</si>
  <si>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</si>
  <si>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</si>
  <si>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</si>
  <si>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</si>
  <si>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</si>
  <si>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</si>
  <si>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</si>
  <si>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</si>
  <si>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</si>
  <si>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</si>
  <si>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</si>
  <si>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</si>
  <si>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</si>
  <si>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</si>
  <si>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</si>
  <si>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</si>
  <si>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</si>
  <si>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</si>
  <si>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</si>
  <si>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</si>
  <si>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</si>
  <si>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</si>
  <si>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</si>
  <si>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</si>
  <si>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</si>
  <si>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</si>
  <si>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</si>
  <si>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</si>
  <si>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</si>
  <si>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</si>
  <si>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</si>
  <si>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</si>
  <si>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</si>
  <si>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</si>
  <si>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</si>
  <si>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</si>
  <si>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</si>
  <si>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</si>
  <si>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</si>
  <si>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</si>
  <si>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</si>
  <si>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</si>
  <si>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</si>
  <si>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</si>
  <si>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</si>
  <si>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</si>
  <si>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</si>
  <si>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</si>
  <si>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</si>
  <si>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</si>
  <si>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</si>
  <si>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</si>
  <si>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</si>
  <si>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</si>
  <si>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</si>
  <si>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</si>
  <si>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</si>
  <si>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</si>
  <si>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</si>
  <si>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</si>
  <si>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</si>
  <si>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</si>
  <si>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</si>
  <si>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</si>
  <si>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</si>
  <si>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</si>
  <si>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</si>
  <si>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</si>
  <si>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</si>
  <si>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</si>
  <si>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</si>
  <si>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</si>
  <si>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</si>
  <si>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</si>
  <si>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</si>
  <si>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</si>
  <si>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</si>
  <si>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</si>
  <si>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</si>
  <si>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</si>
  <si>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</si>
  <si>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</si>
  <si>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</si>
  <si>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</si>
  <si>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</si>
  <si>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</si>
  <si>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</si>
  <si>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</si>
  <si>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</si>
  <si>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</si>
  <si>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</si>
  <si>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</si>
  <si>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</si>
  <si>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</si>
  <si>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</si>
  <si>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</si>
  <si>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</si>
  <si>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</si>
  <si>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</si>
  <si>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</si>
  <si>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</si>
  <si>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</si>
  <si>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</si>
  <si>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</si>
  <si>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</si>
  <si>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</si>
  <si>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</si>
  <si>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</si>
  <si>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</si>
  <si>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</si>
  <si>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</si>
  <si>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</si>
  <si>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</si>
  <si>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</si>
  <si>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</si>
  <si>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</si>
  <si>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</si>
  <si>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</si>
  <si>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</si>
  <si>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</si>
  <si>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</si>
  <si>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</si>
  <si>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</si>
  <si>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</si>
  <si>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</si>
  <si>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</si>
  <si>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</si>
  <si>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</si>
  <si>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</si>
  <si>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</si>
  <si>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</si>
  <si>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</si>
  <si>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</si>
  <si>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</si>
  <si>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</si>
  <si>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</si>
  <si>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</si>
  <si>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</si>
  <si>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</si>
  <si>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</si>
  <si>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</si>
  <si>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</si>
  <si>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</si>
  <si>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</si>
  <si>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</si>
  <si>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</si>
  <si>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</si>
  <si>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</si>
  <si>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</si>
  <si>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</si>
  <si>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</si>
  <si>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</si>
  <si>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</si>
  <si>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</si>
  <si>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</si>
  <si>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</si>
  <si>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</si>
  <si>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</si>
  <si>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</si>
  <si>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</si>
  <si>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</si>
  <si>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</si>
  <si>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</si>
  <si>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</si>
  <si>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</si>
  <si>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</si>
  <si>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</si>
  <si>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</si>
  <si>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</si>
  <si>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</si>
  <si>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</si>
  <si>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</si>
  <si>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</si>
  <si>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</si>
  <si>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</si>
  <si>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</si>
  <si>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</si>
  <si>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</si>
  <si>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</si>
  <si>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</si>
  <si>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</si>
  <si>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</si>
  <si>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</si>
  <si>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</si>
  <si>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</si>
  <si>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</si>
  <si>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</si>
  <si>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</si>
  <si>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</si>
  <si>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</si>
  <si>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</si>
  <si>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</si>
  <si>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</si>
  <si>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</si>
  <si>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</si>
  <si>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</si>
  <si>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</si>
  <si>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</si>
  <si>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</si>
  <si>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</si>
  <si>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</si>
  <si>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</si>
  <si>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</si>
  <si>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</si>
  <si>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</si>
  <si>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</si>
  <si>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</si>
  <si>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</si>
  <si>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</si>
  <si>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</si>
  <si>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</si>
  <si>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</si>
  <si>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</si>
  <si>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</si>
  <si>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</si>
  <si>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</si>
  <si>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</si>
  <si>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</si>
  <si>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</si>
  <si>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</si>
  <si>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</si>
  <si>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</si>
  <si>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</si>
  <si>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</si>
  <si>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</si>
  <si>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</si>
  <si>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</si>
  <si>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</si>
  <si>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</si>
  <si>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</si>
  <si>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</si>
  <si>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</si>
  <si>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</si>
  <si>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</si>
  <si>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</si>
  <si>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</si>
  <si>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</si>
  <si>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</si>
  <si>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</si>
  <si>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</si>
  <si>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</si>
  <si>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</si>
  <si>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</si>
  <si>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</si>
  <si>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</si>
  <si>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</si>
  <si>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</si>
  <si>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</si>
  <si>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</si>
  <si>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</si>
  <si>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</si>
  <si>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</si>
  <si>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</si>
  <si>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</si>
  <si>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</si>
  <si>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</si>
  <si>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</si>
  <si>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</si>
  <si>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</si>
  <si>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</si>
  <si>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</si>
  <si>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</si>
  <si>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</si>
  <si>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</si>
  <si>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</si>
  <si>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</si>
  <si>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</si>
  <si>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</si>
  <si>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</si>
  <si>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</si>
  <si>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</si>
  <si>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</si>
  <si>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</si>
  <si>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</si>
  <si>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</si>
  <si>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</si>
  <si>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</si>
  <si>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</si>
  <si>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</si>
  <si>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</si>
  <si>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</si>
  <si>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</si>
  <si>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</si>
  <si>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</si>
  <si>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</si>
  <si>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</si>
  <si>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</si>
  <si>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</si>
  <si>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</si>
  <si>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</si>
  <si>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</si>
  <si>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</si>
  <si>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</si>
  <si>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</si>
  <si>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</si>
  <si>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</si>
  <si>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</si>
  <si>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</si>
  <si>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</si>
  <si>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</si>
  <si>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</si>
  <si>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</si>
  <si>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</si>
  <si>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</si>
  <si>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</si>
  <si>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</si>
  <si>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</si>
  <si>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</si>
  <si>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</si>
  <si>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</si>
  <si>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</si>
  <si>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</si>
  <si>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</si>
  <si>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</si>
  <si>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</si>
  <si>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</si>
  <si>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</si>
  <si>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</si>
  <si>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</si>
  <si>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</si>
  <si>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</si>
  <si>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</si>
  <si>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</si>
  <si>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</si>
  <si>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</si>
  <si>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</si>
  <si>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</si>
  <si>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</si>
  <si>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</si>
  <si>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</si>
  <si>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</si>
  <si>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</si>
  <si>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</si>
  <si>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</si>
  <si>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</si>
  <si>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</si>
  <si>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</si>
  <si>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</si>
  <si>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</si>
  <si>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</si>
  <si>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</si>
  <si>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</si>
  <si>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</si>
  <si>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</si>
  <si>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</si>
  <si>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</si>
  <si>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</si>
  <si>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</si>
  <si>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</si>
  <si>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</si>
  <si>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</si>
  <si>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</si>
  <si>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</si>
  <si>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</si>
  <si>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</si>
  <si>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</si>
  <si>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</si>
  <si>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</si>
  <si>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</si>
  <si>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</si>
  <si>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</si>
  <si>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</si>
  <si>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</si>
  <si>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</si>
  <si>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</si>
  <si>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</si>
  <si>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</si>
  <si>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</si>
  <si>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</si>
  <si>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</si>
  <si>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</si>
  <si>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</si>
  <si>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</si>
  <si>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</si>
  <si>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</si>
  <si>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</si>
  <si>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</si>
  <si>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</si>
  <si>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</si>
  <si>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</si>
  <si>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</si>
  <si>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</si>
  <si>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</si>
  <si>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</si>
  <si>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</si>
  <si>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</si>
  <si>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</si>
  <si>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</si>
  <si>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</si>
  <si>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</si>
  <si>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</si>
  <si>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</si>
  <si>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</si>
  <si>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</si>
  <si>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</si>
  <si>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</si>
  <si>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</si>
  <si>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</si>
  <si>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</si>
  <si>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</si>
  <si>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</si>
  <si>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</si>
  <si>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</si>
  <si>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</si>
  <si>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</si>
  <si>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</si>
  <si>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</si>
  <si>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</si>
  <si>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</si>
  <si>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</si>
  <si>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</si>
  <si>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</si>
  <si>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</si>
  <si>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</si>
  <si>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</si>
  <si>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</si>
  <si>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</si>
  <si>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</si>
  <si>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</si>
  <si>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</si>
  <si>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</si>
  <si>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</si>
  <si>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</si>
  <si>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</si>
  <si>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</si>
  <si>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</si>
  <si>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</si>
  <si>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</si>
  <si>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</si>
  <si>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</si>
  <si>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</si>
  <si>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</si>
  <si>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</si>
  <si>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</si>
  <si>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</si>
  <si>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</si>
  <si>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</si>
  <si>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</si>
  <si>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</si>
  <si>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</si>
  <si>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</si>
  <si>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</si>
  <si>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</si>
  <si>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</si>
  <si>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</si>
  <si>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</si>
  <si>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</si>
  <si>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</si>
  <si>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</si>
  <si>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</si>
  <si>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</si>
  <si>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</si>
  <si>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</si>
  <si>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</si>
  <si>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</si>
  <si>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</si>
  <si>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</si>
  <si>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</si>
  <si>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</si>
  <si>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</si>
  <si>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</si>
  <si>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</si>
  <si>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</si>
  <si>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</si>
  <si>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</si>
  <si>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</si>
  <si>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</si>
  <si>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</si>
  <si>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</si>
  <si>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</si>
  <si>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</si>
  <si>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</si>
  <si>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</si>
  <si>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</si>
  <si>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</si>
  <si>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</si>
  <si>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</si>
  <si>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</si>
  <si>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</si>
  <si>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</si>
  <si>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</si>
  <si>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</si>
  <si>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</si>
  <si>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</si>
  <si>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</si>
  <si>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</si>
  <si>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</si>
  <si>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</si>
  <si>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</si>
  <si>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</si>
  <si>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</si>
  <si>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</si>
  <si>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</si>
  <si>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</si>
  <si>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</si>
  <si>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</si>
  <si>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</si>
  <si>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</si>
  <si>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</si>
  <si>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</si>
  <si>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</si>
  <si>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</si>
  <si>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</si>
  <si>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</si>
  <si>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</si>
  <si>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</si>
  <si>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</si>
  <si>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</si>
  <si>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</si>
  <si>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</si>
  <si>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</si>
  <si>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</si>
  <si>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</si>
  <si>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</si>
  <si>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</si>
  <si>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</si>
  <si>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</si>
  <si>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</si>
  <si>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</si>
  <si>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</si>
  <si>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</si>
  <si>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</si>
  <si>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</si>
  <si>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</si>
  <si>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</si>
  <si>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</si>
  <si>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</si>
  <si>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</si>
  <si>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</si>
  <si>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</si>
  <si>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</si>
  <si>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</si>
  <si>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</si>
  <si>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</si>
  <si>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</si>
  <si>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</si>
  <si>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</si>
  <si>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</si>
  <si>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</si>
  <si>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</si>
  <si>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</si>
  <si>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</si>
  <si>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</si>
  <si>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</si>
  <si>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</si>
  <si>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</si>
  <si>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</si>
  <si>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</si>
  <si>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</si>
  <si>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</si>
  <si>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</si>
  <si>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</si>
  <si>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</si>
  <si>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</si>
  <si>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</si>
  <si>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</si>
  <si>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</si>
  <si>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</si>
  <si>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</si>
  <si>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</si>
  <si>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</si>
  <si>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</si>
  <si>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</si>
  <si>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</si>
  <si>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</si>
  <si>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</si>
  <si>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</si>
  <si>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</si>
  <si>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</si>
  <si>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</si>
  <si>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</si>
  <si>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</si>
  <si>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</si>
  <si>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</si>
  <si>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</si>
  <si>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</si>
  <si>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</si>
  <si>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</si>
  <si>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</si>
  <si>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</si>
  <si>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</si>
  <si>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</si>
  <si>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</si>
  <si>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</si>
  <si>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</si>
  <si>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</si>
  <si>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</si>
  <si>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</si>
  <si>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</si>
  <si>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</si>
  <si>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</si>
  <si>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</si>
  <si>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</si>
  <si>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</si>
  <si>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</si>
  <si>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</si>
  <si>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</si>
  <si>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</si>
  <si>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</si>
  <si>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</si>
  <si>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</si>
  <si>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</si>
  <si>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</si>
  <si>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</si>
  <si>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</si>
  <si>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</si>
  <si>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</si>
  <si>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</si>
  <si>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</si>
  <si>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</si>
  <si>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</si>
  <si>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</si>
  <si>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</si>
  <si>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</si>
  <si>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</si>
  <si>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</si>
  <si>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</si>
  <si>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</si>
  <si>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</si>
  <si>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</si>
  <si>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</si>
  <si>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</si>
  <si>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</si>
  <si>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</si>
  <si>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</si>
  <si>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</si>
  <si>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</si>
  <si>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</si>
  <si>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</si>
  <si>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</si>
  <si>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</si>
  <si>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</si>
  <si>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</si>
  <si>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</si>
  <si>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</si>
  <si>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</si>
  <si>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</si>
  <si>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</si>
  <si>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</si>
  <si>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</si>
  <si>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</si>
  <si>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</si>
  <si>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</si>
  <si>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</si>
  <si>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</si>
  <si>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</si>
  <si>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</si>
  <si>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</si>
  <si>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</si>
  <si>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</si>
  <si>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</si>
  <si>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</si>
  <si>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</si>
  <si>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</si>
  <si>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</si>
  <si>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</si>
  <si>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</si>
  <si>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</si>
  <si>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</si>
  <si>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</si>
  <si>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</si>
  <si>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</si>
  <si>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</si>
  <si>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</si>
  <si>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</si>
  <si>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</si>
  <si>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</si>
  <si>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</si>
  <si>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</si>
  <si>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</si>
  <si>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</si>
  <si>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</si>
  <si>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</si>
  <si>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</si>
  <si>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</si>
  <si>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</si>
  <si>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</si>
  <si>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</si>
  <si>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</si>
  <si>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</si>
  <si>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</si>
  <si>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</si>
  <si>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</si>
  <si>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</si>
  <si>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</si>
  <si>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</si>
  <si>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</si>
  <si>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</si>
  <si>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</si>
  <si>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</si>
  <si>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</si>
  <si>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</si>
  <si>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</si>
  <si>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</si>
  <si>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</si>
  <si>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</si>
  <si>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</si>
  <si>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</si>
  <si>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</si>
  <si>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</si>
  <si>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</si>
  <si>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</si>
  <si>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</si>
  <si>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</si>
  <si>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</si>
  <si>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</si>
  <si>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</si>
  <si>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</si>
  <si>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</si>
  <si>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</si>
  <si>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</si>
  <si>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</si>
  <si>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</si>
  <si>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</si>
  <si>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</si>
  <si>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</si>
  <si>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</si>
  <si>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</si>
  <si>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</si>
  <si>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</si>
  <si>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</si>
  <si>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</si>
  <si>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</si>
  <si>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</si>
  <si>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</si>
  <si>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</si>
  <si>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</si>
  <si>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</si>
  <si>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</si>
  <si>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</si>
  <si>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</si>
  <si>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</si>
  <si>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</si>
  <si>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</si>
  <si>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</si>
  <si>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</si>
  <si>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</si>
  <si>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</si>
  <si>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</si>
  <si>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</si>
  <si>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</si>
  <si>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</si>
  <si>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</si>
  <si>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</si>
  <si>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</si>
  <si>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</si>
  <si>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</si>
  <si>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</si>
  <si>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</si>
  <si>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</si>
  <si>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</si>
  <si>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</si>
  <si>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</si>
  <si>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</si>
  <si>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</si>
  <si>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</si>
  <si>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</si>
  <si>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</si>
  <si>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</si>
  <si>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</si>
  <si>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</si>
  <si>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</si>
  <si>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</si>
  <si>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</si>
  <si>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</si>
  <si>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</si>
  <si>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</si>
  <si>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</si>
  <si>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</si>
  <si>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</si>
  <si>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</si>
  <si>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</si>
  <si>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</si>
  <si>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</si>
  <si>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</si>
  <si>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</si>
  <si>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</si>
  <si>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</si>
  <si>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</si>
  <si>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</si>
  <si>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</si>
  <si>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</si>
  <si>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</si>
  <si>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</si>
  <si>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</si>
  <si>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</si>
  <si>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</si>
  <si>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</si>
  <si>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</si>
  <si>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</si>
  <si>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</si>
  <si>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</si>
  <si>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</si>
  <si>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</si>
  <si>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</si>
  <si>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</si>
  <si>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</si>
  <si>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</si>
  <si>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</si>
  <si>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</si>
  <si>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</si>
  <si>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</si>
  <si>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</si>
  <si>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</si>
  <si>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</si>
  <si>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</si>
  <si>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</si>
  <si>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</si>
  <si>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</si>
  <si>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</si>
  <si>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</si>
  <si>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</si>
  <si>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</si>
  <si>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</si>
  <si>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</si>
  <si>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</si>
  <si>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</si>
  <si>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</si>
  <si>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</si>
  <si>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</si>
  <si>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</si>
  <si>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</si>
  <si>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</si>
  <si>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</si>
  <si>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</si>
  <si>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</si>
  <si>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</si>
  <si>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</si>
  <si>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</si>
  <si>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</si>
  <si>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</si>
  <si>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</si>
  <si>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</si>
  <si>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</si>
  <si>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</si>
  <si>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</si>
  <si>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</si>
  <si>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</si>
  <si>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</si>
  <si>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</si>
  <si>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</si>
  <si>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</si>
  <si>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</si>
  <si>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</si>
  <si>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</si>
  <si>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</si>
  <si>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</si>
  <si>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</si>
  <si>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</si>
  <si>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</si>
  <si>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</si>
  <si>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</si>
  <si>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</si>
  <si>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</si>
  <si>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</si>
  <si>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</si>
  <si>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</si>
  <si>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</si>
  <si>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</si>
  <si>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</si>
  <si>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</si>
  <si>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</si>
  <si>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</si>
  <si>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</si>
  <si>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</si>
  <si>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</si>
  <si>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</si>
  <si>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</si>
  <si>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</si>
  <si>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</si>
  <si>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</si>
  <si>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</si>
  <si>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</si>
  <si>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</si>
  <si>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</si>
  <si>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</si>
  <si>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</si>
  <si>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</si>
  <si>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</si>
  <si>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</si>
  <si>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</si>
  <si>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</si>
  <si>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</si>
  <si>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</si>
  <si>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</si>
  <si>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</si>
  <si>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</si>
  <si>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</si>
  <si>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</si>
  <si>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</si>
  <si>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</si>
  <si>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</si>
  <si>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</si>
  <si>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</si>
  <si>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</si>
  <si>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</si>
  <si>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</si>
  <si>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</si>
  <si>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</si>
  <si>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</si>
  <si>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</si>
  <si>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</si>
  <si>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</si>
  <si>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</si>
  <si>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</si>
  <si>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</si>
  <si>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</si>
  <si>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</si>
  <si>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</si>
  <si>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</si>
  <si>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</si>
  <si>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</si>
  <si>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</si>
  <si>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</si>
  <si>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</si>
  <si>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</si>
  <si>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</si>
  <si>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</si>
  <si>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</si>
  <si>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</si>
  <si>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</si>
  <si>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</si>
  <si>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</si>
  <si>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</si>
  <si>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</si>
  <si>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</si>
  <si>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</si>
  <si>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</si>
  <si>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</si>
  <si>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</si>
  <si>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</si>
  <si>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</si>
  <si>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</si>
  <si>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</si>
  <si>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</si>
  <si>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</si>
  <si>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</si>
  <si>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</si>
  <si>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</si>
  <si>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</si>
  <si>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</si>
  <si>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</si>
  <si>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</si>
  <si>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</si>
  <si>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</si>
  <si>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</si>
  <si>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</si>
  <si>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</si>
  <si>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</si>
  <si>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</si>
  <si>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</si>
  <si>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</si>
  <si>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</si>
  <si>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</si>
  <si>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</si>
  <si>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</si>
  <si>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</si>
  <si>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</si>
  <si>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</si>
  <si>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</si>
  <si>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</si>
  <si>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</si>
  <si>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</si>
  <si>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</si>
  <si>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</si>
  <si>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</si>
  <si>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</si>
  <si>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</si>
  <si>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</si>
  <si>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</si>
  <si>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</si>
  <si>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</si>
  <si>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</si>
  <si>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</si>
  <si>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</si>
  <si>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</si>
  <si>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</si>
  <si>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</si>
  <si>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</si>
  <si>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</si>
  <si>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</si>
  <si>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</si>
  <si>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</si>
  <si>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</si>
  <si>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</si>
  <si>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</si>
  <si>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</si>
  <si>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</si>
  <si>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</si>
  <si>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</si>
  <si>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</si>
  <si>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</si>
  <si>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</si>
  <si>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</si>
  <si>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</si>
  <si>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</si>
  <si>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</si>
  <si>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</si>
  <si>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</si>
  <si>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</si>
  <si>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</si>
  <si>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</si>
  <si>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</si>
  <si>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</si>
  <si>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</si>
  <si>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</si>
  <si>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</si>
  <si>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</si>
  <si>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</si>
  <si>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</si>
  <si>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</si>
  <si>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</si>
  <si>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</si>
  <si>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</si>
  <si>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</si>
  <si>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</si>
  <si>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</si>
  <si>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</si>
  <si>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</si>
  <si>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</si>
  <si>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</si>
  <si>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</si>
  <si>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</si>
  <si>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</si>
  <si>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</si>
  <si>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</si>
  <si>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</si>
  <si>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</si>
  <si>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</si>
  <si>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</si>
  <si>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</si>
  <si>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</si>
  <si>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</si>
  <si>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</si>
  <si>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</si>
  <si>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</si>
  <si>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</si>
  <si>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</si>
  <si>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</si>
  <si>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</si>
  <si>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</si>
  <si>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</si>
  <si>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</si>
  <si>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</si>
  <si>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</si>
  <si>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</si>
  <si>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</si>
  <si>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</si>
  <si>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</si>
  <si>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</si>
  <si>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</si>
  <si>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</si>
  <si>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</si>
  <si>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</si>
  <si>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</si>
  <si>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</si>
  <si>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</si>
  <si>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</si>
  <si>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</si>
  <si>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</si>
  <si>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</si>
  <si>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</si>
  <si>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</si>
  <si>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</si>
  <si>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</si>
  <si>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</si>
  <si>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</si>
  <si>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</si>
  <si>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</si>
  <si>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</si>
  <si>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</si>
  <si>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</si>
  <si>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</si>
  <si>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</si>
  <si>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</si>
  <si>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</si>
  <si>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</si>
  <si>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</si>
  <si>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</si>
  <si>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</si>
  <si>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</si>
  <si>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</si>
  <si>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</si>
  <si>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</si>
  <si>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</si>
  <si>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</si>
  <si>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</si>
  <si>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</si>
  <si>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</si>
  <si>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</si>
  <si>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</si>
  <si>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</si>
  <si>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</si>
  <si>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</si>
  <si>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</si>
  <si>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</si>
  <si>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</si>
  <si>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</si>
  <si>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</si>
  <si>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</si>
  <si>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</si>
  <si>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</si>
  <si>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</si>
  <si>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</si>
  <si>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</si>
  <si>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</si>
  <si>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</si>
  <si>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</si>
  <si>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</si>
  <si>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</si>
  <si>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</si>
  <si>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</si>
  <si>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</si>
  <si>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</si>
  <si>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</si>
  <si>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</si>
  <si>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</si>
  <si>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</si>
  <si>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</si>
  <si>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</si>
  <si>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</si>
  <si>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</si>
  <si>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</si>
  <si>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</si>
  <si>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</si>
  <si>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</si>
  <si>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</si>
  <si>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</si>
  <si>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</si>
  <si>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</si>
  <si>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</si>
  <si>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</si>
  <si>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</si>
  <si>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</si>
  <si>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</si>
  <si>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</si>
  <si>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</si>
  <si>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</si>
  <si>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</si>
  <si>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</si>
  <si>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</si>
  <si>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</si>
  <si>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</si>
  <si>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</si>
  <si>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</si>
  <si>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</si>
  <si>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</si>
  <si>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</si>
  <si>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</si>
  <si>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</si>
  <si>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</si>
  <si>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</si>
  <si>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</si>
  <si>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</si>
  <si>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</si>
  <si>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</si>
  <si>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</si>
  <si>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</si>
  <si>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</si>
  <si>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</si>
  <si>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</si>
  <si>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</si>
  <si>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</si>
  <si>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</si>
  <si>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</si>
  <si>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</si>
  <si>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</si>
  <si>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</si>
  <si>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</si>
  <si>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</si>
  <si>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</si>
  <si>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</si>
  <si>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</si>
  <si>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</si>
  <si>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</si>
  <si>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</si>
  <si>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</si>
  <si>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</si>
  <si>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</si>
  <si>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</si>
  <si>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</si>
  <si>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</si>
  <si>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</si>
  <si>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</si>
  <si>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</si>
  <si>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</si>
  <si>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</si>
  <si>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</si>
  <si>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</si>
  <si>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</si>
  <si>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</si>
  <si>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</si>
  <si>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</si>
  <si>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</si>
  <si>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</si>
  <si>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</si>
  <si>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</si>
  <si>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</si>
  <si>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</si>
  <si>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</si>
  <si>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</si>
  <si>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</si>
  <si>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</si>
  <si>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</si>
  <si>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</si>
  <si>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</si>
  <si>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</si>
  <si>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</si>
  <si>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</si>
  <si>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</si>
  <si>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</si>
  <si>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</si>
  <si>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</si>
  <si>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</si>
  <si>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</si>
  <si>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</si>
  <si>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</si>
  <si>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</si>
  <si>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</si>
  <si>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</si>
  <si>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</si>
  <si>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</si>
  <si>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</si>
  <si>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</si>
  <si>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</si>
  <si>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</si>
  <si>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</si>
  <si>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</si>
  <si>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</si>
  <si>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</si>
  <si>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</si>
  <si>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</si>
  <si>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</si>
  <si>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</si>
  <si>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</si>
  <si>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</si>
  <si>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</si>
  <si>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</si>
  <si>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</si>
  <si>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</si>
  <si>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</si>
  <si>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</si>
  <si>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</si>
  <si>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</si>
  <si>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</si>
  <si>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</si>
  <si>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</si>
  <si>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</si>
  <si>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</si>
  <si>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</si>
  <si>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</si>
  <si>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</si>
  <si>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</si>
  <si>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</si>
  <si>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</si>
  <si>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</si>
  <si>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</si>
  <si>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</si>
  <si>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</si>
  <si>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</si>
  <si>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</si>
  <si>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</si>
  <si>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</si>
  <si>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</si>
  <si>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</si>
  <si>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</si>
  <si>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</si>
  <si>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</si>
  <si>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</si>
  <si>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</si>
  <si>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</si>
  <si>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</si>
  <si>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</si>
  <si>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</si>
  <si>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</si>
  <si>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</si>
  <si>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</si>
  <si>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</si>
  <si>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</si>
  <si>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</si>
  <si>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</si>
  <si>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</si>
  <si>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</si>
  <si>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</si>
  <si>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</si>
  <si>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</si>
  <si>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</si>
  <si>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</si>
  <si>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</si>
  <si>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</si>
  <si>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</si>
  <si>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</si>
  <si>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</si>
  <si>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</si>
  <si>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</si>
  <si>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</si>
  <si>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</si>
  <si>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</si>
  <si>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</si>
  <si>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</si>
  <si>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</si>
  <si>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</si>
  <si>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</si>
  <si>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</si>
  <si>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</si>
  <si>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</si>
  <si>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</si>
  <si>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</si>
  <si>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</si>
  <si>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</si>
  <si>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</si>
  <si>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</si>
  <si>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</si>
  <si>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</si>
  <si>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</si>
  <si>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</si>
  <si>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</si>
  <si>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</si>
  <si>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</si>
  <si>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</si>
  <si>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</si>
  <si>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</si>
  <si>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</si>
  <si>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</si>
  <si>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</si>
  <si>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</si>
  <si>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</si>
  <si>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</si>
  <si>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</si>
  <si>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</si>
  <si>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</si>
  <si>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</si>
  <si>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</si>
  <si>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</si>
  <si>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</si>
  <si>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</si>
  <si>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</si>
  <si>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</si>
  <si>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</si>
  <si>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</si>
  <si>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</si>
  <si>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</si>
  <si>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</si>
  <si>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</si>
  <si>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</si>
  <si>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</si>
  <si>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</si>
  <si>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</si>
  <si>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</si>
  <si>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</si>
  <si>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</si>
  <si>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</si>
  <si>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</si>
  <si>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</si>
  <si>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</si>
  <si>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</si>
  <si>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</si>
  <si>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</si>
  <si>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</si>
  <si>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</si>
  <si>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</si>
  <si>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</si>
  <si>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</si>
  <si>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</si>
  <si>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</si>
  <si>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</si>
  <si>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</si>
  <si>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</si>
  <si>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</si>
  <si>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</si>
  <si>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</si>
  <si>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</si>
  <si>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</si>
  <si>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</si>
  <si>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</si>
  <si>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</si>
  <si>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</si>
  <si>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</si>
  <si>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</si>
  <si>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</si>
  <si>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</si>
  <si>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</si>
  <si>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</si>
  <si>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</si>
  <si>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</si>
  <si>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</si>
  <si>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</si>
  <si>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</si>
  <si>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</si>
  <si>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</si>
  <si>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</si>
  <si>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</si>
  <si>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</si>
  <si>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</si>
  <si>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</si>
  <si>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</si>
  <si>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</si>
  <si>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</si>
  <si>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</si>
  <si>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</si>
  <si>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</si>
  <si>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</si>
  <si>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</si>
  <si>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</si>
  <si>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</si>
  <si>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</si>
  <si>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</si>
  <si>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</si>
  <si>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</si>
  <si>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</si>
  <si>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</si>
  <si>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</si>
  <si>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</si>
  <si>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</si>
  <si>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</si>
  <si>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</si>
  <si>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</si>
  <si>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</si>
  <si>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</si>
  <si>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</si>
  <si>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</si>
  <si>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</si>
  <si>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</si>
  <si>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</si>
  <si>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</si>
  <si>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</si>
  <si>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</si>
  <si>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</si>
  <si>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</si>
  <si>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</si>
  <si>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</si>
  <si>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</si>
  <si>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</si>
  <si>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</si>
  <si>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</si>
  <si>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</si>
  <si>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</si>
  <si>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</si>
  <si>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</si>
  <si>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</si>
  <si>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</si>
  <si>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</si>
  <si>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</si>
  <si>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</si>
  <si>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</si>
  <si>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</si>
  <si>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</si>
  <si>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</si>
  <si>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</si>
  <si>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</si>
  <si>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</si>
  <si>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</si>
  <si>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</si>
  <si>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</si>
  <si>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</si>
  <si>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</si>
  <si>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</si>
  <si>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</si>
  <si>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</si>
  <si>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</si>
  <si>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</si>
  <si>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</si>
  <si>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</si>
  <si>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</si>
  <si>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</si>
  <si>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</si>
  <si>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</si>
  <si>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</si>
  <si>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</si>
  <si>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</si>
  <si>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</si>
  <si>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</si>
  <si>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</si>
  <si>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</si>
  <si>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</si>
  <si>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</si>
  <si>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</si>
  <si>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</si>
  <si>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</si>
  <si>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</si>
  <si>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</si>
  <si>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</si>
  <si>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</si>
  <si>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</si>
  <si>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</si>
  <si>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</si>
  <si>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</si>
  <si>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</si>
  <si>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</si>
  <si>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</si>
  <si>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</si>
  <si>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</si>
  <si>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</si>
  <si>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</si>
  <si>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</si>
  <si>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</si>
  <si>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</si>
  <si>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</si>
  <si>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</si>
  <si>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</si>
  <si>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</si>
  <si>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</si>
  <si>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</si>
  <si>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</si>
  <si>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</si>
  <si>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</si>
  <si>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</si>
  <si>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</si>
  <si>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</si>
  <si>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</si>
  <si>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</si>
  <si>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</si>
  <si>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</si>
  <si>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</si>
  <si>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</si>
  <si>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</si>
  <si>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</si>
  <si>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</si>
  <si>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</si>
  <si>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</si>
  <si>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</si>
  <si>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</si>
  <si>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</si>
  <si>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</si>
  <si>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</si>
  <si>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</si>
  <si>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</si>
  <si>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</si>
  <si>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</si>
  <si>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</si>
  <si>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</si>
  <si>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</si>
  <si>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</si>
  <si>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</si>
  <si>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</si>
  <si>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</si>
  <si>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</si>
  <si>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</si>
  <si>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</si>
  <si>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</si>
  <si>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</si>
  <si>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</si>
  <si>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</si>
  <si>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</si>
  <si>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</si>
  <si>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</si>
  <si>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</si>
  <si>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</si>
  <si>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</si>
  <si>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</si>
  <si>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</si>
  <si>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</si>
  <si>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</si>
  <si>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</si>
  <si>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</si>
  <si>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</si>
  <si>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</si>
  <si>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</si>
  <si>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</si>
  <si>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</si>
  <si>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</si>
  <si>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</si>
  <si>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</si>
  <si>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</si>
  <si>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</si>
  <si>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</si>
  <si>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</si>
  <si>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</si>
  <si>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</si>
  <si>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</si>
  <si>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</si>
  <si>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</si>
  <si>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</si>
  <si>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</si>
  <si>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</si>
  <si>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</si>
  <si>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</si>
  <si>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</si>
  <si>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</si>
  <si>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</si>
  <si>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</si>
  <si>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</si>
  <si>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</si>
  <si>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</si>
  <si>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</si>
  <si>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</si>
  <si>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</si>
  <si>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</si>
  <si>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</si>
  <si>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</si>
  <si>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</si>
  <si>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</si>
  <si>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</si>
  <si>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</si>
  <si>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</si>
  <si>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</si>
  <si>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</si>
  <si>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</si>
  <si>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</si>
  <si>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</si>
  <si>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</si>
  <si>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</si>
  <si>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</si>
  <si>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</si>
  <si>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</si>
  <si>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</si>
  <si>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</si>
  <si>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</si>
  <si>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</si>
  <si>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</si>
  <si>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</si>
  <si>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</si>
  <si>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</si>
  <si>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</si>
  <si>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</si>
  <si>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</si>
  <si>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</si>
  <si>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</si>
  <si>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</si>
  <si>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</si>
  <si>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</si>
  <si>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</si>
  <si>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</si>
  <si>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</si>
  <si>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</si>
  <si>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</si>
  <si>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</si>
  <si>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</si>
  <si>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</si>
  <si>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</si>
  <si>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</si>
  <si>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</si>
  <si>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</si>
  <si>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</si>
  <si>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</si>
  <si>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</si>
  <si>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</si>
  <si>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</si>
  <si>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</si>
  <si>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</si>
  <si>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</si>
  <si>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</si>
  <si>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</si>
  <si>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</si>
  <si>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</si>
  <si>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</si>
  <si>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</si>
  <si>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</si>
  <si>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</si>
  <si>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</si>
  <si>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</si>
  <si>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</si>
  <si>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</si>
  <si>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</si>
  <si>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</si>
  <si>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</si>
  <si>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</si>
  <si>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</si>
  <si>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</si>
  <si>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</si>
  <si>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</si>
  <si>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</si>
  <si>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</si>
  <si>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</si>
  <si>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</si>
  <si>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</si>
  <si>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</si>
  <si>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</si>
  <si>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</si>
  <si>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</si>
  <si>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</si>
  <si>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</si>
  <si>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</si>
  <si>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</si>
  <si>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</si>
  <si>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</si>
  <si>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</si>
  <si>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</si>
  <si>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</si>
  <si>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</si>
  <si>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</si>
  <si>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</si>
  <si>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</si>
  <si>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</si>
  <si>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</si>
  <si>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</si>
  <si>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</si>
  <si>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</si>
  <si>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</si>
  <si>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</si>
  <si>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</si>
  <si>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</si>
  <si>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</si>
  <si>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</si>
  <si>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</si>
  <si>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</si>
  <si>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</si>
  <si>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</si>
  <si>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</si>
  <si>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</si>
  <si>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</si>
  <si>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</si>
  <si>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</si>
  <si>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</si>
  <si>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</si>
  <si>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</si>
  <si>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</si>
  <si>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</si>
  <si>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</si>
  <si>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</si>
  <si>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</si>
  <si>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</si>
  <si>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</si>
  <si>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</si>
  <si>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</si>
  <si>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</si>
  <si>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</si>
  <si>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</si>
  <si>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</si>
  <si>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</si>
  <si>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</si>
  <si>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</si>
  <si>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</si>
  <si>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</si>
  <si>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</si>
  <si>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</si>
  <si>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</si>
  <si>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</si>
  <si>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</si>
  <si>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</si>
  <si>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</si>
  <si>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</si>
  <si>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</si>
  <si>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</si>
  <si>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</si>
  <si>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</si>
  <si>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</si>
  <si>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</si>
  <si>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</si>
  <si>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</si>
  <si>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</si>
  <si>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</si>
  <si>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</si>
  <si>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</si>
  <si>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</si>
  <si>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</si>
  <si>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</si>
  <si>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</si>
  <si>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</si>
  <si>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</si>
  <si>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</si>
  <si>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</si>
  <si>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</si>
  <si>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</si>
  <si>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</si>
  <si>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</si>
  <si>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</si>
  <si>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</si>
  <si>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</si>
  <si>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</si>
  <si>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</si>
  <si>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</si>
  <si>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</si>
  <si>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</si>
  <si>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</si>
  <si>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</si>
  <si>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</si>
  <si>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</si>
  <si>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</si>
  <si>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</si>
  <si>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</si>
  <si>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</si>
  <si>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</si>
  <si>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</si>
  <si>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</si>
  <si>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</si>
  <si>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</si>
  <si>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</si>
  <si>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</si>
  <si>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</si>
  <si>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</si>
  <si>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</si>
  <si>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</si>
  <si>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</si>
  <si>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</si>
  <si>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</si>
  <si>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</si>
  <si>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</si>
  <si>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</si>
  <si>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</si>
  <si>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</si>
  <si>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</si>
  <si>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</si>
  <si>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</si>
  <si>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</si>
  <si>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</si>
  <si>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segment_clean</t>
  </si>
  <si>
    <t>region_clean</t>
  </si>
  <si>
    <t>category_clean</t>
  </si>
  <si>
    <t>ship_mode_clean</t>
  </si>
  <si>
    <t>order_status_clean</t>
  </si>
  <si>
    <t>customer_name_clean</t>
  </si>
  <si>
    <t>ship_date_</t>
  </si>
  <si>
    <t>shipping_delay_days</t>
  </si>
  <si>
    <t>date_validation</t>
  </si>
  <si>
    <t>order_date_clean_final</t>
  </si>
  <si>
    <t>ship_date_clean_final</t>
  </si>
  <si>
    <t>discount_clean</t>
  </si>
  <si>
    <t>discount_validation</t>
  </si>
  <si>
    <t>calculated_profit</t>
  </si>
  <si>
    <t>calculated_sales</t>
  </si>
  <si>
    <t>profit_margin</t>
  </si>
  <si>
    <t>order_month</t>
  </si>
  <si>
    <t>order_year</t>
  </si>
  <si>
    <t>data_validation</t>
  </si>
  <si>
    <t>data_quality_flag</t>
  </si>
  <si>
    <t>Row Labels</t>
  </si>
  <si>
    <t>Unknown</t>
  </si>
  <si>
    <t>Grand Total</t>
  </si>
  <si>
    <t>Sum of sales</t>
  </si>
  <si>
    <t>Sum of profit</t>
  </si>
  <si>
    <t>Count of order_id</t>
  </si>
  <si>
    <t>Average of profit_margin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</si>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</sst>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oy" refreshedDate="46198.914193287033" createdVersion="6" refreshedVersion="6" minRefreshableVersion="3" recordCount="912" xr:uid="{DC067F1F-AE0A-4A8F-9102-404EFC84060F}">
  <cacheSource type="worksheet">
    <worksheetSource ref="A1:AN913" sheet="raw_orders"/>
  </cacheSource>
  <cacheFields count="40">
    <cacheField name="order_id" numFmtId="0">
      <sharedItems/>
    </cacheField>
    <cacheField name="order_date" numFmtId="0">
      <sharedItems/>
    </cacheField>
    <cacheField name="order_date_clean_final" numFmtId="14">
      <sharedItems containsSemiMixedTypes="0" containsNonDate="0" containsDate="1" containsString="0" minDate="2024-01-01T00:00:00" maxDate="2025-10-13T00:00:00"/>
    </cacheField>
    <cacheField name="ship_date_" numFmtId="0">
      <sharedItems/>
    </cacheField>
    <cacheField name="ship_date_clean_final" numFmtId="14">
      <sharedItems containsSemiMixedTypes="0" containsNonDate="0" containsDate="1" containsString="0" minDate="2024-01-05T00:00:00" maxDate="2025-10-17T00:00:00"/>
    </cacheField>
    <cacheField name="date_validation" numFmtId="14">
      <sharedItems/>
    </cacheField>
    <cacheField name="shipping_delay_days" numFmtId="1">
      <sharedItems containsSemiMixedTypes="0" containsString="0" containsNumber="1" containsInteger="1" minValue="-4" maxValue="8"/>
    </cacheField>
    <cacheField name="data_validation" numFmtId="1">
      <sharedItems/>
    </cacheField>
    <cacheField name="customer_id" numFmtId="0">
      <sharedItems/>
    </cacheField>
    <cacheField name="customer_name" numFmtId="0">
      <sharedItems/>
    </cacheField>
    <cacheField name="customer_name_clean" numFmtId="0">
      <sharedItems/>
    </cacheField>
    <cacheField name="segment" numFmtId="0">
      <sharedItems/>
    </cacheField>
    <cacheField name="segment_clean" numFmtId="0">
      <sharedItems count="4">
        <s v="Consumer"/>
        <s v="Small Business"/>
        <s v="Corporate"/>
        <s v="Home Office"/>
      </sharedItems>
    </cacheField>
    <cacheField name="region" numFmtId="0">
      <sharedItems containsBlank="1"/>
    </cacheField>
    <cacheField name="region_clea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category_clean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/>
    </cacheField>
    <cacheField name="ship_mode_clean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discount_clean" numFmtId="0">
      <sharedItems containsMixedTypes="1" containsNumber="1" minValue="-0.24" maxValue="0.65"/>
    </cacheField>
    <cacheField name="calculated_sales" numFmtId="0">
      <sharedItems containsSemiMixedTypes="0" containsString="0" containsNumber="1" minValue="36.447000000000003" maxValue="36782.271000000008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order_status_clean" numFmtId="0">
      <sharedItems count="3">
        <s v="Completed"/>
        <s v="Cancelled"/>
        <s v="Returned"/>
      </sharedItems>
    </cacheField>
    <cacheField name="discount_validation" numFmtId="0">
      <sharedItems/>
    </cacheField>
    <cacheField name="calculated_profit" numFmtId="0">
      <sharedItems containsSemiMixedTypes="0" containsString="0" containsNumber="1" minValue="41.369999999999891" maxValue="15226"/>
    </cacheField>
    <cacheField name="profit_margin" numFmtId="10">
      <sharedItems containsSemiMixedTypes="0" containsString="0" containsNumber="1" minValue="1.9101045778793492E-2" maxValue="2.5431478803670875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9"/>
        <n v="12"/>
        <n v="10"/>
        <n v="1"/>
        <n v="3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21 Jul 2024"/>
    <d v="2024-07-21T00:00:00"/>
    <s v="07/27/2024"/>
    <d v="2024-07-27T00:00:00"/>
    <s v="Valid"/>
    <n v="6"/>
    <s v="Valid"/>
    <s v="CUST-4655"/>
    <s v="Karan Malhotra"/>
    <s v="Karan Malhotra"/>
    <s v="Consumer"/>
    <x v="0"/>
    <s v="North"/>
    <x v="0"/>
    <s v="Rajasthan"/>
    <s v="Jaipur"/>
    <s v="Office Supplies"/>
    <x v="0"/>
    <x v="0"/>
    <s v="Pro Paper 122"/>
    <s v="Second Class"/>
    <x v="0"/>
    <n v="8"/>
    <n v="2976.45"/>
    <n v="0.2"/>
    <n v="0.2"/>
    <n v="19049.28"/>
    <n v="19049.28"/>
    <n v="15841.89"/>
    <n v="3207.39"/>
    <s v="Paid"/>
    <s v="Completed"/>
    <x v="0"/>
    <s v="Valid"/>
    <n v="3207.3899999999994"/>
    <n v="0.16837329284886357"/>
    <x v="0"/>
    <x v="0"/>
    <s v="Clean"/>
  </r>
  <r>
    <s v="ORD-2024-10002"/>
    <s v="08/31/2024"/>
    <d v="2024-08-31T00:00:00"/>
    <s v="05 Sep 2024"/>
    <d v="2024-09-05T00:00:00"/>
    <s v="Valid"/>
    <n v="5"/>
    <s v="Valid"/>
    <s v="CUST-2054"/>
    <s v="Mira Das"/>
    <s v="Mira Das"/>
    <s v="Small Business"/>
    <x v="1"/>
    <s v="East"/>
    <x v="1"/>
    <s v="Odisha"/>
    <s v="Bhubaneswar"/>
    <s v="Furniture"/>
    <x v="1"/>
    <x v="1"/>
    <s v="Pro Tables 258"/>
    <s v="Same Day"/>
    <x v="1"/>
    <n v="3"/>
    <n v="2437.5"/>
    <n v="0"/>
    <n v="0"/>
    <n v="7312.5"/>
    <n v="7312.5"/>
    <n v="4904.7299999999996"/>
    <n v="2407.77"/>
    <s v="Paid"/>
    <s v="Completed"/>
    <x v="0"/>
    <s v="Valid"/>
    <n v="2407.7700000000004"/>
    <n v="0.32926769230769237"/>
    <x v="1"/>
    <x v="0"/>
    <s v="Clean"/>
  </r>
  <r>
    <s v="ORD-2024-10003"/>
    <s v="06/08/2024"/>
    <d v="2024-06-08T00:00:00"/>
    <s v="15 Jun 2024"/>
    <d v="2024-06-15T00:00:00"/>
    <s v="Valid"/>
    <n v="7"/>
    <s v="Valid"/>
    <s v="CUST-6843"/>
    <s v="Isha Nair"/>
    <s v="Isha Nair"/>
    <s v="Consumer"/>
    <x v="0"/>
    <s v="East"/>
    <x v="1"/>
    <s v="Odisha"/>
    <s v="Bhubaneswar"/>
    <s v="Office Supplies"/>
    <x v="0"/>
    <x v="2"/>
    <s v="Elite Art 525"/>
    <s v="First Class"/>
    <x v="2"/>
    <n v="4"/>
    <n v="1065.43"/>
    <n v="0.55000000000000004"/>
    <n v="0.55000000000000004"/>
    <n v="1917.7739999999999"/>
    <n v="4261.72"/>
    <n v="2465.69"/>
    <n v="1796.03"/>
    <s v="Paid"/>
    <s v="Completed"/>
    <x v="0"/>
    <s v="Valid"/>
    <n v="1796.0300000000002"/>
    <n v="0.93651806730094389"/>
    <x v="2"/>
    <x v="0"/>
    <s v="Clean"/>
  </r>
  <r>
    <s v="ORD-2024-10004"/>
    <s v="28-11-2024"/>
    <d v="2024-11-28T00:00:00"/>
    <s v="11/29/2024"/>
    <d v="2024-11-29T00:00:00"/>
    <s v="Valid"/>
    <n v="1"/>
    <s v="Valid"/>
    <s v="CUST-3722"/>
    <s v="Arjun Bose"/>
    <s v="Arjun Bose"/>
    <s v="Small Business"/>
    <x v="1"/>
    <s v="South"/>
    <x v="2"/>
    <s v="Telangana"/>
    <s v="Hyderabad"/>
    <s v="Furniture"/>
    <x v="1"/>
    <x v="3"/>
    <s v="Smart Furnishings 294"/>
    <s v="Standard Class"/>
    <x v="3"/>
    <n v="6"/>
    <n v="1848.43"/>
    <n v="0.25"/>
    <n v="0.25"/>
    <n v="8317.9349999999995"/>
    <n v="8317.93"/>
    <n v="6796.77"/>
    <n v="1521.16"/>
    <s v="Paid"/>
    <s v="Completed"/>
    <x v="0"/>
    <s v="Valid"/>
    <n v="1521.1599999999999"/>
    <n v="0.18287712034296974"/>
    <x v="3"/>
    <x v="0"/>
    <s v="Clean"/>
  </r>
  <r>
    <s v="ORD-2025-10005"/>
    <s v="29 Aug 2025"/>
    <d v="2025-08-29T00:00:00"/>
    <s v="2025-09-01"/>
    <d v="2025-09-01T00:00:00"/>
    <s v="Valid"/>
    <n v="3"/>
    <s v="Valid"/>
    <s v="CUST-8130"/>
    <s v="Ananya Rao"/>
    <s v="Ananya Rao"/>
    <s v="Small Business"/>
    <x v="1"/>
    <s v="West"/>
    <x v="3"/>
    <s v="Maharashtra"/>
    <s v="Mumbai"/>
    <s v="Furniture"/>
    <x v="1"/>
    <x v="4"/>
    <s v="Elite Chairs 543"/>
    <s v="First Class"/>
    <x v="2"/>
    <n v="7"/>
    <n v="2973.76"/>
    <n v="0"/>
    <n v="0"/>
    <n v="20816.32"/>
    <n v="20816.32"/>
    <n v="17705.37"/>
    <n v="3110.95"/>
    <s v="Paid"/>
    <s v="Cancelled"/>
    <x v="1"/>
    <s v="Valid"/>
    <n v="3110.9500000000007"/>
    <n v="0.14944764492475138"/>
    <x v="1"/>
    <x v="1"/>
    <s v="Clean"/>
  </r>
  <r>
    <s v="ORD-2024-10006"/>
    <s v="2024-05-24"/>
    <d v="2024-05-24T00:00:00"/>
    <s v="28-05-2024"/>
    <d v="2024-05-28T00:00:00"/>
    <s v="Valid"/>
    <n v="4"/>
    <s v="Valid"/>
    <s v="CUST-6056"/>
    <s v="Vikram Iyer"/>
    <s v="Vikram Iyer"/>
    <s v="Small Business"/>
    <x v="1"/>
    <s v="West"/>
    <x v="3"/>
    <s v="Madhya Pradesh"/>
    <s v="Indore"/>
    <s v="Technology"/>
    <x v="2"/>
    <x v="5"/>
    <s v="Pro Accessories 821"/>
    <s v="Same Day"/>
    <x v="1"/>
    <n v="3"/>
    <n v="1053.1099999999999"/>
    <n v="0.2"/>
    <n v="0.2"/>
    <n v="2527.4639999999999"/>
    <n v="2527.46"/>
    <n v="1533.58"/>
    <n v="993.88"/>
    <s v="Paid"/>
    <s v="Completed"/>
    <x v="0"/>
    <s v="Valid"/>
    <n v="993.88000000000011"/>
    <n v="0.39323210933963854"/>
    <x v="4"/>
    <x v="0"/>
    <s v="Clean"/>
  </r>
  <r>
    <s v="ORD-2025-10007"/>
    <s v="04/10/2025"/>
    <d v="2025-04-10T00:00:00"/>
    <s v="04/16/2025"/>
    <d v="2025-04-16T00:00:00"/>
    <s v="Valid"/>
    <n v="6"/>
    <s v="Valid"/>
    <s v="CUST-3656"/>
    <s v="Neha Gupta"/>
    <s v="Neha Gupta"/>
    <s v="Consumer"/>
    <x v="0"/>
    <s v="East"/>
    <x v="1"/>
    <s v="Odisha"/>
    <s v="Bhubaneswar"/>
    <s v="Technology"/>
    <x v="2"/>
    <x v="6"/>
    <s v="Eco Copiers 790"/>
    <s v="Standard Class"/>
    <x v="3"/>
    <n v="4"/>
    <n v="1719.87"/>
    <n v="0.15"/>
    <n v="0.15"/>
    <n v="5847.5579999999991"/>
    <n v="5847.56"/>
    <n v="4727.25"/>
    <n v="1120.31"/>
    <s v="Paid"/>
    <s v="Completed"/>
    <x v="0"/>
    <s v="Valid"/>
    <n v="1120.3100000000004"/>
    <n v="0.19158595776219758"/>
    <x v="5"/>
    <x v="1"/>
    <s v="Clean"/>
  </r>
  <r>
    <s v="ORD-2025-10008"/>
    <s v="2025-02-23"/>
    <d v="2025-02-23T00:00:00"/>
    <s v="26-02-2025"/>
    <d v="2025-02-26T00:00:00"/>
    <s v="Valid"/>
    <n v="3"/>
    <s v="Valid"/>
    <s v="CUST-4683"/>
    <s v="Isha Nair"/>
    <s v="Isha Nair"/>
    <s v="Small Business"/>
    <x v="1"/>
    <s v="South"/>
    <x v="2"/>
    <s v="Andhra Pradesh"/>
    <s v="Vijayawada"/>
    <s v="Office Supplies"/>
    <x v="0"/>
    <x v="2"/>
    <s v="Eco Art 848"/>
    <s v="First Class"/>
    <x v="2"/>
    <n v="1"/>
    <n v="2980.71"/>
    <n v="0"/>
    <n v="0"/>
    <n v="2980.71"/>
    <n v="2980.71"/>
    <n v="2357.2199999999998"/>
    <n v="623.49"/>
    <s v="Paid"/>
    <s v="Completed"/>
    <x v="0"/>
    <s v="Valid"/>
    <n v="623.49000000000024"/>
    <n v="0.20917499521925992"/>
    <x v="6"/>
    <x v="1"/>
    <s v="Clean"/>
  </r>
  <r>
    <s v="ORD-2024-10009"/>
    <s v="11/05/2024"/>
    <d v="2024-11-05T00:00:00"/>
    <s v="11/10/2024"/>
    <d v="2024-11-10T00:00:00"/>
    <s v="Valid"/>
    <n v="5"/>
    <s v="Valid"/>
    <s v="CUST-2598"/>
    <s v="Aditi Sen"/>
    <s v="Aditi Sen"/>
    <s v="Corporate"/>
    <x v="2"/>
    <s v="South"/>
    <x v="2"/>
    <s v="Telangana"/>
    <s v="Hyderabad"/>
    <s v="Office Supplies"/>
    <x v="0"/>
    <x v="7"/>
    <s v="Classic Labels 815"/>
    <s v="First Class"/>
    <x v="2"/>
    <n v="8"/>
    <n v="3134.2"/>
    <n v="0"/>
    <n v="0"/>
    <n v="25073.599999999999"/>
    <n v="25073.599999999999"/>
    <n v="17347.23"/>
    <n v="7726.37"/>
    <s v="Paid"/>
    <s v="Completed"/>
    <x v="0"/>
    <s v="Valid"/>
    <n v="7726.369999999999"/>
    <n v="0.30814761342607361"/>
    <x v="3"/>
    <x v="0"/>
    <s v="Clean"/>
  </r>
  <r>
    <s v="ORD-2025-10010"/>
    <s v="07-09-2025"/>
    <d v="2025-09-07T00:00:00"/>
    <s v="09/12/2025"/>
    <d v="2025-09-12T00:00:00"/>
    <s v="Valid"/>
    <n v="5"/>
    <s v="Valid"/>
    <s v="CUST-2483"/>
    <s v="Mira Das"/>
    <s v="Mira Das"/>
    <s v="Home Office"/>
    <x v="3"/>
    <s v="South"/>
    <x v="2"/>
    <s v="Telangana"/>
    <s v="Hyderabad"/>
    <s v="Office Supplies"/>
    <x v="0"/>
    <x v="0"/>
    <s v="Pro Paper 622"/>
    <s v="Second Class"/>
    <x v="0"/>
    <n v="9"/>
    <n v="852.04"/>
    <n v="0.2"/>
    <n v="0.2"/>
    <n v="6134.6880000000001"/>
    <n v="6134.69"/>
    <n v="3800.19"/>
    <n v="2334.5"/>
    <s v="Paid"/>
    <s v="Completed"/>
    <x v="0"/>
    <s v="Valid"/>
    <n v="2334.4999999999995"/>
    <n v="0.38054095008580707"/>
    <x v="7"/>
    <x v="1"/>
    <s v="Clean"/>
  </r>
  <r>
    <s v="ORD-2025-10011"/>
    <s v="20 May 2025"/>
    <d v="2025-05-20T00:00:00"/>
    <s v="05/20/2025"/>
    <d v="2025-05-20T00:00:00"/>
    <s v="Valid"/>
    <n v="0"/>
    <s v="Valid"/>
    <s v="CUST-8092"/>
    <s v="Ananya Rao"/>
    <s v="Ananya Rao"/>
    <s v="Corporate"/>
    <x v="2"/>
    <s v="East"/>
    <x v="1"/>
    <s v="West Bengal"/>
    <s v="Kolkata"/>
    <s v="Office Supplies"/>
    <x v="0"/>
    <x v="7"/>
    <s v="Prime Labels 644"/>
    <s v="Second Class"/>
    <x v="0"/>
    <n v="3"/>
    <n v="3534.83"/>
    <n v="0.05"/>
    <n v="0.05"/>
    <n v="10074.2655"/>
    <n v="10074.27"/>
    <n v="6048.27"/>
    <n v="4026"/>
    <s v="Refunded"/>
    <s v="Returned"/>
    <x v="2"/>
    <s v="Valid"/>
    <n v="4026"/>
    <n v="0.39963211213760447"/>
    <x v="4"/>
    <x v="1"/>
    <s v="Clean"/>
  </r>
  <r>
    <s v="ORD-2024-10012"/>
    <s v="2024-07-22"/>
    <d v="2024-07-22T00:00:00"/>
    <s v="23-07-2024"/>
    <d v="2024-07-23T00:00:00"/>
    <s v="Valid"/>
    <n v="1"/>
    <s v="Valid"/>
    <s v="CUST-6528"/>
    <s v="Vikram Iyer"/>
    <s v="Vikram Iyer"/>
    <s v="Small Business"/>
    <x v="1"/>
    <s v="East"/>
    <x v="1"/>
    <s v="Odisha"/>
    <s v="Bhubaneswar"/>
    <s v="Technology"/>
    <x v="2"/>
    <x v="5"/>
    <s v="Smart Accessories 603"/>
    <s v="Same Day"/>
    <x v="1"/>
    <n v="6"/>
    <n v="2005.95"/>
    <n v="0.2"/>
    <n v="0.2"/>
    <n v="9628.5600000000013"/>
    <n v="9628.56"/>
    <n v="8038.59"/>
    <n v="1589.97"/>
    <s v="Paid"/>
    <s v="Completed"/>
    <x v="0"/>
    <s v="Valid"/>
    <n v="1589.9699999999993"/>
    <n v="0.1651306114309927"/>
    <x v="0"/>
    <x v="0"/>
    <s v="Clean"/>
  </r>
  <r>
    <s v="ORD-2024-10013"/>
    <s v="20 Dec 2024"/>
    <d v="2024-12-20T00:00:00"/>
    <s v="12/21/2024"/>
    <d v="2024-12-21T00:00:00"/>
    <s v="Valid"/>
    <n v="1"/>
    <s v="Valid"/>
    <s v="CUST-2648"/>
    <s v="Ananya Rao"/>
    <s v="Ananya Rao"/>
    <s v="Corporate"/>
    <x v="2"/>
    <s v="West"/>
    <x v="3"/>
    <s v="Rajasthan"/>
    <s v="Udaipur"/>
    <s v="Office Supplies"/>
    <x v="0"/>
    <x v="0"/>
    <s v="Pro Paper 481"/>
    <s v="First Class"/>
    <x v="2"/>
    <n v="1"/>
    <n v="702.14"/>
    <n v="0.15"/>
    <n v="0.15"/>
    <n v="596.81899999999996"/>
    <n v="596.82000000000005"/>
    <n v="380.25"/>
    <n v="216.57"/>
    <s v="Pending"/>
    <s v="Returned"/>
    <x v="2"/>
    <s v="Valid"/>
    <n v="216.57000000000005"/>
    <n v="0.36287383612116919"/>
    <x v="8"/>
    <x v="0"/>
    <s v="Clean"/>
  </r>
  <r>
    <s v="ORD-2025-10014"/>
    <s v="2025-10-12"/>
    <d v="2025-10-12T00:00:00"/>
    <s v="16-10-2025"/>
    <d v="2025-10-16T00:00:00"/>
    <s v="Valid"/>
    <n v="4"/>
    <s v="Valid"/>
    <s v="CUST-7482"/>
    <s v="Priya Menon"/>
    <s v="Priya Menon"/>
    <s v="Small Business"/>
    <x v="1"/>
    <s v="West"/>
    <x v="3"/>
    <s v="Maharashtra"/>
    <s v="Mumbai"/>
    <s v="Office Supplies"/>
    <x v="0"/>
    <x v="2"/>
    <s v="Smart Art 795"/>
    <s v="Second Class"/>
    <x v="0"/>
    <n v="7"/>
    <n v="3964.72"/>
    <n v="0.05"/>
    <n v="0.05"/>
    <n v="26365.387999999995"/>
    <n v="26365.39"/>
    <n v="22306.240000000002"/>
    <n v="4059.15"/>
    <s v="Paid"/>
    <s v="Completed"/>
    <x v="0"/>
    <s v="Valid"/>
    <n v="4059.1499999999978"/>
    <n v="0.1539575294700764"/>
    <x v="9"/>
    <x v="1"/>
    <s v="Clean"/>
  </r>
  <r>
    <s v="ORD-2024-10015"/>
    <s v="27 Dec 2024"/>
    <d v="2024-12-27T00:00:00"/>
    <s v="12/28/2024"/>
    <d v="2024-12-28T00:00:00"/>
    <s v="Valid"/>
    <n v="1"/>
    <s v="Valid"/>
    <s v="CUST-4912"/>
    <s v="Rahul Verma"/>
    <s v="Rahul Verma"/>
    <s v="Consumer"/>
    <x v="0"/>
    <s v="West"/>
    <x v="3"/>
    <s v="Rajasthan"/>
    <s v="Udaipur"/>
    <s v="Technology"/>
    <x v="2"/>
    <x v="6"/>
    <s v="Max Copiers 983"/>
    <s v="Standard Class"/>
    <x v="3"/>
    <n v="2"/>
    <n v="2737.83"/>
    <n v="0.25"/>
    <n v="0.25"/>
    <n v="4106.7449999999999"/>
    <n v="4106.74"/>
    <n v="2666.3"/>
    <n v="1440.44"/>
    <s v="Paid"/>
    <s v="Completed"/>
    <x v="0"/>
    <s v="Valid"/>
    <n v="1440.4399999999996"/>
    <n v="0.35074980306787973"/>
    <x v="8"/>
    <x v="0"/>
    <s v="Clean"/>
  </r>
  <r>
    <s v="ORD-2024-10016"/>
    <s v="07/09/2024"/>
    <d v="2024-07-09T00:00:00"/>
    <s v="09 Jul 2024"/>
    <d v="2024-07-09T00:00:00"/>
    <s v="Valid"/>
    <n v="0"/>
    <s v="Valid"/>
    <s v="CUST-7656"/>
    <s v="Karan Malhotra"/>
    <s v="Karan Malhotra"/>
    <s v="Small Business"/>
    <x v="1"/>
    <s v="North"/>
    <x v="0"/>
    <s v="Punjab"/>
    <s v="Ludhiana"/>
    <s v="Office Supplies"/>
    <x v="0"/>
    <x v="8"/>
    <s v="Classic Storage 198"/>
    <s v="Second Class"/>
    <x v="0"/>
    <n v="6"/>
    <n v="3965.76"/>
    <n v="0"/>
    <n v="0"/>
    <n v="23794.560000000001"/>
    <n v="23794.560000000001"/>
    <n v="15698.47"/>
    <n v="8096.09"/>
    <s v="Paid"/>
    <s v="Completed"/>
    <x v="0"/>
    <s v="Valid"/>
    <n v="8096.090000000002"/>
    <n v="0.34024962008122872"/>
    <x v="0"/>
    <x v="0"/>
    <s v="Clean"/>
  </r>
  <r>
    <s v="ORD-2024-10017"/>
    <s v="05/08/2024"/>
    <d v="2024-05-08T00:00:00"/>
    <s v="15-05-2024"/>
    <d v="2024-05-15T00:00:00"/>
    <s v="Valid"/>
    <n v="7"/>
    <s v="Valid"/>
    <s v="CUST-6214"/>
    <s v="Aarav Sharma"/>
    <s v="Aarav Sharma"/>
    <s v="Consumer"/>
    <x v="0"/>
    <s v="South"/>
    <x v="2"/>
    <s v="Telangana"/>
    <s v="Hyderabad"/>
    <s v="Office Supplies"/>
    <x v="0"/>
    <x v="2"/>
    <s v="Basic Art 204"/>
    <s v="First Class"/>
    <x v="2"/>
    <n v="4"/>
    <n v="3323.51"/>
    <n v="0.25"/>
    <n v="0.25"/>
    <n v="9970.5300000000007"/>
    <n v="9970.5300000000007"/>
    <n v="5668.17"/>
    <n v="4302.3599999999997"/>
    <s v="Paid"/>
    <s v="Completed"/>
    <x v="0"/>
    <s v="Valid"/>
    <n v="4302.3600000000006"/>
    <n v="0.43150765305354882"/>
    <x v="4"/>
    <x v="0"/>
    <s v="Clean"/>
  </r>
  <r>
    <s v="ORD-2024-10018"/>
    <s v="01/07/2024"/>
    <d v="2024-01-07T00:00:00"/>
    <s v="2024-01-08"/>
    <d v="2024-01-08T00:00:00"/>
    <s v="Valid"/>
    <n v="1"/>
    <s v="Valid"/>
    <s v="CUST-1626"/>
    <s v="Sneha Kapoor"/>
    <s v="Sneha Kapoor"/>
    <s v="Small Business"/>
    <x v="1"/>
    <s v="North"/>
    <x v="0"/>
    <s v="Rajasthan"/>
    <s v="Jaipur"/>
    <s v="Furniture"/>
    <x v="1"/>
    <x v="3"/>
    <s v="Basic Furnishings 434"/>
    <s v="Same Day"/>
    <x v="1"/>
    <n v="5"/>
    <n v="1526.78"/>
    <n v="0"/>
    <n v="0"/>
    <n v="7633.9"/>
    <n v="7633.9"/>
    <n v="4706.91"/>
    <n v="2926.99"/>
    <s v="Paid"/>
    <s v="Completed"/>
    <x v="0"/>
    <s v="Valid"/>
    <n v="2926.99"/>
    <n v="0.38342000812166782"/>
    <x v="10"/>
    <x v="0"/>
    <s v="Clean"/>
  </r>
  <r>
    <s v="ORD-2025-10019"/>
    <s v="07/15/2025"/>
    <d v="2025-07-15T00:00:00"/>
    <s v="17-07-2025"/>
    <d v="2025-07-17T00:00:00"/>
    <s v="Valid"/>
    <n v="2"/>
    <s v="Valid"/>
    <s v="CUST-2110"/>
    <s v="Aarav Sharma"/>
    <s v="Aarav Sharma"/>
    <s v="Home Office"/>
    <x v="3"/>
    <s v="North"/>
    <x v="0"/>
    <s v="Uttar Pradesh"/>
    <s v="Noida"/>
    <s v="Technology"/>
    <x v="2"/>
    <x v="6"/>
    <s v="Eco Copiers 755"/>
    <s v="First Class"/>
    <x v="2"/>
    <n v="2"/>
    <n v="1997.99"/>
    <n v="0"/>
    <n v="0"/>
    <n v="3995.98"/>
    <n v="3995.98"/>
    <n v="2633.2"/>
    <n v="1362.78"/>
    <s v="Refunded"/>
    <s v="Cancelled"/>
    <x v="1"/>
    <s v="Valid"/>
    <n v="1362.7800000000002"/>
    <n v="0.34103774293164635"/>
    <x v="0"/>
    <x v="1"/>
    <s v="Clean"/>
  </r>
  <r>
    <s v="ORD-2024-10020"/>
    <s v="07/27/2024"/>
    <d v="2024-07-27T00:00:00"/>
    <s v="31 Jul 2024"/>
    <d v="2024-07-31T00:00:00"/>
    <s v="Valid"/>
    <n v="4"/>
    <s v="Valid"/>
    <s v="CUST-3186"/>
    <s v="Rohan Mehta"/>
    <s v="Rohan Mehta"/>
    <s v="Home Office"/>
    <x v="3"/>
    <s v="West"/>
    <x v="3"/>
    <s v="Madhya Pradesh"/>
    <s v="Indore"/>
    <s v="Office Supplies"/>
    <x v="0"/>
    <x v="8"/>
    <s v="Prime Storage 121"/>
    <s v="Second Class"/>
    <x v="0"/>
    <n v="3"/>
    <n v="3887.94"/>
    <n v="-0.19"/>
    <n v="-0.19"/>
    <n v="13879.9458"/>
    <n v="9331.06"/>
    <n v="7529.31"/>
    <n v="1801.75"/>
    <s v="Paid"/>
    <s v="Completed"/>
    <x v="0"/>
    <s v="Invalid - Negative Discount"/>
    <n v="1801.7499999999991"/>
    <n v="0.12980958470313328"/>
    <x v="0"/>
    <x v="0"/>
    <s v="Clean"/>
  </r>
  <r>
    <s v="ORD-2025-10021"/>
    <s v="21-01-2025"/>
    <d v="2025-01-21T00:00:00"/>
    <s v="23 Jan 2025"/>
    <d v="2025-01-23T00:00:00"/>
    <s v="Valid"/>
    <n v="2"/>
    <s v="Valid"/>
    <s v="CUST-3190"/>
    <s v="Aditi Sen"/>
    <s v="Aditi Sen"/>
    <s v="Home Office"/>
    <x v="3"/>
    <s v="East"/>
    <x v="1"/>
    <s v="Bihar"/>
    <s v="Patna"/>
    <s v="Technology"/>
    <x v="2"/>
    <x v="6"/>
    <s v="Elite Copiers 233"/>
    <s v="First Class"/>
    <x v="2"/>
    <n v="5"/>
    <n v="4373.0600000000004"/>
    <n v="0.25"/>
    <n v="0.25"/>
    <n v="16398.975000000002"/>
    <n v="16398.98"/>
    <n v="9556.52"/>
    <n v="6842.46"/>
    <s v="Paid"/>
    <s v="Completed"/>
    <x v="0"/>
    <s v="Valid"/>
    <n v="6842.4599999999991"/>
    <n v="0.41724924880975783"/>
    <x v="10"/>
    <x v="1"/>
    <s v="Clean"/>
  </r>
  <r>
    <s v="ORD-2025-10022"/>
    <s v="24-01-2025"/>
    <d v="2025-01-24T00:00:00"/>
    <s v="01/30/2025"/>
    <d v="2025-01-30T00:00:00"/>
    <s v="Valid"/>
    <n v="6"/>
    <s v="Valid"/>
    <s v="CUST-3036"/>
    <s v="Sneha Kapoor"/>
    <s v="Sneha Kapoor"/>
    <s v="Consumer"/>
    <x v="0"/>
    <s v="West"/>
    <x v="3"/>
    <s v="Madhya Pradesh"/>
    <s v="Indore"/>
    <s v="Furniture"/>
    <x v="1"/>
    <x v="3"/>
    <s v="Eco Furnishings 897"/>
    <s v="Second Class"/>
    <x v="0"/>
    <n v="4"/>
    <n v="697.69"/>
    <n v="-0.23"/>
    <n v="-0.23"/>
    <n v="3432.6348000000003"/>
    <n v="2790.76"/>
    <n v="2037.71"/>
    <n v="753.05"/>
    <s v="Paid"/>
    <s v="Completed"/>
    <x v="0"/>
    <s v="Invalid - Negative Discount"/>
    <n v="753.05000000000018"/>
    <n v="0.21937958561743887"/>
    <x v="10"/>
    <x v="1"/>
    <s v="Clean"/>
  </r>
  <r>
    <s v="ORD-2025-10023"/>
    <s v="19 Jan 2025"/>
    <d v="2025-01-19T00:00:00"/>
    <s v="2025-01-21"/>
    <d v="2025-01-21T00:00:00"/>
    <s v="Valid"/>
    <n v="2"/>
    <s v="Valid"/>
    <s v="CUST-3588"/>
    <s v="Mira Das"/>
    <s v="Mira Das"/>
    <s v="Consumer"/>
    <x v="0"/>
    <s v="South"/>
    <x v="2"/>
    <s v="Telangana"/>
    <s v="Hyderabad"/>
    <s v="Office Supplies"/>
    <x v="0"/>
    <x v="9"/>
    <s v="Max Binders 355"/>
    <s v="Standard Class"/>
    <x v="3"/>
    <n v="8"/>
    <n v="1219.3399999999999"/>
    <n v="0.15"/>
    <n v="0.15"/>
    <n v="8291.5119999999988"/>
    <n v="8291.51"/>
    <n v="6685.03"/>
    <n v="1606.48"/>
    <s v="Failed"/>
    <s v="Returned"/>
    <x v="2"/>
    <s v="Valid"/>
    <n v="1606.4800000000005"/>
    <n v="0.19374994572763093"/>
    <x v="10"/>
    <x v="1"/>
    <s v="Clean"/>
  </r>
  <r>
    <s v="ORD-2025-10024"/>
    <s v="29 Aug 2025"/>
    <d v="2025-08-29T00:00:00"/>
    <s v="31-08-2025"/>
    <d v="2025-08-31T00:00:00"/>
    <s v="Valid"/>
    <n v="2"/>
    <s v="Valid"/>
    <s v="CUST-7098"/>
    <s v="Rahul Verma"/>
    <s v="Rahul Verma"/>
    <s v="Home Office"/>
    <x v="3"/>
    <s v="East"/>
    <x v="1"/>
    <s v="Bihar"/>
    <s v="Patna"/>
    <s v="Furniture"/>
    <x v="1"/>
    <x v="10"/>
    <s v="Pro Bookcases 394"/>
    <s v="First Class"/>
    <x v="2"/>
    <n v="4"/>
    <n v="1958.01"/>
    <n v="0.2"/>
    <n v="0.2"/>
    <n v="6265.6320000000005"/>
    <n v="6265.63"/>
    <n v="4321.8599999999997"/>
    <n v="1943.77"/>
    <s v="Paid"/>
    <s v="Completed"/>
    <x v="0"/>
    <s v="Valid"/>
    <n v="1943.7700000000004"/>
    <n v="0.31022728433460506"/>
    <x v="1"/>
    <x v="1"/>
    <s v="Clean"/>
  </r>
  <r>
    <s v="ORD-2024-10025"/>
    <s v="2024-03-04"/>
    <d v="2024-03-04T00:00:00"/>
    <s v="03/01/2024"/>
    <d v="2024-03-01T00:00:00"/>
    <s v="Invalid Shipping Record"/>
    <n v="-3"/>
    <s v="Invalid Shipping Record"/>
    <s v="CUST-1747"/>
    <s v="Diya Patel"/>
    <s v="Diya Patel"/>
    <s v="Consumer"/>
    <x v="0"/>
    <s v="North"/>
    <x v="0"/>
    <s v="Punjab"/>
    <s v="Ludhiana"/>
    <s v="Office Supplies"/>
    <x v="0"/>
    <x v="2"/>
    <s v="Max Art 215"/>
    <s v="Standard Class"/>
    <x v="3"/>
    <n v="4"/>
    <n v="4492.9399999999996"/>
    <n v="0.25"/>
    <n v="0.25"/>
    <n v="13478.82"/>
    <n v="13478.82"/>
    <n v="10937.35"/>
    <n v="2541.4699999999998"/>
    <s v="Pending"/>
    <s v="Cancelled"/>
    <x v="1"/>
    <s v="Valid"/>
    <n v="2541.4699999999993"/>
    <n v="0.18855285551702591"/>
    <x v="11"/>
    <x v="0"/>
    <s v="Invalid"/>
  </r>
  <r>
    <s v="ORD-2024-10026"/>
    <s v="11-10-2024"/>
    <d v="2024-10-11T00:00:00"/>
    <s v="2024-10-19"/>
    <d v="2024-10-19T00:00:00"/>
    <s v="Valid"/>
    <n v="8"/>
    <s v="Valid"/>
    <s v="CUST-1731"/>
    <s v="Arjun Bose"/>
    <s v="Arjun Bose"/>
    <s v="Corporate"/>
    <x v="2"/>
    <s v="East"/>
    <x v="1"/>
    <s v="Assam"/>
    <s v="Guwahati"/>
    <s v="Technology"/>
    <x v="2"/>
    <x v="5"/>
    <s v="Classic Accessories 478"/>
    <s v="First Class"/>
    <x v="2"/>
    <n v="2"/>
    <n v="4315.2"/>
    <n v="0.15"/>
    <n v="0.15"/>
    <n v="7335.8399999999992"/>
    <n v="7335.84"/>
    <n v="4968.41"/>
    <n v="2367.4299999999998"/>
    <s v="Paid"/>
    <s v="Completed"/>
    <x v="0"/>
    <s v="Valid"/>
    <n v="2367.4300000000003"/>
    <n v="0.32272105171323262"/>
    <x v="9"/>
    <x v="0"/>
    <s v="Clean"/>
  </r>
  <r>
    <s v="ORD-2024-10027"/>
    <s v="23-11-2024"/>
    <d v="2024-11-23T00:00:00"/>
    <s v="23 Nov 2024"/>
    <d v="2024-11-23T00:00:00"/>
    <s v="Valid"/>
    <n v="0"/>
    <s v="Valid"/>
    <s v="CUST-4401"/>
    <s v="Diya Patel"/>
    <s v="Diya Patel"/>
    <s v="Corporate"/>
    <x v="2"/>
    <s v="North"/>
    <x v="0"/>
    <s v="Uttar Pradesh"/>
    <s v="Noida"/>
    <s v="Technology"/>
    <x v="2"/>
    <x v="11"/>
    <s v="Pro Phones 243"/>
    <s v="Standard Class"/>
    <x v="3"/>
    <n v="4"/>
    <n v="716.13"/>
    <n v="0.1"/>
    <n v="0.1"/>
    <n v="2578.0680000000002"/>
    <n v="2578.0700000000002"/>
    <n v="1527.55"/>
    <n v="1050.52"/>
    <s v="Paid"/>
    <s v="Returned"/>
    <x v="2"/>
    <s v="Valid"/>
    <n v="1050.5200000000002"/>
    <n v="0.40748343333069575"/>
    <x v="3"/>
    <x v="0"/>
    <s v="Clean"/>
  </r>
  <r>
    <s v="ORD-2025-10028"/>
    <s v="29 Sep 2025"/>
    <d v="2025-09-29T00:00:00"/>
    <s v="05-10-2025"/>
    <d v="2025-10-05T00:00:00"/>
    <s v="Valid"/>
    <n v="6"/>
    <s v="Valid"/>
    <s v="CUST-9875"/>
    <s v="Arjun Bose"/>
    <s v="Arjun Bose"/>
    <s v="Small Business"/>
    <x v="1"/>
    <s v="South"/>
    <x v="2"/>
    <s v="Karnataka"/>
    <s v="Bengaluru"/>
    <s v="Office Supplies"/>
    <x v="0"/>
    <x v="0"/>
    <s v="Basic Paper 613"/>
    <s v="Second Class"/>
    <x v="0"/>
    <n v="5"/>
    <n v="1806.51"/>
    <n v="0.25"/>
    <n v="0.25"/>
    <n v="6774.4124999999995"/>
    <n v="6774.41"/>
    <n v="4710.3599999999997"/>
    <n v="2064.0500000000002"/>
    <s v="Failed"/>
    <s v="Returned"/>
    <x v="2"/>
    <s v="Valid"/>
    <n v="2064.0500000000002"/>
    <n v="0.30468324744027625"/>
    <x v="7"/>
    <x v="1"/>
    <s v="Clean"/>
  </r>
  <r>
    <s v="ORD-2024-10029"/>
    <s v="11-10-2024"/>
    <d v="2024-10-11T00:00:00"/>
    <s v="18-10-2024"/>
    <d v="2024-10-18T00:00:00"/>
    <s v="Valid"/>
    <n v="7"/>
    <s v="Valid"/>
    <s v="CUST-1569"/>
    <s v="Ananya Rao"/>
    <s v="Ananya Rao"/>
    <s v="Home Office"/>
    <x v="3"/>
    <s v="West"/>
    <x v="3"/>
    <s v="Gujarat"/>
    <s v="Ahmedabad"/>
    <s v="Technology"/>
    <x v="2"/>
    <x v="11"/>
    <s v="Prime Phones 698"/>
    <s v="Second Class"/>
    <x v="0"/>
    <n v="2"/>
    <n v="1942.22"/>
    <n v="0.25"/>
    <n v="0.25"/>
    <n v="2913.33"/>
    <n v="2913.33"/>
    <n v="2122.33"/>
    <n v="791"/>
    <s v="Refunded"/>
    <s v="Cancelled"/>
    <x v="1"/>
    <s v="Valid"/>
    <n v="791"/>
    <n v="0.27151060813570727"/>
    <x v="9"/>
    <x v="0"/>
    <s v="Clean"/>
  </r>
  <r>
    <s v="ORD-2025-10030"/>
    <s v="13 Aug 2025"/>
    <d v="2025-08-13T00:00:00"/>
    <s v="13-08-2025"/>
    <d v="2025-08-13T00:00:00"/>
    <s v="Valid"/>
    <n v="0"/>
    <s v="Valid"/>
    <s v="CUST-5936"/>
    <s v="Rohan Mehta"/>
    <s v="Rohan Mehta"/>
    <s v="Home Office"/>
    <x v="3"/>
    <s v="South"/>
    <x v="2"/>
    <s v="Kerala"/>
    <s v="Kochi"/>
    <s v="Technology"/>
    <x v="2"/>
    <x v="11"/>
    <s v="Pro Phones 442"/>
    <s v="Standard Class"/>
    <x v="3"/>
    <n v="1"/>
    <n v="256.01"/>
    <n v="0.15"/>
    <n v="0.15"/>
    <n v="217.60849999999999"/>
    <n v="217.61"/>
    <n v="119.77"/>
    <n v="97.84"/>
    <s v="Paid"/>
    <s v="Completed"/>
    <x v="0"/>
    <s v="Valid"/>
    <n v="97.840000000000018"/>
    <n v="0.44961478986344755"/>
    <x v="1"/>
    <x v="1"/>
    <s v="Clean"/>
  </r>
  <r>
    <s v="ORD-2024-10031"/>
    <s v="09 Feb 2024"/>
    <d v="2024-02-09T00:00:00"/>
    <s v="02/12/2024"/>
    <d v="2024-02-12T00:00:00"/>
    <s v="Valid"/>
    <n v="3"/>
    <s v="Valid"/>
    <s v="CUST-8759"/>
    <s v="Ananya Rao"/>
    <s v="Ananya Rao"/>
    <s v="Corporate"/>
    <x v="2"/>
    <s v="West"/>
    <x v="3"/>
    <s v="Goa"/>
    <s v="Panaji"/>
    <s v="Office Supplies"/>
    <x v="0"/>
    <x v="7"/>
    <s v="Pro Labels 355"/>
    <s v="First Class"/>
    <x v="2"/>
    <n v="1"/>
    <n v="3421.77"/>
    <n v="0.1"/>
    <n v="0.1"/>
    <n v="3079.5929999999998"/>
    <n v="3079.59"/>
    <n v="2001.89"/>
    <n v="1077.7"/>
    <s v="Paid"/>
    <s v="Completed"/>
    <x v="0"/>
    <s v="Valid"/>
    <n v="1077.7"/>
    <n v="0.34994884064225373"/>
    <x v="6"/>
    <x v="0"/>
    <s v="Clean"/>
  </r>
  <r>
    <s v="ORD-2025-10032"/>
    <s v="15-06-2025"/>
    <d v="2025-06-15T00:00:00"/>
    <s v="19-06-2025"/>
    <d v="2025-06-19T00:00:00"/>
    <s v="Valid"/>
    <n v="4"/>
    <s v="Valid"/>
    <s v="CUST-7867"/>
    <s v="Karan Malhotra"/>
    <s v="Karan Malhotra"/>
    <s v="Small Business"/>
    <x v="1"/>
    <s v="West"/>
    <x v="3"/>
    <s v="Madhya Pradesh"/>
    <s v="Indore"/>
    <s v="Office Supplies"/>
    <x v="0"/>
    <x v="0"/>
    <s v="Pro Paper 959"/>
    <s v="Second Class"/>
    <x v="0"/>
    <n v="9"/>
    <n v="3092.55"/>
    <n v="0"/>
    <n v="0"/>
    <n v="27832.95"/>
    <n v="27832.95"/>
    <n v="17769.75"/>
    <n v="10063.200000000001"/>
    <s v="Failed"/>
    <s v="Returned"/>
    <x v="2"/>
    <s v="Valid"/>
    <n v="10063.200000000001"/>
    <n v="0.36155707533696574"/>
    <x v="2"/>
    <x v="1"/>
    <s v="Clean"/>
  </r>
  <r>
    <s v="ORD-2024-10033"/>
    <s v="22-11-2024"/>
    <d v="2024-11-22T00:00:00"/>
    <s v="2024-11-26"/>
    <d v="2024-11-26T00:00:00"/>
    <s v="Valid"/>
    <n v="4"/>
    <s v="Valid"/>
    <s v="CUST-6509"/>
    <s v="Aarav Sharma"/>
    <s v="Aarav Sharma"/>
    <s v="Corporate"/>
    <x v="2"/>
    <s v="South"/>
    <x v="2"/>
    <s v="Andhra Pradesh"/>
    <s v="Vijayawada"/>
    <s v="Technology"/>
    <x v="2"/>
    <x v="11"/>
    <s v="Basic Phones 242"/>
    <s v="Second Class"/>
    <x v="0"/>
    <n v="3"/>
    <n v="4001.25"/>
    <m/>
    <n v="0"/>
    <n v="12003.75"/>
    <n v="9002.81"/>
    <n v="7529.92"/>
    <n v="1472.89"/>
    <s v="Paid"/>
    <s v="Completed"/>
    <x v="0"/>
    <s v="Valid"/>
    <n v="1472.8899999999994"/>
    <n v="0.12270248880558154"/>
    <x v="3"/>
    <x v="0"/>
    <s v="Clean"/>
  </r>
  <r>
    <s v="ORD-2024-10034"/>
    <s v="07/22/2024"/>
    <d v="2024-07-22T00:00:00"/>
    <s v="27-07-2024"/>
    <d v="2024-07-27T00:00:00"/>
    <s v="Valid"/>
    <n v="5"/>
    <s v="Valid"/>
    <s v="CUST-6660"/>
    <s v="Priya Menon"/>
    <s v="Priya Menon"/>
    <s v="Home Office"/>
    <x v="3"/>
    <s v="West"/>
    <x v="3"/>
    <s v="Goa"/>
    <s v="Panaji"/>
    <s v="Furniture"/>
    <x v="1"/>
    <x v="1"/>
    <s v="Max Tables 836"/>
    <s v="Same Day"/>
    <x v="1"/>
    <n v="7"/>
    <n v="492.41"/>
    <n v="0.25"/>
    <n v="0.25"/>
    <n v="2585.1525000000001"/>
    <n v="2585.15"/>
    <n v="2070.73"/>
    <n v="514.41999999999996"/>
    <s v="Paid"/>
    <s v="Completed"/>
    <x v="0"/>
    <s v="Valid"/>
    <n v="514.42000000000007"/>
    <n v="0.1989901949691556"/>
    <x v="0"/>
    <x v="0"/>
    <s v="Clean"/>
  </r>
  <r>
    <s v="ORD-2025-10035"/>
    <s v="2025-01-31"/>
    <d v="2025-01-31T00:00:00"/>
    <s v="2025-02-05"/>
    <d v="2025-02-05T00:00:00"/>
    <s v="Valid"/>
    <n v="5"/>
    <s v="Valid"/>
    <s v="CUST-2392"/>
    <s v="Priya Menon"/>
    <s v="Priya Menon"/>
    <s v="Home Office"/>
    <x v="3"/>
    <s v="East"/>
    <x v="1"/>
    <s v="West Bengal"/>
    <s v="Kolkata"/>
    <s v="Furniture"/>
    <x v="1"/>
    <x v="4"/>
    <s v="Elite Chairs 862"/>
    <m/>
    <x v="4"/>
    <n v="2"/>
    <n v="4159.6899999999996"/>
    <n v="0.2"/>
    <n v="0.2"/>
    <n v="6655.5039999999999"/>
    <n v="6655.5"/>
    <n v="4340.21"/>
    <n v="2607.3200000000002"/>
    <s v="Paid"/>
    <s v="Completed"/>
    <x v="0"/>
    <s v="Valid"/>
    <n v="2315.29"/>
    <n v="0.34787598354685084"/>
    <x v="10"/>
    <x v="1"/>
    <s v="Clean"/>
  </r>
  <r>
    <s v="ORD-2024-10036"/>
    <s v="29-05-2024"/>
    <d v="2024-05-29T00:00:00"/>
    <s v="29 May 2024"/>
    <d v="2024-05-29T00:00:00"/>
    <s v="Valid"/>
    <n v="0"/>
    <s v="Valid"/>
    <s v="CUST-1611"/>
    <s v="Sneha Kapoor"/>
    <s v="Sneha Kapoor"/>
    <s v="Small Business"/>
    <x v="1"/>
    <s v="West"/>
    <x v="3"/>
    <s v="Gujarat"/>
    <s v="Ahmedabad"/>
    <s v="Furniture"/>
    <x v="1"/>
    <x v="10"/>
    <s v="Prime Bookcases 414"/>
    <s v="Second Class"/>
    <x v="0"/>
    <n v="8"/>
    <n v="2507.12"/>
    <n v="0.05"/>
    <n v="0.05"/>
    <n v="19054.111999999997"/>
    <n v="19054.11"/>
    <n v="15313.83"/>
    <n v="3740.28"/>
    <s v="Pending"/>
    <s v="Returned"/>
    <x v="2"/>
    <s v="Valid"/>
    <n v="3740.2800000000007"/>
    <n v="0.19629778601070474"/>
    <x v="4"/>
    <x v="0"/>
    <s v="Clean"/>
  </r>
  <r>
    <s v="ORD-2024-10037"/>
    <s v="2024-10-25"/>
    <d v="2024-10-25T00:00:00"/>
    <s v="28 Oct 2024"/>
    <d v="2024-10-28T00:00:00"/>
    <s v="Valid"/>
    <n v="3"/>
    <s v="Valid"/>
    <s v="CUST-8296"/>
    <s v="Rohan Mehta"/>
    <s v="Rohan Mehta"/>
    <s v="Corporate"/>
    <x v="2"/>
    <s v="West"/>
    <x v="3"/>
    <s v="Maharashtra"/>
    <s v="Mumbai"/>
    <s v="Furniture"/>
    <x v="1"/>
    <x v="10"/>
    <s v="Eco Bookcases 220"/>
    <s v="Second Class"/>
    <x v="0"/>
    <n v="3"/>
    <n v="3126.47"/>
    <n v="0"/>
    <n v="0"/>
    <n v="9379.41"/>
    <n v="9379.41"/>
    <n v="6670.85"/>
    <n v="2708.56"/>
    <s v="Paid"/>
    <s v="Returned"/>
    <x v="2"/>
    <s v="Valid"/>
    <n v="2708.5599999999995"/>
    <n v="0.28877722585962223"/>
    <x v="9"/>
    <x v="0"/>
    <s v="Clean"/>
  </r>
  <r>
    <s v="ORD-2025-10038"/>
    <s v="29-07-2025"/>
    <d v="2025-07-29T00:00:00"/>
    <s v="29-07-2025"/>
    <d v="2025-07-29T00:00:00"/>
    <s v="Valid"/>
    <n v="0"/>
    <s v="Valid"/>
    <s v="CUST-4646"/>
    <s v="Diya Patel"/>
    <s v="Diya Patel"/>
    <s v="Consumer"/>
    <x v="0"/>
    <s v="West"/>
    <x v="3"/>
    <s v="Maharashtra"/>
    <s v="Mumbai"/>
    <s v="Technology"/>
    <x v="2"/>
    <x v="6"/>
    <s v="Pro Copiers 830"/>
    <s v="Standard Class"/>
    <x v="3"/>
    <n v="4"/>
    <n v="1327.54"/>
    <n v="0.2"/>
    <n v="0.2"/>
    <n v="4248.1279999999997"/>
    <n v="4248.13"/>
    <n v="3321.09"/>
    <n v="927.04"/>
    <s v="Paid"/>
    <s v="Completed"/>
    <x v="0"/>
    <s v="Valid"/>
    <n v="927.04"/>
    <n v="0.21822317971586544"/>
    <x v="0"/>
    <x v="1"/>
    <s v="Clean"/>
  </r>
  <r>
    <s v="ORD-2024-10039"/>
    <s v="2024-06-17"/>
    <d v="2024-06-17T00:00:00"/>
    <s v="22-06-2024"/>
    <d v="2024-06-22T00:00:00"/>
    <s v="Valid"/>
    <n v="5"/>
    <s v="Valid"/>
    <s v="CUST-8235"/>
    <s v="Aarav Sharma"/>
    <s v="Aarav Sharma"/>
    <s v="Corporate"/>
    <x v="2"/>
    <s v="West"/>
    <x v="3"/>
    <s v="Gujarat"/>
    <s v="Ahmedabad"/>
    <s v="Technology"/>
    <x v="2"/>
    <x v="11"/>
    <s v="Prime Phones 507"/>
    <s v="First Class"/>
    <x v="2"/>
    <n v="7"/>
    <n v="2210.6799999999998"/>
    <n v="0.1"/>
    <n v="0.1"/>
    <n v="13927.284"/>
    <n v="13927.28"/>
    <n v="10504.87"/>
    <n v="3422.41"/>
    <s v="Paid"/>
    <s v="Completed"/>
    <x v="0"/>
    <s v="Valid"/>
    <n v="3422.41"/>
    <n v="0.24573420058067316"/>
    <x v="2"/>
    <x v="0"/>
    <s v="Clean"/>
  </r>
  <r>
    <s v="ORD-2024-10040"/>
    <s v="12/11/2024"/>
    <d v="2024-12-11T00:00:00"/>
    <s v="2024-12-11"/>
    <d v="2024-12-11T00:00:00"/>
    <s v="Valid"/>
    <n v="0"/>
    <s v="Valid"/>
    <s v="CUST-5830"/>
    <s v="Mira Das"/>
    <s v="Mira Das"/>
    <s v="Small Business"/>
    <x v="1"/>
    <s v="West"/>
    <x v="3"/>
    <s v="Madhya Pradesh"/>
    <s v="Indore"/>
    <s v="Technology"/>
    <x v="2"/>
    <x v="6"/>
    <s v="Classic Copiers 590"/>
    <s v="First Class"/>
    <x v="2"/>
    <n v="4"/>
    <n v="1370.92"/>
    <n v="0.1"/>
    <n v="0.1"/>
    <n v="4935.3120000000008"/>
    <n v="4935.3100000000004"/>
    <n v="3374.77"/>
    <n v="1560.54"/>
    <s v="Pending"/>
    <s v="Returned"/>
    <x v="2"/>
    <s v="Valid"/>
    <n v="1560.5400000000004"/>
    <n v="0.3161988542973575"/>
    <x v="8"/>
    <x v="0"/>
    <s v="Clean"/>
  </r>
  <r>
    <s v="ORD-2024-10041"/>
    <s v="10-10-2024"/>
    <d v="2024-10-10T00:00:00"/>
    <s v="16 Oct 2024"/>
    <d v="2024-10-16T00:00:00"/>
    <s v="Valid"/>
    <n v="6"/>
    <s v="Valid"/>
    <s v="CUST-7178"/>
    <s v="Isha Nair"/>
    <s v="Isha Nair"/>
    <s v="Home Office"/>
    <x v="3"/>
    <s v="West"/>
    <x v="3"/>
    <s v="Rajasthan"/>
    <s v="Udaipur"/>
    <s v="Technology"/>
    <x v="2"/>
    <x v="6"/>
    <s v="Eco Copiers 865"/>
    <s v="Standard Class"/>
    <x v="3"/>
    <n v="7"/>
    <n v="2509.27"/>
    <n v="0.2"/>
    <n v="0.2"/>
    <n v="14051.912"/>
    <n v="14051.91"/>
    <n v="11990.37"/>
    <n v="2061.54"/>
    <s v="Paid"/>
    <s v="Completed"/>
    <x v="0"/>
    <s v="Valid"/>
    <n v="2061.5399999999991"/>
    <n v="0.14670886068742808"/>
    <x v="9"/>
    <x v="0"/>
    <s v="Clean"/>
  </r>
  <r>
    <s v="ORD-2024-10042"/>
    <s v="03/12/2024"/>
    <d v="2024-03-12T00:00:00"/>
    <s v="17-03-2024"/>
    <d v="2024-03-17T00:00:00"/>
    <s v="Valid"/>
    <n v="5"/>
    <s v="Valid"/>
    <s v="CUST-3829"/>
    <s v="Aarav Sharma"/>
    <s v="Aarav Sharma"/>
    <s v="Small Business"/>
    <x v="1"/>
    <s v="East"/>
    <x v="1"/>
    <s v="Odisha"/>
    <s v="Bhubaneswar"/>
    <s v="Furniture"/>
    <x v="1"/>
    <x v="10"/>
    <s v="Classic Bookcases 835"/>
    <s v="Same Day"/>
    <x v="1"/>
    <n v="8"/>
    <n v="855.81"/>
    <n v="0"/>
    <n v="0"/>
    <n v="6846.48"/>
    <n v="6846.48"/>
    <n v="4239.8900000000003"/>
    <n v="2606.59"/>
    <s v="Pending"/>
    <s v="Cancelled"/>
    <x v="1"/>
    <s v="Valid"/>
    <n v="2606.5899999999992"/>
    <n v="0.38071972750961069"/>
    <x v="11"/>
    <x v="0"/>
    <s v="Clean"/>
  </r>
  <r>
    <s v="ORD-2025-10043"/>
    <s v="2025-10-10"/>
    <d v="2025-10-10T00:00:00"/>
    <s v="15 Oct 2025"/>
    <d v="2025-10-15T00:00:00"/>
    <s v="Valid"/>
    <n v="5"/>
    <s v="Valid"/>
    <s v="CUST-6708"/>
    <s v="Arjun Bose"/>
    <s v="Arjun Bose"/>
    <s v="Corporate"/>
    <x v="2"/>
    <s v="East"/>
    <x v="1"/>
    <s v="Jharkhand"/>
    <s v="Ranchi"/>
    <s v="Technology"/>
    <x v="2"/>
    <x v="11"/>
    <s v="Eco Phones 702"/>
    <s v="Standard Class"/>
    <x v="3"/>
    <n v="8"/>
    <n v="979.87"/>
    <n v="0.05"/>
    <n v="0.05"/>
    <n v="7447.0119999999997"/>
    <n v="7447.01"/>
    <n v="4496.22"/>
    <n v="2950.79"/>
    <s v="Paid"/>
    <s v="Completed"/>
    <x v="0"/>
    <s v="Valid"/>
    <n v="2950.79"/>
    <n v="0.39623811536761322"/>
    <x v="9"/>
    <x v="1"/>
    <s v="Clean"/>
  </r>
  <r>
    <s v="ORD-2024-10044"/>
    <s v="07/08/2024"/>
    <d v="2024-07-08T00:00:00"/>
    <s v="07/14/2024"/>
    <d v="2024-07-14T00:00:00"/>
    <s v="Valid"/>
    <n v="6"/>
    <s v="Valid"/>
    <s v="CUST-7119"/>
    <s v="Priya Menon"/>
    <s v="Priya Menon"/>
    <s v="Small Business"/>
    <x v="1"/>
    <s v="East"/>
    <x v="1"/>
    <s v="Odisha"/>
    <s v="Bhubaneswar"/>
    <s v="Furniture"/>
    <x v="1"/>
    <x v="3"/>
    <s v="Smart Furnishings 956"/>
    <s v="Same Day"/>
    <x v="1"/>
    <n v="3"/>
    <n v="1010.23"/>
    <n v="0"/>
    <n v="0"/>
    <n v="3030.69"/>
    <n v="3030.69"/>
    <n v="1721.08"/>
    <n v="1309.6099999999999"/>
    <s v="Paid"/>
    <s v="Completed"/>
    <x v="0"/>
    <s v="Valid"/>
    <n v="1309.6100000000001"/>
    <n v="0.43211611877163292"/>
    <x v="0"/>
    <x v="0"/>
    <s v="Clean"/>
  </r>
  <r>
    <s v="ORD-2024-10045"/>
    <s v="06/22/2024"/>
    <d v="2024-06-22T00:00:00"/>
    <s v="25-06-2024"/>
    <d v="2024-06-25T00:00:00"/>
    <s v="Valid"/>
    <n v="3"/>
    <s v="Valid"/>
    <s v="CUST-3373"/>
    <s v="Rohan Mehta"/>
    <s v="Rohan Mehta"/>
    <s v="Small Business"/>
    <x v="1"/>
    <s v="North"/>
    <x v="0"/>
    <s v="Haryana"/>
    <s v="Gurugram"/>
    <s v="Furniture"/>
    <x v="1"/>
    <x v="4"/>
    <s v="Max Chairs 393"/>
    <s v="Standard Class"/>
    <x v="3"/>
    <n v="9"/>
    <n v="3329.77"/>
    <n v="0.1"/>
    <n v="0.1"/>
    <n v="26971.137000000002"/>
    <n v="26971.14"/>
    <n v="17376.2"/>
    <n v="9594.94"/>
    <s v="Paid"/>
    <s v="Completed"/>
    <x v="0"/>
    <s v="Valid"/>
    <n v="9594.9399999999987"/>
    <n v="0.35574844323396515"/>
    <x v="2"/>
    <x v="0"/>
    <s v="Clean"/>
  </r>
  <r>
    <s v="ORD-2024-10046"/>
    <s v="18 Jan 2024"/>
    <d v="2024-01-18T00:00:00"/>
    <s v="24-01-2024"/>
    <d v="2024-01-24T00:00:00"/>
    <s v="Valid"/>
    <n v="6"/>
    <s v="Valid"/>
    <s v="CUST-8896"/>
    <s v="Isha Nair"/>
    <s v="Isha Nair"/>
    <s v="Home Office"/>
    <x v="3"/>
    <s v="East"/>
    <x v="1"/>
    <s v="Bihar"/>
    <s v="Patna"/>
    <s v="Office Supplies"/>
    <x v="0"/>
    <x v="2"/>
    <s v="Prime Art 221"/>
    <s v="Second Class"/>
    <x v="0"/>
    <n v="8"/>
    <n v="3927.82"/>
    <n v="0.05"/>
    <n v="0.05"/>
    <n v="29851.432000000001"/>
    <n v="29851.43"/>
    <n v="17487.48"/>
    <n v="12363.95"/>
    <s v="Pending"/>
    <s v="Returned"/>
    <x v="2"/>
    <s v="Valid"/>
    <n v="12363.95"/>
    <n v="0.41418281039247967"/>
    <x v="10"/>
    <x v="0"/>
    <s v="Clean"/>
  </r>
  <r>
    <s v="ORD-2024-10047"/>
    <s v="19-07-2024"/>
    <d v="2024-07-19T00:00:00"/>
    <s v="19-07-2024"/>
    <d v="2024-07-19T00:00:00"/>
    <s v="Valid"/>
    <n v="0"/>
    <s v="Valid"/>
    <s v="CUST-8517"/>
    <s v="Ananya Rao"/>
    <s v="Ananya Rao"/>
    <s v="Small Business"/>
    <x v="1"/>
    <s v="South"/>
    <x v="2"/>
    <s v="Kerala"/>
    <s v="Kochi"/>
    <s v="Furniture"/>
    <x v="1"/>
    <x v="10"/>
    <s v="Elite Bookcases 671"/>
    <s v="Standard Class"/>
    <x v="3"/>
    <n v="9"/>
    <n v="2386.79"/>
    <n v="0.25"/>
    <n v="0.25"/>
    <n v="16110.8325"/>
    <n v="16110.83"/>
    <n v="10680.03"/>
    <n v="5430.8"/>
    <s v="Refunded"/>
    <s v="Returned"/>
    <x v="2"/>
    <s v="Valid"/>
    <n v="5430.7999999999993"/>
    <n v="0.33708996726270968"/>
    <x v="0"/>
    <x v="0"/>
    <s v="Clean"/>
  </r>
  <r>
    <s v="ORD-2024-10048"/>
    <s v="12-08-2024"/>
    <d v="2024-08-12T00:00:00"/>
    <s v="2024-08-12"/>
    <d v="2024-08-12T00:00:00"/>
    <s v="Valid"/>
    <n v="0"/>
    <s v="Valid"/>
    <s v="CUST-1987"/>
    <s v="Rahul Verma"/>
    <s v="Rahul Verma"/>
    <s v="Corporate"/>
    <x v="2"/>
    <s v="South"/>
    <x v="2"/>
    <s v="Tamil Nadu"/>
    <s v="Chennai"/>
    <s v="Office Supplies"/>
    <x v="0"/>
    <x v="8"/>
    <s v="Max Storage 432"/>
    <s v="Standard Class"/>
    <x v="3"/>
    <n v="8"/>
    <n v="2445.31"/>
    <n v="0.1"/>
    <n v="0.1"/>
    <n v="17606.232"/>
    <n v="17606.23"/>
    <n v="12438.96"/>
    <n v="5167.2700000000004"/>
    <s v="Paid"/>
    <s v="Completed"/>
    <x v="0"/>
    <s v="Valid"/>
    <n v="5167.2700000000004"/>
    <n v="0.29349096388142565"/>
    <x v="1"/>
    <x v="0"/>
    <s v="Clean"/>
  </r>
  <r>
    <s v="ORD-2025-10049"/>
    <s v="30 Jan 2025"/>
    <d v="2025-01-30T00:00:00"/>
    <s v="05 Feb 2025"/>
    <d v="2025-02-05T00:00:00"/>
    <s v="Valid"/>
    <n v="6"/>
    <s v="Valid"/>
    <s v="CUST-8183"/>
    <s v="Neha Gupta"/>
    <s v="Neha Gupta"/>
    <s v="Corporate"/>
    <x v="2"/>
    <s v="West"/>
    <x v="3"/>
    <s v="Maharashtra"/>
    <s v="Mumbai"/>
    <s v="Furniture"/>
    <x v="1"/>
    <x v="4"/>
    <s v="Basic Chairs 837"/>
    <s v="Second Class"/>
    <x v="0"/>
    <n v="7"/>
    <n v="4063.66"/>
    <n v="0"/>
    <n v="0"/>
    <n v="28445.62"/>
    <n v="28445.62"/>
    <n v="20938.59"/>
    <n v="7507.03"/>
    <s v="Paid"/>
    <s v="Completed"/>
    <x v="0"/>
    <s v="Valid"/>
    <n v="7507.0299999999988"/>
    <n v="0.26390811660986818"/>
    <x v="10"/>
    <x v="1"/>
    <s v="Clean"/>
  </r>
  <r>
    <s v="ORD-2024-10050"/>
    <s v="2024-04-06"/>
    <d v="2024-04-06T00:00:00"/>
    <s v="13 Apr 2024"/>
    <d v="2024-04-13T00:00:00"/>
    <s v="Valid"/>
    <n v="7"/>
    <s v="Valid"/>
    <s v="CUST-2380"/>
    <s v="Aarav Sharma"/>
    <s v="Aarav Sharma"/>
    <s v="Home Office"/>
    <x v="3"/>
    <s v="North"/>
    <x v="0"/>
    <s v="Uttar Pradesh"/>
    <s v="Noida"/>
    <s v="Technology"/>
    <x v="2"/>
    <x v="6"/>
    <s v="Classic Copiers 295"/>
    <s v="Second Class"/>
    <x v="0"/>
    <n v="9"/>
    <n v="792.11"/>
    <n v="0.05"/>
    <n v="0.05"/>
    <n v="6772.5404999999992"/>
    <n v="6772.54"/>
    <n v="5755.46"/>
    <n v="1017.08"/>
    <s v="Paid"/>
    <s v="Completed"/>
    <x v="0"/>
    <s v="Valid"/>
    <n v="1017.0799999999999"/>
    <n v="0.15017702736513722"/>
    <x v="5"/>
    <x v="0"/>
    <s v="Clean"/>
  </r>
  <r>
    <s v="ORD-2025-10051"/>
    <s v="05/11/2025"/>
    <d v="2025-05-11T00:00:00"/>
    <s v="19 May 2025"/>
    <d v="2025-05-19T00:00:00"/>
    <s v="Valid"/>
    <n v="8"/>
    <s v="Valid"/>
    <s v="CUST-8787"/>
    <s v="Sneha Kapoor"/>
    <s v="Sneha Kapoor"/>
    <s v="Consumer"/>
    <x v="0"/>
    <s v="East"/>
    <x v="1"/>
    <s v="West Bengal"/>
    <s v="Kolkata"/>
    <s v="Technology"/>
    <x v="2"/>
    <x v="6"/>
    <s v="Pro Copiers 963"/>
    <s v="Standard Class"/>
    <x v="3"/>
    <n v="1"/>
    <n v="2382.8000000000002"/>
    <n v="0.15"/>
    <n v="0.15"/>
    <n v="2025.38"/>
    <n v="2025.38"/>
    <n v="1140.6500000000001"/>
    <n v="884.73"/>
    <s v="Paid"/>
    <s v="Completed"/>
    <x v="0"/>
    <s v="Valid"/>
    <n v="884.73"/>
    <n v="0.43682173221815163"/>
    <x v="4"/>
    <x v="1"/>
    <s v="Clean"/>
  </r>
  <r>
    <s v="ORD-2024-10052"/>
    <s v="24 Apr 2024"/>
    <d v="2024-04-24T00:00:00"/>
    <s v="29 Apr 2024"/>
    <d v="2024-04-29T00:00:00"/>
    <s v="Valid"/>
    <n v="5"/>
    <s v="Valid"/>
    <s v="CUST-3557"/>
    <s v="Ananya Rao"/>
    <s v="Ananya Rao"/>
    <s v="Corporate"/>
    <x v="2"/>
    <s v="South"/>
    <x v="2"/>
    <s v="Telangana"/>
    <s v="Hyderabad"/>
    <s v="Office Supplies"/>
    <x v="0"/>
    <x v="2"/>
    <s v="Pro Art 907"/>
    <s v="Standard Class"/>
    <x v="3"/>
    <n v="6"/>
    <n v="1528.08"/>
    <n v="0"/>
    <n v="0"/>
    <n v="9168.48"/>
    <n v="9168.48"/>
    <n v="7439.77"/>
    <n v="1728.71"/>
    <s v="Paid"/>
    <s v="Completed"/>
    <x v="0"/>
    <s v="Valid"/>
    <n v="1728.7099999999991"/>
    <n v="0.18854924698532355"/>
    <x v="5"/>
    <x v="0"/>
    <s v="Clean"/>
  </r>
  <r>
    <s v="ORD-2024-10053"/>
    <s v="26-10-2024"/>
    <d v="2024-10-26T00:00:00"/>
    <s v="2024-10-28"/>
    <d v="2024-10-28T00:00:00"/>
    <s v="Valid"/>
    <n v="2"/>
    <s v="Valid"/>
    <s v="CUST-2778"/>
    <s v="Kabir Singh"/>
    <s v="Kabir Singh"/>
    <s v="Small Business"/>
    <x v="1"/>
    <s v="North"/>
    <x v="0"/>
    <s v="Rajasthan"/>
    <s v="Jaipur"/>
    <s v="Furniture"/>
    <x v="1"/>
    <x v="4"/>
    <s v="Pro Chairs 526"/>
    <s v="First Class"/>
    <x v="2"/>
    <n v="9"/>
    <n v="1399.63"/>
    <n v="0"/>
    <n v="0"/>
    <n v="12596.670000000002"/>
    <n v="12596.67"/>
    <n v="10603.29"/>
    <n v="1993.38"/>
    <s v="Failed"/>
    <s v="Cancelled"/>
    <x v="1"/>
    <s v="Valid"/>
    <n v="1993.3799999999992"/>
    <n v="0.15824658421630469"/>
    <x v="9"/>
    <x v="0"/>
    <s v="Clean"/>
  </r>
  <r>
    <s v="ORD-2025-10054"/>
    <s v="31 Mar 2025"/>
    <d v="2025-03-31T00:00:00"/>
    <s v="2025-03-31"/>
    <d v="2025-03-31T00:00:00"/>
    <s v="Valid"/>
    <n v="0"/>
    <s v="Valid"/>
    <s v="CUST-7195"/>
    <s v="Kabir Singh"/>
    <s v="Kabir Singh"/>
    <s v="Home Office"/>
    <x v="3"/>
    <s v="West"/>
    <x v="3"/>
    <s v="Gujarat"/>
    <s v="Ahmedabad"/>
    <s v="Office Supplies"/>
    <x v="0"/>
    <x v="8"/>
    <s v="Elite Storage 924"/>
    <s v="First Class"/>
    <x v="2"/>
    <n v="5"/>
    <n v="1207.47"/>
    <n v="0.15"/>
    <n v="0.15"/>
    <n v="5131.7475000000004"/>
    <n v="5131.75"/>
    <n v="2838.68"/>
    <n v="2293.0700000000002"/>
    <s v="Paid"/>
    <s v="Completed"/>
    <x v="0"/>
    <s v="Valid"/>
    <n v="2293.0700000000002"/>
    <n v="0.44683998969162064"/>
    <x v="11"/>
    <x v="1"/>
    <s v="Clean"/>
  </r>
  <r>
    <s v="ORD-2025-10055"/>
    <s v="30 May 2025"/>
    <d v="2025-05-30T00:00:00"/>
    <s v="2025-06-02"/>
    <d v="2025-06-02T00:00:00"/>
    <s v="Valid"/>
    <n v="3"/>
    <s v="Valid"/>
    <s v="CUST-9039"/>
    <s v="Arjun Bose"/>
    <s v="Arjun Bose"/>
    <s v="Corporate"/>
    <x v="2"/>
    <s v="South"/>
    <x v="2"/>
    <s v="Tamil Nadu"/>
    <s v="Chennai"/>
    <s v="Office Supplies"/>
    <x v="0"/>
    <x v="7"/>
    <s v="Pro Labels 957"/>
    <s v="Same Day"/>
    <x v="1"/>
    <n v="8"/>
    <n v="474.37"/>
    <n v="0.1"/>
    <n v="0.1"/>
    <n v="3415.4639999999999"/>
    <n v="3415.46"/>
    <n v="1993.23"/>
    <n v="1422.23"/>
    <s v="Failed"/>
    <s v="Cancelled"/>
    <x v="1"/>
    <s v="Valid"/>
    <n v="1422.23"/>
    <n v="0.41640901499766941"/>
    <x v="4"/>
    <x v="1"/>
    <s v="Clean"/>
  </r>
  <r>
    <s v="ORD-2025-10056"/>
    <s v="01-07-2025"/>
    <d v="2025-07-01T00:00:00"/>
    <s v="03-07-2025"/>
    <d v="2025-07-03T00:00:00"/>
    <s v="Valid"/>
    <n v="2"/>
    <s v="Valid"/>
    <s v="CUST-9821"/>
    <s v="Mira Das"/>
    <s v="Mira Das"/>
    <s v="Small Business"/>
    <x v="1"/>
    <s v="South"/>
    <x v="2"/>
    <s v="Andhra Pradesh"/>
    <s v="Vijayawada"/>
    <s v="Technology"/>
    <x v="2"/>
    <x v="12"/>
    <s v="Classic Machines 310"/>
    <s v="Same Day"/>
    <x v="1"/>
    <n v="3"/>
    <n v="1516.24"/>
    <n v="0.25"/>
    <n v="0.25"/>
    <n v="3411.54"/>
    <n v="3411.54"/>
    <n v="2803.13"/>
    <n v="608.41"/>
    <s v="Paid"/>
    <s v="Completed"/>
    <x v="0"/>
    <s v="Valid"/>
    <n v="608.40999999999985"/>
    <n v="0.17833881472883209"/>
    <x v="0"/>
    <x v="1"/>
    <s v="Clean"/>
  </r>
  <r>
    <s v="ORD-2025-10057"/>
    <s v="2025-01-05"/>
    <d v="2025-01-05T00:00:00"/>
    <s v="06-01-2025"/>
    <d v="2025-01-06T00:00:00"/>
    <s v="Valid"/>
    <n v="1"/>
    <s v="Valid"/>
    <s v="CUST-8701"/>
    <s v="Karan Malhotra"/>
    <s v="Karan Malhotra"/>
    <s v="Consumer"/>
    <x v="0"/>
    <s v="South"/>
    <x v="2"/>
    <s v="Karnataka"/>
    <s v="Bengaluru"/>
    <s v="Office Supplies"/>
    <x v="0"/>
    <x v="9"/>
    <s v="Smart Binders 393"/>
    <s v="Second Class"/>
    <x v="0"/>
    <n v="3"/>
    <n v="3155.61"/>
    <n v="0"/>
    <n v="0"/>
    <n v="9466.83"/>
    <n v="9466.83"/>
    <n v="6557.83"/>
    <n v="2909"/>
    <s v="Refunded"/>
    <s v="Cancelled"/>
    <x v="1"/>
    <s v="Valid"/>
    <n v="2909"/>
    <n v="0.30728343067320318"/>
    <x v="10"/>
    <x v="1"/>
    <s v="Clean"/>
  </r>
  <r>
    <s v="ORD-2024-10058"/>
    <s v="2024-02-07"/>
    <d v="2024-02-07T00:00:00"/>
    <s v="15 Feb 2024"/>
    <d v="2024-02-15T00:00:00"/>
    <s v="Valid"/>
    <n v="8"/>
    <s v="Valid"/>
    <s v="CUST-9941"/>
    <s v="Priya Menon"/>
    <s v="Priya Menon"/>
    <s v="Consumer"/>
    <x v="0"/>
    <s v="West"/>
    <x v="3"/>
    <s v="Goa"/>
    <s v="Panaji"/>
    <s v="Furniture"/>
    <x v="1"/>
    <x v="4"/>
    <s v="Max Chairs 813"/>
    <s v="Same Day"/>
    <x v="1"/>
    <n v="5"/>
    <n v="255.87"/>
    <n v="0"/>
    <n v="0"/>
    <n v="1279.3499999999999"/>
    <n v="1279.3499999999999"/>
    <n v="1091.54"/>
    <n v="187.81"/>
    <s v="Paid"/>
    <s v="Completed"/>
    <x v="0"/>
    <s v="Valid"/>
    <n v="187.80999999999995"/>
    <n v="0.14680110993864068"/>
    <x v="6"/>
    <x v="0"/>
    <s v="Clean"/>
  </r>
  <r>
    <s v="ORD-2024-10059"/>
    <s v="2024-09-01"/>
    <d v="2024-09-01T00:00:00"/>
    <s v="2024-09-07"/>
    <d v="2024-09-07T00:00:00"/>
    <s v="Valid"/>
    <n v="6"/>
    <s v="Valid"/>
    <s v="CUST-3983"/>
    <s v="Isha Nair"/>
    <s v="Isha Nair"/>
    <s v="Home Office"/>
    <x v="3"/>
    <s v="North"/>
    <x v="0"/>
    <s v="Rajasthan"/>
    <s v="Jaipur"/>
    <s v="Office Supplies"/>
    <x v="0"/>
    <x v="8"/>
    <s v="Basic Storage 872"/>
    <m/>
    <x v="4"/>
    <n v="9"/>
    <n v="1389.48"/>
    <n v="0.1"/>
    <n v="0.1"/>
    <n v="11254.788"/>
    <n v="11254.79"/>
    <n v="6578.06"/>
    <n v="4676.7299999999996"/>
    <s v="Pending"/>
    <s v="Returned"/>
    <x v="2"/>
    <s v="Valid"/>
    <n v="4676.7300000000005"/>
    <n v="0.41553248270869253"/>
    <x v="7"/>
    <x v="0"/>
    <s v="Clean"/>
  </r>
  <r>
    <s v="ORD-2024-10060"/>
    <s v="20-07-2024"/>
    <d v="2024-07-20T00:00:00"/>
    <s v="25 Jul 2024"/>
    <d v="2024-07-25T00:00:00"/>
    <s v="Valid"/>
    <n v="5"/>
    <s v="Valid"/>
    <s v="CUST-2418"/>
    <s v="Priya Menon"/>
    <s v="Priya Menon"/>
    <s v="Corporate"/>
    <x v="2"/>
    <s v="East"/>
    <x v="1"/>
    <s v="Assam"/>
    <s v="Guwahati"/>
    <s v="Office Supplies"/>
    <x v="0"/>
    <x v="7"/>
    <s v="Smart Labels 655"/>
    <s v="Same Day"/>
    <x v="1"/>
    <n v="5"/>
    <n v="4133.8500000000004"/>
    <n v="0.2"/>
    <n v="0.2"/>
    <n v="16535.400000000001"/>
    <n v="16535.400000000001"/>
    <n v="12990.21"/>
    <n v="3545.19"/>
    <s v="Paid"/>
    <s v="Cancelled"/>
    <x v="1"/>
    <s v="Valid"/>
    <n v="3545.1900000000023"/>
    <n v="0.21440001451431487"/>
    <x v="0"/>
    <x v="0"/>
    <s v="Clean"/>
  </r>
  <r>
    <s v="ORD-2024-10061"/>
    <s v="07/13/2024"/>
    <d v="2024-07-13T00:00:00"/>
    <s v="2024-07-19"/>
    <d v="2024-07-19T00:00:00"/>
    <s v="Valid"/>
    <n v="6"/>
    <s v="Valid"/>
    <s v="CUST-2892"/>
    <s v="Ananya Rao"/>
    <s v="Ananya Rao"/>
    <s v="Corporate"/>
    <x v="2"/>
    <s v="East"/>
    <x v="1"/>
    <s v="Assam"/>
    <s v="Guwahati"/>
    <s v="Office Supplies"/>
    <x v="0"/>
    <x v="7"/>
    <s v="Eco Labels 210"/>
    <s v="Same Day"/>
    <x v="1"/>
    <n v="3"/>
    <n v="275.76"/>
    <n v="0.2"/>
    <n v="0.2"/>
    <n v="661.82400000000007"/>
    <n v="661.82"/>
    <n v="481.47"/>
    <n v="180.35"/>
    <s v="Refunded"/>
    <s v="Cancelled"/>
    <x v="1"/>
    <s v="Valid"/>
    <n v="180.35000000000002"/>
    <n v="0.27250447248815396"/>
    <x v="0"/>
    <x v="0"/>
    <s v="Clean"/>
  </r>
  <r>
    <s v="ORD-2024-10062"/>
    <s v="16 Apr 2024"/>
    <d v="2024-04-16T00:00:00"/>
    <s v="04/16/2024"/>
    <d v="2024-04-16T00:00:00"/>
    <s v="Valid"/>
    <n v="0"/>
    <s v="Valid"/>
    <s v="CUST-7008"/>
    <s v="Vikram Iyer"/>
    <s v="Vikram Iyer"/>
    <s v="Home Office"/>
    <x v="3"/>
    <s v="East"/>
    <x v="1"/>
    <s v="Bihar"/>
    <s v="Patna"/>
    <s v="Furniture"/>
    <x v="1"/>
    <x v="10"/>
    <s v="Classic Bookcases 296"/>
    <s v="Standard Class"/>
    <x v="3"/>
    <n v="1"/>
    <n v="949.59"/>
    <n v="0"/>
    <n v="0"/>
    <n v="949.59"/>
    <n v="949.59"/>
    <n v="751.25"/>
    <n v="198.34"/>
    <s v="Paid"/>
    <s v="Completed"/>
    <x v="0"/>
    <s v="Valid"/>
    <n v="198.34000000000003"/>
    <n v="0.20886909087079689"/>
    <x v="5"/>
    <x v="0"/>
    <s v="Clean"/>
  </r>
  <r>
    <s v="ORD-2024-10063"/>
    <s v="30 Oct 2024"/>
    <d v="2024-10-30T00:00:00"/>
    <s v="02-11-2024"/>
    <d v="2024-11-02T00:00:00"/>
    <s v="Valid"/>
    <n v="3"/>
    <s v="Valid"/>
    <s v="CUST-4900"/>
    <s v="Sneha Kapoor"/>
    <s v="Sneha Kapoor"/>
    <s v="Home Office"/>
    <x v="3"/>
    <s v="North"/>
    <x v="0"/>
    <s v="Rajasthan"/>
    <s v="Jaipur"/>
    <s v="Technology"/>
    <x v="2"/>
    <x v="11"/>
    <s v="Basic Phones 230"/>
    <s v="Standard Class"/>
    <x v="3"/>
    <n v="9"/>
    <n v="3042.29"/>
    <n v="0.2"/>
    <n v="0.2"/>
    <n v="21904.488000000001"/>
    <n v="21904.49"/>
    <n v="13570.55"/>
    <n v="8333.94"/>
    <s v="Paid"/>
    <s v="Completed"/>
    <x v="0"/>
    <s v="Valid"/>
    <n v="8333.9400000000023"/>
    <n v="0.38046723575552199"/>
    <x v="9"/>
    <x v="0"/>
    <s v="Clean"/>
  </r>
  <r>
    <s v="ORD-2024-10064"/>
    <s v="2024-01-25"/>
    <d v="2024-01-25T00:00:00"/>
    <s v="01-02-2024"/>
    <d v="2024-02-01T00:00:00"/>
    <s v="Valid"/>
    <n v="7"/>
    <s v="Valid"/>
    <s v="CUST-5382"/>
    <s v="Sneha Kapoor"/>
    <s v="Sneha Kapoor"/>
    <s v="Home Office"/>
    <x v="3"/>
    <s v="North"/>
    <x v="0"/>
    <s v="Haryana"/>
    <s v="Gurugram"/>
    <s v="Office Supplies"/>
    <x v="0"/>
    <x v="9"/>
    <s v="Pro Binders 690"/>
    <s v="Same Day"/>
    <x v="1"/>
    <n v="2"/>
    <n v="2832.77"/>
    <n v="0.15"/>
    <n v="0.15"/>
    <n v="4815.7089999999998"/>
    <n v="4815.71"/>
    <n v="3027.75"/>
    <n v="1917.47"/>
    <s v="Paid"/>
    <s v="Completed"/>
    <x v="0"/>
    <s v="Valid"/>
    <n v="1787.96"/>
    <n v="0.37127658668744312"/>
    <x v="10"/>
    <x v="0"/>
    <s v="Clean"/>
  </r>
  <r>
    <s v="ORD-2024-10065"/>
    <s v="2024-12-23"/>
    <d v="2024-12-23T00:00:00"/>
    <s v="12/29/2024"/>
    <d v="2024-12-29T00:00:00"/>
    <s v="Valid"/>
    <n v="6"/>
    <s v="Valid"/>
    <s v="CUST-2749"/>
    <s v="Aarav Sharma"/>
    <s v="Aarav Sharma"/>
    <s v="Corporate"/>
    <x v="2"/>
    <s v="East"/>
    <x v="1"/>
    <s v="Jharkhand"/>
    <s v="Ranchi"/>
    <s v="Office Supplies"/>
    <x v="0"/>
    <x v="0"/>
    <s v="Classic Paper 458"/>
    <s v="First Class"/>
    <x v="2"/>
    <n v="7"/>
    <n v="447.84"/>
    <n v="0"/>
    <n v="0"/>
    <n v="3134.8799999999997"/>
    <n v="3134.88"/>
    <n v="2367.63"/>
    <n v="767.25"/>
    <s v="Refunded"/>
    <s v="Returned"/>
    <x v="2"/>
    <s v="Valid"/>
    <n v="767.25"/>
    <n v="0.24474621038125863"/>
    <x v="8"/>
    <x v="0"/>
    <s v="Clean"/>
  </r>
  <r>
    <s v="ORD-2024-10066"/>
    <s v="22 Apr 2024"/>
    <d v="2024-04-22T00:00:00"/>
    <s v="2024-04-27"/>
    <d v="2024-04-27T00:00:00"/>
    <s v="Valid"/>
    <n v="5"/>
    <s v="Valid"/>
    <s v="CUST-2463"/>
    <s v="Mira Das"/>
    <s v="Mira Das"/>
    <s v="Home Office"/>
    <x v="3"/>
    <s v="West"/>
    <x v="3"/>
    <s v="Maharashtra"/>
    <s v="Mumbai"/>
    <s v="Office Supplies"/>
    <x v="0"/>
    <x v="0"/>
    <s v="Pro Paper 552"/>
    <s v="Second Class"/>
    <x v="0"/>
    <n v="1"/>
    <n v="4280.1899999999996"/>
    <n v="0.05"/>
    <n v="0.05"/>
    <n v="4066.1804999999995"/>
    <n v="4066.18"/>
    <n v="2628.92"/>
    <n v="1437.26"/>
    <s v="Paid"/>
    <s v="Completed"/>
    <x v="0"/>
    <s v="Valid"/>
    <n v="1437.2599999999998"/>
    <n v="0.3534668468357467"/>
    <x v="5"/>
    <x v="0"/>
    <s v="Clean"/>
  </r>
  <r>
    <s v="ORD-2025-10067"/>
    <s v="08/28/2025"/>
    <d v="2025-08-28T00:00:00"/>
    <s v="01 Sep 2025"/>
    <d v="2025-09-01T00:00:00"/>
    <s v="Valid"/>
    <n v="4"/>
    <s v="Valid"/>
    <s v="CUST-1504"/>
    <s v="Karan Malhotra"/>
    <s v="Karan Malhotra"/>
    <s v="Small Business"/>
    <x v="1"/>
    <s v="South"/>
    <x v="2"/>
    <s v="Tamil Nadu"/>
    <s v="Chennai"/>
    <s v="Technology"/>
    <x v="2"/>
    <x v="5"/>
    <s v="Elite Accessories 187"/>
    <s v="Same Day"/>
    <x v="1"/>
    <n v="7"/>
    <n v="1057.46"/>
    <n v="0.05"/>
    <n v="0.05"/>
    <n v="7032.1089999999995"/>
    <n v="7032.11"/>
    <n v="4610.34"/>
    <n v="2421.77"/>
    <s v="Paid"/>
    <s v="Completed"/>
    <x v="0"/>
    <s v="Valid"/>
    <n v="2421.7699999999995"/>
    <n v="0.34438743768050234"/>
    <x v="1"/>
    <x v="1"/>
    <s v="Clean"/>
  </r>
  <r>
    <s v="ORD-2025-10068"/>
    <s v="03 Feb 2025"/>
    <d v="2025-02-03T00:00:00"/>
    <s v="07-02-2025"/>
    <d v="2025-02-07T00:00:00"/>
    <s v="Valid"/>
    <n v="4"/>
    <s v="Valid"/>
    <s v="CUST-8282"/>
    <s v="Kabir Singh"/>
    <s v="Kabir Singh"/>
    <s v="Consumer"/>
    <x v="0"/>
    <s v="North"/>
    <x v="0"/>
    <s v="Haryana"/>
    <s v="Gurugram"/>
    <s v="Office Supplies"/>
    <x v="0"/>
    <x v="0"/>
    <s v="Eco Paper 922"/>
    <s v="First Class"/>
    <x v="2"/>
    <n v="7"/>
    <n v="3609.34"/>
    <n v="0.05"/>
    <n v="0.05"/>
    <n v="24002.111000000001"/>
    <n v="24002.11"/>
    <n v="18707.57"/>
    <n v="5294.54"/>
    <s v="Paid"/>
    <s v="Completed"/>
    <x v="0"/>
    <s v="Valid"/>
    <n v="5294.5400000000009"/>
    <n v="0.22058643091851382"/>
    <x v="6"/>
    <x v="1"/>
    <s v="Clean"/>
  </r>
  <r>
    <s v="ORD-2024-10069"/>
    <s v="11/10/2024"/>
    <d v="2024-11-10T00:00:00"/>
    <s v="13 Nov 2024"/>
    <d v="2024-11-13T00:00:00"/>
    <s v="Valid"/>
    <n v="3"/>
    <s v="Valid"/>
    <s v="CUST-6054"/>
    <s v="Isha Nair"/>
    <s v="Isha Nair"/>
    <s v="Corporate"/>
    <x v="2"/>
    <s v="East"/>
    <x v="1"/>
    <s v="Jharkhand"/>
    <s v="Ranchi"/>
    <s v="Office Supplies"/>
    <x v="0"/>
    <x v="8"/>
    <s v="Pro Storage 975"/>
    <s v="Second Class"/>
    <x v="0"/>
    <n v="9"/>
    <n v="2211.12"/>
    <n v="0"/>
    <n v="0"/>
    <n v="19900.079999999998"/>
    <n v="19900.080000000002"/>
    <n v="10962.66"/>
    <n v="8937.42"/>
    <s v="Failed"/>
    <s v="Returned"/>
    <x v="2"/>
    <s v="Valid"/>
    <n v="8937.4200000000019"/>
    <n v="0.44911477742803058"/>
    <x v="3"/>
    <x v="0"/>
    <s v="Clean"/>
  </r>
  <r>
    <s v="ORD-2024-10070"/>
    <s v="09 Apr 2024"/>
    <d v="2024-04-09T00:00:00"/>
    <s v="04/14/2024"/>
    <d v="2024-04-14T00:00:00"/>
    <s v="Valid"/>
    <n v="5"/>
    <s v="Valid"/>
    <s v="CUST-5979"/>
    <s v="Neha Gupta"/>
    <s v="Neha Gupta"/>
    <s v="Small Business"/>
    <x v="1"/>
    <s v="West"/>
    <x v="3"/>
    <s v="Gujarat"/>
    <s v="Ahmedabad"/>
    <s v="Technology"/>
    <x v="2"/>
    <x v="12"/>
    <s v="Prime Machines 782"/>
    <s v="Same Day"/>
    <x v="1"/>
    <n v="7"/>
    <n v="3417.09"/>
    <n v="0.1"/>
    <n v="0.1"/>
    <n v="21527.667000000001"/>
    <n v="21527.67"/>
    <n v="18287.580000000002"/>
    <n v="3240.09"/>
    <s v="Refunded"/>
    <s v="Returned"/>
    <x v="2"/>
    <s v="Valid"/>
    <n v="3240.0899999999965"/>
    <n v="0.15050818093758123"/>
    <x v="5"/>
    <x v="0"/>
    <s v="Clean"/>
  </r>
  <r>
    <s v="ORD-2025-10071"/>
    <s v="2025-08-22"/>
    <d v="2025-08-22T00:00:00"/>
    <s v="27 Aug 2025"/>
    <d v="2025-08-27T00:00:00"/>
    <s v="Valid"/>
    <n v="5"/>
    <s v="Valid"/>
    <s v="CUST-5582"/>
    <s v="Karan Malhotra"/>
    <s v="Karan Malhotra"/>
    <s v="Corporate"/>
    <x v="2"/>
    <s v="South"/>
    <x v="2"/>
    <s v="Andhra Pradesh"/>
    <s v="Vijayawada"/>
    <s v="Technology"/>
    <x v="2"/>
    <x v="11"/>
    <s v="Max Phones 661"/>
    <s v="First Class"/>
    <x v="2"/>
    <n v="2"/>
    <n v="905.87"/>
    <n v="0.15"/>
    <n v="0.15"/>
    <n v="1539.979"/>
    <n v="1539.98"/>
    <n v="1070.2"/>
    <n v="469.78"/>
    <s v="Paid"/>
    <s v="Completed"/>
    <x v="0"/>
    <s v="Valid"/>
    <n v="469.78"/>
    <n v="0.30505610790796495"/>
    <x v="1"/>
    <x v="1"/>
    <s v="Clean"/>
  </r>
  <r>
    <s v="ORD-2025-10072"/>
    <s v="04/16/2025"/>
    <d v="2025-04-16T00:00:00"/>
    <s v="2025-04-23"/>
    <d v="2025-04-23T00:00:00"/>
    <s v="Valid"/>
    <n v="7"/>
    <s v="Valid"/>
    <s v="CUST-3308"/>
    <s v="Mira Das"/>
    <s v="Mira Das"/>
    <s v="Small Business"/>
    <x v="1"/>
    <s v="West"/>
    <x v="3"/>
    <s v="Goa"/>
    <s v="Panaji"/>
    <s v="Technology"/>
    <x v="2"/>
    <x v="12"/>
    <s v="Elite Machines 836"/>
    <s v="Standard Class"/>
    <x v="3"/>
    <n v="6"/>
    <n v="2027.32"/>
    <n v="0.1"/>
    <n v="0.1"/>
    <n v="10947.528"/>
    <n v="10947.53"/>
    <n v="6447.36"/>
    <n v="4500.17"/>
    <s v="Paid"/>
    <s v="Completed"/>
    <x v="0"/>
    <s v="Valid"/>
    <n v="4500.170000000001"/>
    <n v="0.41106722905846882"/>
    <x v="5"/>
    <x v="1"/>
    <s v="Clean"/>
  </r>
  <r>
    <s v="ORD-2024-10073"/>
    <s v="2024-02-11"/>
    <d v="2024-02-11T00:00:00"/>
    <s v="07 Feb 2024"/>
    <d v="2024-02-07T00:00:00"/>
    <s v="Invalid Shipping Record"/>
    <n v="-4"/>
    <s v="Invalid Shipping Record"/>
    <s v="CUST-5018"/>
    <s v="Karan Malhotra"/>
    <s v="Karan Malhotra"/>
    <s v="Home Office"/>
    <x v="3"/>
    <s v="South"/>
    <x v="2"/>
    <s v="Tamil Nadu"/>
    <s v="Chennai"/>
    <s v="Furniture"/>
    <x v="1"/>
    <x v="1"/>
    <s v="Prime Tables 902"/>
    <s v="First Class"/>
    <x v="2"/>
    <n v="7"/>
    <n v="2287.4699999999998"/>
    <n v="0.15"/>
    <n v="0.15"/>
    <n v="13610.446499999998"/>
    <n v="13610.45"/>
    <n v="10039.049999999999"/>
    <n v="3571.4"/>
    <s v="Paid"/>
    <s v="Completed"/>
    <x v="0"/>
    <s v="Valid"/>
    <n v="3571.4000000000015"/>
    <n v="0.26240138411329872"/>
    <x v="6"/>
    <x v="0"/>
    <s v="Invalid"/>
  </r>
  <r>
    <s v="ORD-2025-10074"/>
    <s v="29-03-2025"/>
    <d v="2025-03-29T00:00:00"/>
    <s v="04/03/2025"/>
    <d v="2025-04-03T00:00:00"/>
    <s v="Valid"/>
    <n v="5"/>
    <s v="Valid"/>
    <s v="CUST-2342"/>
    <s v="Sneha Kapoor"/>
    <s v="Sneha Kapoor"/>
    <s v="Corporate"/>
    <x v="2"/>
    <s v="East"/>
    <x v="1"/>
    <s v="West Bengal"/>
    <s v="Kolkata"/>
    <s v="Furniture"/>
    <x v="1"/>
    <x v="10"/>
    <s v="Smart Bookcases 167"/>
    <s v="First Class"/>
    <x v="2"/>
    <n v="5"/>
    <n v="1425.74"/>
    <n v="0"/>
    <n v="0"/>
    <n v="7128.7"/>
    <n v="7128.7"/>
    <n v="4382.1499999999996"/>
    <n v="2746.55"/>
    <s v="Paid"/>
    <s v="Completed"/>
    <x v="0"/>
    <s v="Valid"/>
    <n v="2746.55"/>
    <n v="0.38528062620113068"/>
    <x v="11"/>
    <x v="1"/>
    <s v="Clean"/>
  </r>
  <r>
    <s v="ORD-2025-10075"/>
    <s v="02/27/2025"/>
    <d v="2025-02-27T00:00:00"/>
    <s v="2025-03-01"/>
    <d v="2025-03-01T00:00:00"/>
    <s v="Valid"/>
    <n v="2"/>
    <s v="Valid"/>
    <s v="CUST-6201"/>
    <s v="Vikram Iyer"/>
    <s v="Vikram Iyer"/>
    <s v="Small Business"/>
    <x v="1"/>
    <s v="East"/>
    <x v="1"/>
    <s v="West Bengal"/>
    <s v="Kolkata"/>
    <s v="Furniture"/>
    <x v="1"/>
    <x v="4"/>
    <s v="Max Chairs 244"/>
    <s v="Standard Class"/>
    <x v="3"/>
    <n v="6"/>
    <n v="551.64"/>
    <n v="0"/>
    <n v="0"/>
    <n v="3309.84"/>
    <n v="3309.84"/>
    <n v="2671.08"/>
    <n v="638.76"/>
    <s v="Paid"/>
    <s v="Completed"/>
    <x v="0"/>
    <s v="Valid"/>
    <n v="638.76000000000022"/>
    <n v="0.19298818069755644"/>
    <x v="6"/>
    <x v="1"/>
    <s v="Clean"/>
  </r>
  <r>
    <s v="ORD-2025-10076"/>
    <s v="22-08-2025"/>
    <d v="2025-08-22T00:00:00"/>
    <s v="08/27/2025"/>
    <d v="2025-08-27T00:00:00"/>
    <s v="Valid"/>
    <n v="5"/>
    <s v="Valid"/>
    <s v="CUST-5808"/>
    <s v="Priya Menon"/>
    <s v="Priya Menon"/>
    <s v="Small Business"/>
    <x v="1"/>
    <s v="East"/>
    <x v="1"/>
    <s v="Odisha"/>
    <s v="Bhubaneswar"/>
    <s v="Office Supplies"/>
    <x v="0"/>
    <x v="7"/>
    <s v="Eco Labels 653"/>
    <s v="First Class"/>
    <x v="2"/>
    <n v="3"/>
    <n v="3294.82"/>
    <n v="0.2"/>
    <n v="0.2"/>
    <n v="7907.5680000000011"/>
    <n v="7907.57"/>
    <n v="5391.18"/>
    <n v="2516.39"/>
    <s v="Paid"/>
    <s v="Completed"/>
    <x v="0"/>
    <s v="Valid"/>
    <n v="2516.3899999999994"/>
    <n v="0.3182255277475956"/>
    <x v="1"/>
    <x v="1"/>
    <s v="Clean"/>
  </r>
  <r>
    <s v="ORD-2024-10077"/>
    <s v="03 Nov 2024"/>
    <d v="2024-11-03T00:00:00"/>
    <s v="11-11-2024"/>
    <d v="2024-11-11T00:00:00"/>
    <s v="Valid"/>
    <n v="8"/>
    <s v="Valid"/>
    <s v="CUST-2642"/>
    <s v="Ananya Rao"/>
    <s v="Ananya Rao"/>
    <s v="Corporate"/>
    <x v="2"/>
    <s v="East"/>
    <x v="1"/>
    <s v="Jharkhand"/>
    <s v="Ranchi"/>
    <s v="Office Supplies"/>
    <x v="0"/>
    <x v="7"/>
    <s v="Max Labels 617"/>
    <s v="Second Class"/>
    <x v="0"/>
    <n v="3"/>
    <n v="3406.27"/>
    <n v="0"/>
    <n v="0"/>
    <n v="10218.81"/>
    <n v="10218.81"/>
    <n v="7616.97"/>
    <n v="2601.84"/>
    <s v="Paid"/>
    <s v="Completed"/>
    <x v="0"/>
    <s v="Valid"/>
    <n v="2601.8399999999992"/>
    <n v="0.2546128169522674"/>
    <x v="3"/>
    <x v="0"/>
    <s v="Clean"/>
  </r>
  <r>
    <s v="ORD-2025-10078"/>
    <s v="07/08/2025"/>
    <d v="2025-07-08T00:00:00"/>
    <s v="12-07-2025"/>
    <d v="2025-07-12T00:00:00"/>
    <s v="Valid"/>
    <n v="4"/>
    <s v="Valid"/>
    <s v="CUST-4385"/>
    <s v="Rohan Mehta"/>
    <s v="Rohan Mehta"/>
    <s v="Home Office"/>
    <x v="3"/>
    <s v="North"/>
    <x v="0"/>
    <s v="Uttar Pradesh"/>
    <s v="Noida"/>
    <s v="Furniture"/>
    <x v="1"/>
    <x v="3"/>
    <s v="Pro Furnishings 529"/>
    <s v="Standard Class"/>
    <x v="3"/>
    <n v="1"/>
    <n v="2582.1999999999998"/>
    <n v="0.15"/>
    <n v="0.15"/>
    <n v="2194.87"/>
    <n v="2194.87"/>
    <n v="1223.17"/>
    <n v="971.7"/>
    <s v="Refunded"/>
    <s v="Cancelled"/>
    <x v="1"/>
    <s v="Valid"/>
    <n v="971.69999999999982"/>
    <n v="0.44271414707932583"/>
    <x v="0"/>
    <x v="1"/>
    <s v="Clean"/>
  </r>
  <r>
    <s v="ORD-2025-10079"/>
    <s v="07/16/2025"/>
    <d v="2025-07-16T00:00:00"/>
    <s v="21-07-2025"/>
    <d v="2025-07-21T00:00:00"/>
    <s v="Valid"/>
    <n v="5"/>
    <s v="Valid"/>
    <s v="CUST-8043"/>
    <s v="Sneha Kapoor"/>
    <s v="Sneha Kapoor"/>
    <s v="Corporate"/>
    <x v="2"/>
    <s v="East"/>
    <x v="1"/>
    <s v="West Bengal"/>
    <s v="Kolkata"/>
    <s v="Furniture"/>
    <x v="1"/>
    <x v="1"/>
    <s v="Smart Tables 561"/>
    <s v="First Class"/>
    <x v="2"/>
    <n v="5"/>
    <n v="2129.5100000000002"/>
    <n v="0.15"/>
    <n v="0.15"/>
    <n v="9050.4175000000014"/>
    <n v="9050.42"/>
    <n v="6778.85"/>
    <n v="2271.5700000000002"/>
    <s v="Paid"/>
    <s v="Completed"/>
    <x v="0"/>
    <s v="Valid"/>
    <n v="2271.5699999999997"/>
    <n v="0.25099063109519526"/>
    <x v="0"/>
    <x v="1"/>
    <s v="Clean"/>
  </r>
  <r>
    <s v="ORD-2025-10080"/>
    <s v="2025-09-27"/>
    <d v="2025-09-27T00:00:00"/>
    <s v="2025-10-03"/>
    <d v="2025-10-03T00:00:00"/>
    <s v="Valid"/>
    <n v="6"/>
    <s v="Valid"/>
    <s v="CUST-9978"/>
    <s v="Diya Patel"/>
    <s v="Diya Patel"/>
    <s v="Home Office"/>
    <x v="3"/>
    <s v="South"/>
    <x v="2"/>
    <s v="Tamil Nadu"/>
    <s v="Chennai"/>
    <s v="Furniture"/>
    <x v="1"/>
    <x v="4"/>
    <s v="Prime Chairs 838"/>
    <s v="Same Day"/>
    <x v="1"/>
    <n v="9"/>
    <n v="4131.5200000000004"/>
    <n v="0.1"/>
    <n v="0.1"/>
    <n v="33465.312000000005"/>
    <n v="33465.31"/>
    <n v="24781.26"/>
    <n v="8684.0499999999993"/>
    <s v="Paid"/>
    <s v="Completed"/>
    <x v="0"/>
    <s v="Valid"/>
    <n v="8684.0499999999993"/>
    <n v="0.25949406956074389"/>
    <x v="7"/>
    <x v="1"/>
    <s v="Clean"/>
  </r>
  <r>
    <s v="ORD-2024-10081"/>
    <s v="2024-08-10"/>
    <d v="2024-08-10T00:00:00"/>
    <s v="2024-08-14"/>
    <d v="2024-08-14T00:00:00"/>
    <s v="Valid"/>
    <n v="4"/>
    <s v="Valid"/>
    <s v="CUST-2094"/>
    <s v="Aarav Sharma"/>
    <s v="Aarav Sharma"/>
    <s v="Small Business"/>
    <x v="1"/>
    <s v="North"/>
    <x v="0"/>
    <s v="Delhi"/>
    <s v="New Delhi"/>
    <s v="Office Supplies"/>
    <x v="0"/>
    <x v="8"/>
    <s v="Elite Storage 371"/>
    <s v="Second Class"/>
    <x v="0"/>
    <n v="4"/>
    <n v="1182.32"/>
    <n v="0.1"/>
    <n v="0.1"/>
    <n v="4256.3519999999999"/>
    <n v="4256.3500000000004"/>
    <n v="2495.33"/>
    <n v="1761.02"/>
    <s v="Pending"/>
    <s v="Returned"/>
    <x v="2"/>
    <s v="Valid"/>
    <n v="1761.0200000000004"/>
    <n v="0.41373927720263748"/>
    <x v="1"/>
    <x v="0"/>
    <s v="Clean"/>
  </r>
  <r>
    <s v="ORD-2025-10082"/>
    <s v="2025-03-16"/>
    <d v="2025-03-16T00:00:00"/>
    <s v="17-03-2025"/>
    <d v="2025-03-17T00:00:00"/>
    <s v="Valid"/>
    <n v="1"/>
    <s v="Valid"/>
    <s v="CUST-7907"/>
    <s v="Karan Malhotra"/>
    <s v="Karan Malhotra"/>
    <s v="Home Office"/>
    <x v="3"/>
    <s v="West"/>
    <x v="3"/>
    <s v="Goa"/>
    <s v="Panaji"/>
    <s v="Office Supplies"/>
    <x v="0"/>
    <x v="7"/>
    <s v="Eco Labels 662"/>
    <s v="Same Day"/>
    <x v="1"/>
    <n v="3"/>
    <n v="1841.91"/>
    <n v="0"/>
    <n v="0"/>
    <n v="5525.7300000000005"/>
    <n v="5525.73"/>
    <n v="3093.42"/>
    <n v="2432.31"/>
    <s v="Paid"/>
    <s v="Completed"/>
    <x v="0"/>
    <s v="Valid"/>
    <n v="2432.3099999999995"/>
    <n v="0.44017894468242191"/>
    <x v="11"/>
    <x v="1"/>
    <s v="Clean"/>
  </r>
  <r>
    <s v="ORD-2024-10083"/>
    <s v="2024-08-03"/>
    <d v="2024-08-03T00:00:00"/>
    <s v="04-08-2024"/>
    <d v="2024-08-04T00:00:00"/>
    <s v="Valid"/>
    <n v="1"/>
    <s v="Valid"/>
    <s v="CUST-6516"/>
    <s v="Arjun Bose"/>
    <s v="Arjun Bose"/>
    <s v="Consumer"/>
    <x v="0"/>
    <s v="North"/>
    <x v="0"/>
    <s v="Uttar Pradesh"/>
    <s v="Noida"/>
    <s v="Technology"/>
    <x v="2"/>
    <x v="6"/>
    <s v="Smart Copiers 702"/>
    <s v="Second Class"/>
    <x v="0"/>
    <n v="6"/>
    <n v="1001.73"/>
    <n v="0"/>
    <n v="0"/>
    <n v="6010.38"/>
    <n v="6010.38"/>
    <n v="3762.85"/>
    <n v="2247.5300000000002"/>
    <s v="Failed"/>
    <s v="Returned"/>
    <x v="2"/>
    <s v="Valid"/>
    <n v="2247.5300000000002"/>
    <n v="0.37394141468592673"/>
    <x v="1"/>
    <x v="0"/>
    <s v="Clean"/>
  </r>
  <r>
    <s v="ORD-2024-10084"/>
    <s v="26-10-2024"/>
    <d v="2024-10-26T00:00:00"/>
    <s v="29-10-2024"/>
    <d v="2024-10-29T00:00:00"/>
    <s v="Valid"/>
    <n v="3"/>
    <s v="Valid"/>
    <s v="CUST-4989"/>
    <s v="Aditi Sen"/>
    <s v="Aditi Sen"/>
    <s v="Home Office"/>
    <x v="3"/>
    <s v="West"/>
    <x v="3"/>
    <s v="Maharashtra"/>
    <s v="Mumbai"/>
    <s v="Furniture"/>
    <x v="1"/>
    <x v="1"/>
    <s v="Elite Tables 362"/>
    <s v="Second Class"/>
    <x v="0"/>
    <n v="9"/>
    <n v="131.74"/>
    <n v="0.2"/>
    <n v="0.2"/>
    <n v="948.52800000000013"/>
    <n v="948.53"/>
    <n v="674.62"/>
    <n v="273.91000000000003"/>
    <s v="Paid"/>
    <s v="Completed"/>
    <x v="0"/>
    <s v="Valid"/>
    <n v="273.90999999999997"/>
    <n v="0.2887737631361435"/>
    <x v="9"/>
    <x v="0"/>
    <s v="Clean"/>
  </r>
  <r>
    <s v="ORD-2024-10085"/>
    <s v="01 Oct 2024"/>
    <d v="2024-10-01T00:00:00"/>
    <s v="2024-10-03"/>
    <d v="2024-10-03T00:00:00"/>
    <s v="Valid"/>
    <n v="2"/>
    <s v="Valid"/>
    <s v="CUST-3758"/>
    <s v="Rohan Mehta"/>
    <s v="Rohan Mehta"/>
    <s v="Corporate"/>
    <x v="2"/>
    <s v="South"/>
    <x v="2"/>
    <s v="Tamil Nadu"/>
    <s v="Chennai"/>
    <s v="Technology"/>
    <x v="2"/>
    <x v="11"/>
    <s v="Elite Phones 781"/>
    <s v="Second Class"/>
    <x v="0"/>
    <n v="6"/>
    <n v="570.28"/>
    <n v="0.2"/>
    <n v="0.2"/>
    <n v="2737.3440000000001"/>
    <n v="2737.34"/>
    <n v="2085.44"/>
    <n v="651.9"/>
    <s v="Paid"/>
    <s v="Completed"/>
    <x v="0"/>
    <s v="Valid"/>
    <n v="651.90000000000009"/>
    <n v="0.23815055762081788"/>
    <x v="9"/>
    <x v="0"/>
    <s v="Clean"/>
  </r>
  <r>
    <s v="ORD-2024-10086"/>
    <s v="2024-07-30"/>
    <d v="2024-07-30T00:00:00"/>
    <s v="08/05/2024"/>
    <d v="2024-08-05T00:00:00"/>
    <s v="Valid"/>
    <n v="6"/>
    <s v="Valid"/>
    <s v="CUST-6702"/>
    <s v="Kabir Singh"/>
    <s v="Kabir Singh"/>
    <s v="Corporate"/>
    <x v="2"/>
    <s v="North"/>
    <x v="0"/>
    <s v="Delhi"/>
    <s v="New Delhi"/>
    <s v="Office Supplies"/>
    <x v="0"/>
    <x v="9"/>
    <s v="Eco Binders 456"/>
    <s v="Standard Class"/>
    <x v="3"/>
    <n v="1"/>
    <n v="608.64"/>
    <n v="0"/>
    <n v="0"/>
    <n v="608.64"/>
    <n v="608.64"/>
    <n v="343.99"/>
    <n v="264.64999999999998"/>
    <s v="Paid"/>
    <s v="Cancelled"/>
    <x v="1"/>
    <s v="Valid"/>
    <n v="264.64999999999998"/>
    <n v="0.43482189800210302"/>
    <x v="0"/>
    <x v="0"/>
    <s v="Clean"/>
  </r>
  <r>
    <s v="ORD-2024-10087"/>
    <s v="01 Jul 2024"/>
    <d v="2024-07-01T00:00:00"/>
    <s v="01 Jul 2024"/>
    <d v="2024-07-01T00:00:00"/>
    <s v="Valid"/>
    <n v="0"/>
    <s v="Valid"/>
    <s v="CUST-9148"/>
    <s v="Ananya Rao"/>
    <s v="Ananya Rao"/>
    <s v="Small Business"/>
    <x v="1"/>
    <s v="North"/>
    <x v="0"/>
    <s v="Delhi"/>
    <s v="New Delhi"/>
    <s v="Technology"/>
    <x v="2"/>
    <x v="6"/>
    <s v="Basic Copiers 525"/>
    <s v="Second Class"/>
    <x v="0"/>
    <n v="3"/>
    <n v="885.28"/>
    <n v="0.1"/>
    <n v="0.1"/>
    <n v="2390.2560000000003"/>
    <n v="2390.2600000000002"/>
    <n v="1495.94"/>
    <n v="894.32"/>
    <s v="Refunded"/>
    <s v="Cancelled"/>
    <x v="1"/>
    <s v="Valid"/>
    <n v="894.32000000000016"/>
    <n v="0.3741523920450362"/>
    <x v="0"/>
    <x v="0"/>
    <s v="Clean"/>
  </r>
  <r>
    <s v="ORD-2024-10088"/>
    <s v="02-08-2024"/>
    <d v="2024-08-02T00:00:00"/>
    <s v="2024-08-03"/>
    <d v="2024-08-03T00:00:00"/>
    <s v="Valid"/>
    <n v="1"/>
    <s v="Valid"/>
    <s v="CUST-5829"/>
    <s v="Vikram Iyer"/>
    <s v="Vikram Iyer"/>
    <s v="Consumer"/>
    <x v="0"/>
    <s v="East"/>
    <x v="1"/>
    <s v="Assam"/>
    <s v="Guwahati"/>
    <s v="Office Supplies"/>
    <x v="0"/>
    <x v="9"/>
    <s v="Eco Binders 258"/>
    <s v="Standard Class"/>
    <x v="3"/>
    <n v="7"/>
    <n v="3345.22"/>
    <n v="0"/>
    <n v="0"/>
    <n v="23416.539999999997"/>
    <n v="23416.54"/>
    <n v="15490.89"/>
    <n v="7925.65"/>
    <s v="Paid"/>
    <s v="Completed"/>
    <x v="0"/>
    <s v="Valid"/>
    <n v="7925.6500000000015"/>
    <n v="0.33846375254414196"/>
    <x v="1"/>
    <x v="0"/>
    <s v="Clean"/>
  </r>
  <r>
    <s v="ORD-2024-10089"/>
    <s v="03/24/2024"/>
    <d v="2024-03-24T00:00:00"/>
    <s v="27 Mar 2024"/>
    <d v="2024-03-27T00:00:00"/>
    <s v="Valid"/>
    <n v="3"/>
    <s v="Valid"/>
    <s v="CUST-6059"/>
    <s v="Rohan Mehta"/>
    <s v="Rohan Mehta"/>
    <s v="Small Business"/>
    <x v="1"/>
    <s v="West"/>
    <x v="3"/>
    <s v="Maharashtra"/>
    <s v="Mumbai"/>
    <s v="Furniture"/>
    <x v="1"/>
    <x v="10"/>
    <s v="Max Bookcases 398"/>
    <s v="Standard Class"/>
    <x v="3"/>
    <n v="2"/>
    <n v="3284.75"/>
    <n v="0.05"/>
    <n v="0.05"/>
    <n v="6241.0249999999996"/>
    <n v="6241.02"/>
    <n v="5345.88"/>
    <n v="895.14"/>
    <s v="Paid"/>
    <s v="Completed"/>
    <x v="0"/>
    <s v="Valid"/>
    <n v="895.14000000000033"/>
    <n v="0.14342836312945395"/>
    <x v="11"/>
    <x v="0"/>
    <s v="Clean"/>
  </r>
  <r>
    <s v="ORD-2024-10090"/>
    <s v="05 Sep 2024"/>
    <d v="2024-09-05T00:00:00"/>
    <s v="05 Sep 2024"/>
    <d v="2024-09-05T00:00:00"/>
    <s v="Valid"/>
    <n v="0"/>
    <s v="Valid"/>
    <s v="CUST-7744"/>
    <s v="Kabir Singh"/>
    <s v="Kabir Singh"/>
    <s v="Consumer"/>
    <x v="0"/>
    <s v="South"/>
    <x v="2"/>
    <s v="Andhra Pradesh"/>
    <s v="Vijayawada"/>
    <s v="Furniture"/>
    <x v="1"/>
    <x v="10"/>
    <s v="Smart Bookcases 857"/>
    <s v="Standard Class"/>
    <x v="3"/>
    <n v="7"/>
    <n v="3761.09"/>
    <n v="0.2"/>
    <n v="0.2"/>
    <n v="21062.104000000003"/>
    <n v="21062.1"/>
    <n v="12057.13"/>
    <n v="9004.9699999999993"/>
    <s v="Pending"/>
    <s v="Cancelled"/>
    <x v="1"/>
    <s v="Valid"/>
    <n v="9004.9699999999993"/>
    <n v="0.42754370598492902"/>
    <x v="7"/>
    <x v="0"/>
    <s v="Clean"/>
  </r>
  <r>
    <s v="ORD-2025-10091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n v="0.15"/>
    <n v="9445.098"/>
    <n v="9445.1"/>
    <n v="5586.28"/>
    <n v="3858.82"/>
    <s v="Paid"/>
    <s v="Completed"/>
    <x v="0"/>
    <s v="Valid"/>
    <n v="3858.8200000000006"/>
    <n v="0.40855266933175288"/>
    <x v="1"/>
    <x v="1"/>
    <s v="Clean"/>
  </r>
  <r>
    <s v="ORD-2025-10092"/>
    <s v="02-03-2025"/>
    <d v="2025-03-02T00:00:00"/>
    <s v="03/08/2025"/>
    <d v="2025-03-08T00:00:00"/>
    <s v="Valid"/>
    <n v="6"/>
    <s v="Valid"/>
    <s v="CUST-6409"/>
    <s v="Sneha Kapoor"/>
    <s v="Sneha Kapoor"/>
    <s v="Corporate"/>
    <x v="2"/>
    <s v="West"/>
    <x v="3"/>
    <s v="Madhya Pradesh"/>
    <s v="Indore"/>
    <s v="Technology"/>
    <x v="2"/>
    <x v="6"/>
    <s v="Prime Copiers 575"/>
    <s v="Second Class"/>
    <x v="0"/>
    <n v="9"/>
    <n v="269.68"/>
    <n v="0"/>
    <n v="0"/>
    <n v="2427.12"/>
    <n v="2427.12"/>
    <n v="1538.35"/>
    <n v="804.53"/>
    <s v="Paid"/>
    <s v="Completed"/>
    <x v="0"/>
    <s v="Valid"/>
    <n v="888.77"/>
    <n v="0.36618296581957216"/>
    <x v="11"/>
    <x v="1"/>
    <s v="Clean"/>
  </r>
  <r>
    <s v="ORD-2025-10093"/>
    <s v="23 Jan 2025"/>
    <d v="2025-01-23T00:00:00"/>
    <s v="01/26/2025"/>
    <d v="2025-01-26T00:00:00"/>
    <s v="Valid"/>
    <n v="3"/>
    <s v="Valid"/>
    <s v="CUST-3014"/>
    <s v="Aarav Sharma"/>
    <s v="Aarav Sharma"/>
    <s v="Consumer"/>
    <x v="0"/>
    <s v="West"/>
    <x v="3"/>
    <s v="Madhya Pradesh"/>
    <s v="Indore"/>
    <s v="Office Supplies"/>
    <x v="0"/>
    <x v="0"/>
    <s v="Elite Paper 669"/>
    <s v="Standard Class"/>
    <x v="3"/>
    <n v="9"/>
    <n v="4458.26"/>
    <n v="0.1"/>
    <n v="0.1"/>
    <n v="36111.906000000003"/>
    <n v="36111.910000000003"/>
    <n v="29194.5"/>
    <n v="6917.41"/>
    <s v="Paid"/>
    <s v="Completed"/>
    <x v="0"/>
    <s v="Valid"/>
    <n v="6917.4100000000035"/>
    <n v="0.19155482958999737"/>
    <x v="10"/>
    <x v="1"/>
    <s v="Clean"/>
  </r>
  <r>
    <s v="ORD-2024-10094"/>
    <s v="01/07/2024"/>
    <d v="2024-01-07T00:00:00"/>
    <s v="13-01-2024"/>
    <d v="2024-01-13T00:00:00"/>
    <s v="Valid"/>
    <n v="6"/>
    <s v="Valid"/>
    <s v="CUST-6106"/>
    <s v="Rohan Mehta"/>
    <s v="Rohan Mehta"/>
    <s v="Corporate"/>
    <x v="2"/>
    <s v="North"/>
    <x v="0"/>
    <s v="Uttar Pradesh"/>
    <s v="Noida"/>
    <s v="Office Supplies"/>
    <x v="0"/>
    <x v="9"/>
    <s v="Eco Binders 780"/>
    <s v="Standard Class"/>
    <x v="3"/>
    <n v="7"/>
    <n v="2788.97"/>
    <n v="-0.09"/>
    <n v="-0.09"/>
    <n v="21279.841099999998"/>
    <n v="19522.79"/>
    <n v="12455.78"/>
    <n v="7067.01"/>
    <s v="Paid"/>
    <s v="Completed"/>
    <x v="0"/>
    <s v="Invalid - Negative Discount"/>
    <n v="7067.01"/>
    <n v="0.3320988144032711"/>
    <x v="10"/>
    <x v="0"/>
    <s v="Clean"/>
  </r>
  <r>
    <s v="ORD-2024-10095"/>
    <s v="09/06/2024"/>
    <d v="2024-09-06T00:00:00"/>
    <s v="09 Sep 2024"/>
    <d v="2024-09-09T00:00:00"/>
    <s v="Valid"/>
    <n v="3"/>
    <s v="Valid"/>
    <s v="CUST-1926"/>
    <s v="Diya Patel"/>
    <s v="Diya Patel"/>
    <s v="Consumer"/>
    <x v="0"/>
    <s v="North"/>
    <x v="0"/>
    <s v="Haryana"/>
    <s v="Gurugram"/>
    <s v="Technology"/>
    <x v="2"/>
    <x v="11"/>
    <s v="Elite Phones 723"/>
    <s v="Second Class"/>
    <x v="0"/>
    <n v="7"/>
    <n v="3781.53"/>
    <n v="0"/>
    <n v="0"/>
    <n v="26470.710000000003"/>
    <n v="26470.71"/>
    <n v="21367.599999999999"/>
    <n v="5103.1099999999997"/>
    <s v="Pending"/>
    <s v="Cancelled"/>
    <x v="1"/>
    <s v="Valid"/>
    <n v="5103.1100000000006"/>
    <n v="0.1927832687525193"/>
    <x v="7"/>
    <x v="0"/>
    <s v="Clean"/>
  </r>
  <r>
    <s v="ORD-2025-10096"/>
    <s v="05-09-2025"/>
    <d v="2025-09-05T00:00:00"/>
    <s v="09/10/2025"/>
    <d v="2025-09-10T00:00:00"/>
    <s v="Valid"/>
    <n v="5"/>
    <s v="Valid"/>
    <s v="CUST-2687"/>
    <s v="Sneha Kapoor"/>
    <s v="Sneha Kapoor"/>
    <s v="Corporate"/>
    <x v="2"/>
    <s v="West"/>
    <x v="3"/>
    <s v="Goa"/>
    <s v="Panaji"/>
    <s v="Furniture"/>
    <x v="1"/>
    <x v="10"/>
    <s v="Classic Bookcases 988"/>
    <s v="Same Day"/>
    <x v="1"/>
    <n v="6"/>
    <n v="1754.13"/>
    <n v="0"/>
    <n v="0"/>
    <n v="10524.78"/>
    <n v="10524.78"/>
    <n v="8841.0499999999993"/>
    <n v="1683.73"/>
    <s v="Paid"/>
    <s v="Completed"/>
    <x v="0"/>
    <s v="Valid"/>
    <n v="1683.7300000000014"/>
    <n v="0.15997769074507984"/>
    <x v="7"/>
    <x v="1"/>
    <s v="Clean"/>
  </r>
  <r>
    <s v="ORD-2024-10097"/>
    <s v="05 Jun 2024"/>
    <d v="2024-06-05T00:00:00"/>
    <s v="07-06-2024"/>
    <d v="2024-06-07T00:00:00"/>
    <s v="Valid"/>
    <n v="2"/>
    <s v="Valid"/>
    <s v="CUST-7283"/>
    <s v="Rahul Verma"/>
    <s v="Rahul Verma"/>
    <s v="Home Office"/>
    <x v="3"/>
    <s v="East"/>
    <x v="1"/>
    <s v="Odisha"/>
    <s v="Bhubaneswar"/>
    <s v="Technology"/>
    <x v="2"/>
    <x v="6"/>
    <s v="Smart Copiers 547"/>
    <s v="Second Class"/>
    <x v="0"/>
    <n v="2"/>
    <n v="2259.2399999999998"/>
    <n v="0.15"/>
    <n v="0.15"/>
    <n v="3840.7079999999996"/>
    <n v="3840.71"/>
    <n v="2516.29"/>
    <n v="1324.42"/>
    <s v="Paid"/>
    <s v="Completed"/>
    <x v="0"/>
    <s v="Valid"/>
    <n v="1324.42"/>
    <n v="0.34483746225956263"/>
    <x v="2"/>
    <x v="0"/>
    <s v="Clean"/>
  </r>
  <r>
    <s v="ORD-2025-10098"/>
    <s v="08 Aug 2025"/>
    <d v="2025-08-08T00:00:00"/>
    <s v="2025-08-11"/>
    <d v="2025-08-11T00:00:00"/>
    <s v="Valid"/>
    <n v="3"/>
    <s v="Valid"/>
    <s v="CUST-8111"/>
    <s v="Diya Patel"/>
    <s v="Diya Patel"/>
    <s v="Small Business"/>
    <x v="1"/>
    <s v="West"/>
    <x v="3"/>
    <s v="Gujarat"/>
    <s v="Ahmedabad"/>
    <s v="Office Supplies"/>
    <x v="0"/>
    <x v="8"/>
    <s v="Basic Storage 656"/>
    <s v="Same Day"/>
    <x v="1"/>
    <n v="5"/>
    <n v="3602.36"/>
    <n v="0.2"/>
    <n v="0.2"/>
    <n v="14409.44"/>
    <n v="14409.44"/>
    <n v="8809.9699999999993"/>
    <n v="5599.47"/>
    <s v="Pending"/>
    <s v="Returned"/>
    <x v="2"/>
    <s v="Valid"/>
    <n v="5599.4700000000012"/>
    <n v="0.38859733619071951"/>
    <x v="1"/>
    <x v="1"/>
    <s v="Clean"/>
  </r>
  <r>
    <s v="ORD-2024-10099"/>
    <s v="2024-01-26"/>
    <d v="2024-01-26T00:00:00"/>
    <s v="02/01/2024"/>
    <d v="2024-02-01T00:00:00"/>
    <s v="Valid"/>
    <n v="6"/>
    <s v="Valid"/>
    <s v="CUST-5434"/>
    <s v="Rohan Mehta"/>
    <s v="Rohan Mehta"/>
    <s v="Home Office"/>
    <x v="3"/>
    <s v="South"/>
    <x v="2"/>
    <s v="Kerala"/>
    <s v="Kochi"/>
    <s v="Technology"/>
    <x v="2"/>
    <x v="6"/>
    <s v="Elite Copiers 785"/>
    <m/>
    <x v="4"/>
    <n v="8"/>
    <n v="2108.9299999999998"/>
    <n v="0.1"/>
    <n v="0.1"/>
    <n v="15184.295999999998"/>
    <n v="15184.3"/>
    <n v="11270.74"/>
    <n v="3913.56"/>
    <s v="Paid"/>
    <s v="Completed"/>
    <x v="0"/>
    <s v="Valid"/>
    <n v="3913.5599999999995"/>
    <n v="0.25773733599503063"/>
    <x v="10"/>
    <x v="0"/>
    <s v="Clean"/>
  </r>
  <r>
    <s v="ORD-2025-10100"/>
    <s v="11-01-2025"/>
    <d v="2025-01-11T00:00:00"/>
    <s v="11-01-2025"/>
    <d v="2025-01-11T00:00:00"/>
    <s v="Valid"/>
    <n v="0"/>
    <s v="Valid"/>
    <s v="CUST-3865"/>
    <s v="Aditi Sen"/>
    <s v="Aditi Sen"/>
    <s v="Small Business"/>
    <x v="1"/>
    <s v="West"/>
    <x v="3"/>
    <s v="Rajasthan"/>
    <s v="Udaipur"/>
    <s v="Technology"/>
    <x v="2"/>
    <x v="5"/>
    <s v="Smart Accessories 542"/>
    <s v="Same Day"/>
    <x v="1"/>
    <n v="3"/>
    <n v="2165.29"/>
    <n v="0"/>
    <n v="0"/>
    <n v="6495.87"/>
    <n v="6495.87"/>
    <n v="4700.8900000000003"/>
    <n v="1794.98"/>
    <s v="Paid"/>
    <s v="Completed"/>
    <x v="0"/>
    <s v="Valid"/>
    <n v="1794.9799999999996"/>
    <n v="0.27632634273777024"/>
    <x v="10"/>
    <x v="1"/>
    <s v="Clean"/>
  </r>
  <r>
    <s v="ORD-2025-10101"/>
    <s v="12 Sep 2025"/>
    <d v="2025-09-12T00:00:00"/>
    <s v="18 Sep 2025"/>
    <d v="2025-09-18T00:00:00"/>
    <s v="Valid"/>
    <n v="6"/>
    <s v="Valid"/>
    <s v="CUST-6015"/>
    <s v="Aarav Sharma"/>
    <s v="Aarav Sharma"/>
    <s v="Home Office"/>
    <x v="3"/>
    <s v="South"/>
    <x v="2"/>
    <s v="Kerala"/>
    <s v="Kochi"/>
    <s v="Office Supplies"/>
    <x v="0"/>
    <x v="8"/>
    <s v="Eco Storage 936"/>
    <s v="Standard Class"/>
    <x v="3"/>
    <n v="6"/>
    <n v="1673.8"/>
    <n v="0.05"/>
    <n v="0.05"/>
    <n v="9540.659999999998"/>
    <n v="9540.66"/>
    <n v="5561.49"/>
    <n v="3979.17"/>
    <s v="Paid"/>
    <s v="Completed"/>
    <x v="0"/>
    <s v="Valid"/>
    <n v="3979.17"/>
    <n v="0.41707491934520263"/>
    <x v="7"/>
    <x v="1"/>
    <s v="Clean"/>
  </r>
  <r>
    <s v="ORD-2024-10102"/>
    <s v="06/22/2024"/>
    <d v="2024-06-22T00:00:00"/>
    <s v="26-06-2024"/>
    <d v="2024-06-26T00:00:00"/>
    <s v="Valid"/>
    <n v="4"/>
    <s v="Valid"/>
    <s v="CUST-7909"/>
    <s v="Rohan Mehta"/>
    <s v="Rohan Mehta"/>
    <s v="Home Office"/>
    <x v="3"/>
    <s v="East"/>
    <x v="1"/>
    <s v="Bihar"/>
    <s v="Patna"/>
    <s v="Furniture"/>
    <x v="1"/>
    <x v="3"/>
    <s v="Classic Furnishings 682"/>
    <s v="First Class"/>
    <x v="2"/>
    <n v="5"/>
    <n v="4396.5200000000004"/>
    <n v="0.25"/>
    <n v="0.25"/>
    <n v="16486.95"/>
    <n v="16486.95"/>
    <n v="12054.14"/>
    <n v="4432.8100000000004"/>
    <s v="Paid"/>
    <s v="Completed"/>
    <x v="0"/>
    <s v="Valid"/>
    <n v="4432.8100000000013"/>
    <n v="0.26886780150361356"/>
    <x v="2"/>
    <x v="0"/>
    <s v="Clean"/>
  </r>
  <r>
    <s v="ORD-2025-10103"/>
    <s v="12 Jul 2025"/>
    <d v="2025-07-12T00:00:00"/>
    <s v="2025-07-16"/>
    <d v="2025-07-16T00:00:00"/>
    <s v="Valid"/>
    <n v="4"/>
    <s v="Valid"/>
    <s v="CUST-9603"/>
    <s v="Vikram Iyer"/>
    <s v="Vikram Iyer"/>
    <s v="Consumer"/>
    <x v="0"/>
    <s v="South"/>
    <x v="2"/>
    <s v="Karnataka"/>
    <s v="Bengaluru"/>
    <s v="Furniture"/>
    <x v="1"/>
    <x v="4"/>
    <s v="Classic Chairs 604"/>
    <s v="First Class"/>
    <x v="2"/>
    <n v="4"/>
    <n v="2865.71"/>
    <n v="0"/>
    <n v="0"/>
    <n v="11462.84"/>
    <n v="11462.84"/>
    <n v="8979.7800000000007"/>
    <n v="2483.06"/>
    <s v="Refunded"/>
    <s v="Cancelled"/>
    <x v="1"/>
    <s v="Valid"/>
    <n v="2483.0599999999995"/>
    <n v="0.21661822026653077"/>
    <x v="0"/>
    <x v="1"/>
    <s v="Clean"/>
  </r>
  <r>
    <s v="ORD-2025-10104"/>
    <s v="05/02/2025"/>
    <d v="2025-05-02T00:00:00"/>
    <s v="05/10/2025"/>
    <d v="2025-05-10T00:00:00"/>
    <s v="Valid"/>
    <n v="8"/>
    <s v="Valid"/>
    <s v="CUST-6263"/>
    <s v="Kabir Singh"/>
    <s v="Kabir Singh"/>
    <s v="Corporate"/>
    <x v="2"/>
    <s v="West"/>
    <x v="3"/>
    <s v="Maharashtra"/>
    <s v="Mumbai"/>
    <s v="Furniture"/>
    <x v="1"/>
    <x v="1"/>
    <s v="Prime Tables 377"/>
    <s v="First Class"/>
    <x v="2"/>
    <n v="4"/>
    <n v="2440.34"/>
    <n v="0.2"/>
    <n v="0.2"/>
    <n v="7809.0880000000006"/>
    <n v="7809.09"/>
    <n v="6657.75"/>
    <n v="1151.3399999999999"/>
    <s v="Paid"/>
    <s v="Completed"/>
    <x v="0"/>
    <s v="Valid"/>
    <n v="1151.3400000000001"/>
    <n v="0.14743591056983862"/>
    <x v="4"/>
    <x v="1"/>
    <s v="Clean"/>
  </r>
  <r>
    <s v="ORD-2025-10105"/>
    <s v="2025-02-01"/>
    <d v="2025-02-01T00:00:00"/>
    <s v="02/08/2025"/>
    <d v="2025-02-08T00:00:00"/>
    <s v="Valid"/>
    <n v="7"/>
    <s v="Valid"/>
    <s v="CUST-1576"/>
    <s v="Ananya Rao"/>
    <s v="Ananya Rao"/>
    <s v="Consumer"/>
    <x v="0"/>
    <s v="South"/>
    <x v="2"/>
    <s v="Karnataka"/>
    <s v="Bengaluru"/>
    <s v="Office Supplies"/>
    <x v="0"/>
    <x v="7"/>
    <s v="Prime Labels 807"/>
    <s v="Same Day"/>
    <x v="1"/>
    <n v="5"/>
    <n v="2112.54"/>
    <n v="0.25"/>
    <n v="0.25"/>
    <n v="7922.0250000000005"/>
    <n v="8260.4599999999991"/>
    <n v="5619.95"/>
    <n v="2302.08"/>
    <s v="Paid"/>
    <s v="Cancelled"/>
    <x v="1"/>
    <s v="Valid"/>
    <n v="2640.5099999999993"/>
    <n v="0.33331250532534284"/>
    <x v="6"/>
    <x v="1"/>
    <s v="Clean"/>
  </r>
  <r>
    <s v="ORD-2024-10106"/>
    <s v="06/24/2024"/>
    <d v="2024-06-24T00:00:00"/>
    <s v="29-06-2024"/>
    <d v="2024-06-29T00:00:00"/>
    <s v="Valid"/>
    <n v="5"/>
    <s v="Valid"/>
    <s v="CUST-6540"/>
    <s v="Mira Das"/>
    <s v="Mira Das"/>
    <s v="Home Office"/>
    <x v="3"/>
    <s v="East"/>
    <x v="1"/>
    <s v="West Bengal"/>
    <s v="Kolkata"/>
    <s v="Furniture"/>
    <x v="1"/>
    <x v="1"/>
    <s v="Eco Tables 575"/>
    <s v="Second Class"/>
    <x v="0"/>
    <n v="2"/>
    <n v="685"/>
    <n v="0.1"/>
    <n v="0.1"/>
    <n v="1233"/>
    <n v="1233"/>
    <n v="1006.9"/>
    <n v="226.1"/>
    <s v="Paid"/>
    <s v="Completed"/>
    <x v="0"/>
    <s v="Valid"/>
    <n v="226.10000000000002"/>
    <n v="0.18337388483373887"/>
    <x v="2"/>
    <x v="0"/>
    <s v="Clean"/>
  </r>
  <r>
    <s v="ORD-2024-10107"/>
    <s v="20-02-2024"/>
    <d v="2024-02-20T00:00:00"/>
    <s v="28 Feb 2024"/>
    <d v="2024-02-28T00:00:00"/>
    <s v="Valid"/>
    <n v="8"/>
    <s v="Valid"/>
    <s v="CUST-4008"/>
    <s v="Arjun Bose"/>
    <s v="Arjun Bose"/>
    <s v="Home Office"/>
    <x v="3"/>
    <s v="East"/>
    <x v="1"/>
    <s v="West Bengal"/>
    <s v="Kolkata"/>
    <s v="Office Supplies"/>
    <x v="0"/>
    <x v="0"/>
    <s v="Eco Paper 918"/>
    <s v="Standard Class"/>
    <x v="3"/>
    <n v="2"/>
    <n v="4004.04"/>
    <m/>
    <n v="0"/>
    <n v="8008.08"/>
    <n v="7207.27"/>
    <n v="5709.39"/>
    <n v="1497.88"/>
    <s v="Paid"/>
    <s v="Cancelled"/>
    <x v="1"/>
    <s v="Valid"/>
    <n v="1497.88"/>
    <n v="0.18704608345570975"/>
    <x v="6"/>
    <x v="0"/>
    <s v="Clean"/>
  </r>
  <r>
    <s v="ORD-2024-10108"/>
    <s v="29 Oct 2024"/>
    <d v="2024-10-29T00:00:00"/>
    <s v="2024-11-04"/>
    <d v="2024-11-04T00:00:00"/>
    <s v="Valid"/>
    <n v="6"/>
    <s v="Valid"/>
    <s v="CUST-6604"/>
    <s v="Rohan Mehta"/>
    <s v="Rohan Mehta"/>
    <s v="Home Office"/>
    <x v="3"/>
    <s v="East"/>
    <x v="1"/>
    <s v="West Bengal"/>
    <s v="Kolkata"/>
    <s v="Furniture"/>
    <x v="1"/>
    <x v="3"/>
    <s v="Prime Furnishings 952"/>
    <s v="First Class"/>
    <x v="2"/>
    <n v="3"/>
    <n v="4302.8900000000003"/>
    <n v="0.05"/>
    <n v="0.05"/>
    <n v="12263.236500000001"/>
    <n v="12263.24"/>
    <n v="8925.57"/>
    <n v="3337.67"/>
    <s v="Paid"/>
    <s v="Completed"/>
    <x v="0"/>
    <s v="Valid"/>
    <n v="3337.67"/>
    <n v="0.27216877045468379"/>
    <x v="9"/>
    <x v="0"/>
    <s v="Clean"/>
  </r>
  <r>
    <s v="ORD-2024-10109"/>
    <s v="15 Aug 2024"/>
    <d v="2024-08-15T00:00:00"/>
    <s v="08/23/2024"/>
    <d v="2024-08-23T00:00:00"/>
    <s v="Valid"/>
    <n v="8"/>
    <s v="Valid"/>
    <s v="CUST-4337"/>
    <s v="Aditi Sen"/>
    <s v="Aditi Sen"/>
    <s v="Small Business"/>
    <x v="1"/>
    <s v="East"/>
    <x v="1"/>
    <s v="Odisha"/>
    <s v="Bhubaneswar"/>
    <s v="Furniture"/>
    <x v="1"/>
    <x v="10"/>
    <s v="Prime Bookcases 631"/>
    <s v="Same Day"/>
    <x v="1"/>
    <n v="2"/>
    <n v="537.54"/>
    <n v="0.25"/>
    <n v="0.25"/>
    <n v="806.31"/>
    <n v="806.31"/>
    <n v="498.5"/>
    <n v="307.81"/>
    <s v="Paid"/>
    <s v="Completed"/>
    <x v="0"/>
    <s v="Valid"/>
    <n v="307.80999999999995"/>
    <n v="0.38175143555208291"/>
    <x v="1"/>
    <x v="0"/>
    <s v="Clean"/>
  </r>
  <r>
    <s v="ORD-2025-10110"/>
    <s v="23-08-2025"/>
    <d v="2025-08-23T00:00:00"/>
    <s v="08/27/2025"/>
    <d v="2025-08-27T00:00:00"/>
    <s v="Valid"/>
    <n v="4"/>
    <s v="Valid"/>
    <s v="CUST-3740"/>
    <s v="Sneha Kapoor"/>
    <s v="Sneha Kapoor"/>
    <s v="Consumer"/>
    <x v="0"/>
    <s v="North"/>
    <x v="0"/>
    <s v="Delhi"/>
    <s v="New Delhi"/>
    <s v="Office Supplies"/>
    <x v="0"/>
    <x v="9"/>
    <s v="Classic Binders 660"/>
    <s v="Second Class"/>
    <x v="0"/>
    <n v="1"/>
    <n v="2788.62"/>
    <n v="0.25"/>
    <n v="0.25"/>
    <n v="2091.4650000000001"/>
    <n v="2091.4699999999998"/>
    <n v="1317.22"/>
    <n v="774.25"/>
    <s v="Paid"/>
    <s v="Completed"/>
    <x v="0"/>
    <s v="Valid"/>
    <n v="774.24999999999977"/>
    <n v="0.37019505466264063"/>
    <x v="1"/>
    <x v="1"/>
    <s v="Clean"/>
  </r>
  <r>
    <s v="ORD-2024-10111"/>
    <s v="10/18/2024"/>
    <d v="2024-10-18T00:00:00"/>
    <s v="2024-10-24"/>
    <d v="2024-10-24T00:00:00"/>
    <s v="Valid"/>
    <n v="6"/>
    <s v="Valid"/>
    <s v="CUST-7128"/>
    <s v="Vikram Iyer"/>
    <s v="Vikram Iyer"/>
    <s v="Corporate"/>
    <x v="2"/>
    <s v="South"/>
    <x v="2"/>
    <s v="Kerala"/>
    <s v="Kochi"/>
    <s v="Office Supplies"/>
    <x v="0"/>
    <x v="7"/>
    <s v="Pro Labels 255"/>
    <s v="First Class"/>
    <x v="2"/>
    <n v="2"/>
    <n v="2250.4699999999998"/>
    <n v="0"/>
    <n v="0"/>
    <n v="4500.9399999999996"/>
    <n v="4500.9399999999996"/>
    <n v="2607.73"/>
    <n v="1893.21"/>
    <s v="Refunded"/>
    <s v="Cancelled"/>
    <x v="1"/>
    <s v="Valid"/>
    <n v="1893.2099999999996"/>
    <n v="0.42062546934640316"/>
    <x v="9"/>
    <x v="0"/>
    <s v="Clean"/>
  </r>
  <r>
    <s v="ORD-2025-10112"/>
    <s v="06/27/2025"/>
    <d v="2025-06-27T00:00:00"/>
    <s v="2025-06-30"/>
    <d v="2025-06-30T00:00:00"/>
    <s v="Valid"/>
    <n v="3"/>
    <s v="Valid"/>
    <s v="CUST-4743"/>
    <s v="Neha Gupta"/>
    <s v="Neha Gupta"/>
    <s v="Corporate"/>
    <x v="2"/>
    <s v="East"/>
    <x v="1"/>
    <s v="Bihar"/>
    <s v="Patna"/>
    <s v="Technology"/>
    <x v="2"/>
    <x v="5"/>
    <s v="Basic Accessories 187"/>
    <s v="First Class"/>
    <x v="2"/>
    <n v="1"/>
    <n v="1708.44"/>
    <n v="0.05"/>
    <n v="0.05"/>
    <n v="1623.018"/>
    <n v="1623.02"/>
    <n v="1077.46"/>
    <n v="545.55999999999995"/>
    <s v="Pending"/>
    <s v="Cancelled"/>
    <x v="1"/>
    <s v="Valid"/>
    <n v="545.55999999999995"/>
    <n v="0.33613921718674711"/>
    <x v="2"/>
    <x v="1"/>
    <s v="Clean"/>
  </r>
  <r>
    <s v="ORD-2024-10113"/>
    <s v="10 Jan 2024"/>
    <d v="2024-01-10T00:00:00"/>
    <s v="14-01-2024"/>
    <d v="2024-01-14T00:00:00"/>
    <s v="Valid"/>
    <n v="4"/>
    <s v="Valid"/>
    <s v="CUST-5213"/>
    <s v="Sneha Kapoor"/>
    <s v="Sneha Kapoor"/>
    <s v="Consumer"/>
    <x v="0"/>
    <m/>
    <x v="4"/>
    <s v="Gujarat"/>
    <s v="Ahmedabad"/>
    <s v="Technology"/>
    <x v="2"/>
    <x v="5"/>
    <s v="Max Accessories 451"/>
    <s v="Standard Class"/>
    <x v="3"/>
    <n v="3"/>
    <n v="3829.48"/>
    <n v="0.05"/>
    <n v="0.05"/>
    <n v="10914.018"/>
    <n v="10914.02"/>
    <n v="6548.74"/>
    <n v="4365.28"/>
    <s v="Paid"/>
    <s v="Completed"/>
    <x v="0"/>
    <s v="Valid"/>
    <n v="4365.2800000000007"/>
    <n v="0.3999700202070402"/>
    <x v="10"/>
    <x v="0"/>
    <s v="Clean"/>
  </r>
  <r>
    <s v="ORD-2024-10114"/>
    <s v="12-02-2024"/>
    <d v="2024-02-12T00:00:00"/>
    <s v="12-02-2024"/>
    <d v="2024-02-12T00:00:00"/>
    <s v="Valid"/>
    <n v="0"/>
    <s v="Valid"/>
    <s v="CUST-4989"/>
    <s v="Isha Nair"/>
    <s v="Isha Nair"/>
    <s v="Home Office"/>
    <x v="3"/>
    <s v="South"/>
    <x v="2"/>
    <s v="Tamil Nadu"/>
    <s v="Chennai"/>
    <s v="Furniture"/>
    <x v="1"/>
    <x v="1"/>
    <s v="Classic Tables 752"/>
    <s v="Standard Class"/>
    <x v="3"/>
    <n v="3"/>
    <n v="1089.1500000000001"/>
    <n v="0.25"/>
    <n v="0.25"/>
    <n v="2450.5875000000001"/>
    <n v="2450.59"/>
    <n v="1639.89"/>
    <n v="810.7"/>
    <s v="Paid"/>
    <s v="Completed"/>
    <x v="0"/>
    <s v="Valid"/>
    <n v="810.7"/>
    <n v="0.33081863022642533"/>
    <x v="6"/>
    <x v="0"/>
    <s v="Clean"/>
  </r>
  <r>
    <s v="ORD-2024-10115"/>
    <s v="2024-09-25"/>
    <d v="2024-09-25T00:00:00"/>
    <s v="30 Sep 2024"/>
    <d v="2024-09-30T00:00:00"/>
    <s v="Valid"/>
    <n v="5"/>
    <s v="Valid"/>
    <s v="CUST-2927"/>
    <s v="Neha Gupta"/>
    <s v="Neha Gupta"/>
    <s v="Small Business"/>
    <x v="1"/>
    <s v="North"/>
    <x v="0"/>
    <s v="Rajasthan"/>
    <s v="Jaipur"/>
    <s v="Technology"/>
    <x v="2"/>
    <x v="5"/>
    <s v="Eco Accessories 452"/>
    <s v="Second Class"/>
    <x v="0"/>
    <n v="1"/>
    <n v="4388.3999999999996"/>
    <n v="0.1"/>
    <n v="0.1"/>
    <n v="3949.56"/>
    <n v="3949.56"/>
    <n v="3186.73"/>
    <n v="762.83"/>
    <s v="Pending"/>
    <s v="Cancelled"/>
    <x v="1"/>
    <s v="Valid"/>
    <n v="762.82999999999993"/>
    <n v="0.19314303365438173"/>
    <x v="7"/>
    <x v="0"/>
    <s v="Clean"/>
  </r>
  <r>
    <s v="ORD-2024-10116"/>
    <s v="2024-12-27"/>
    <d v="2024-12-27T00:00:00"/>
    <s v="01-01-2025"/>
    <d v="2025-01-01T00:00:00"/>
    <s v="Valid"/>
    <n v="5"/>
    <s v="Valid"/>
    <s v="CUST-7764"/>
    <s v="Kabir Singh"/>
    <s v="Kabir Singh"/>
    <s v="Corporate"/>
    <x v="2"/>
    <s v="South"/>
    <x v="2"/>
    <s v="Tamil Nadu"/>
    <s v="Chennai"/>
    <s v="Office Supplies"/>
    <x v="0"/>
    <x v="9"/>
    <s v="Classic Binders 203"/>
    <s v="Same Day"/>
    <x v="1"/>
    <n v="2"/>
    <n v="446.34"/>
    <n v="0.15"/>
    <n v="0.15"/>
    <n v="758.77799999999991"/>
    <n v="758.78"/>
    <n v="490.74"/>
    <n v="268.04000000000002"/>
    <s v="Paid"/>
    <s v="Cancelled"/>
    <x v="1"/>
    <s v="Valid"/>
    <n v="268.03999999999996"/>
    <n v="0.35325220288411102"/>
    <x v="8"/>
    <x v="0"/>
    <s v="Clean"/>
  </r>
  <r>
    <s v="ORD-2025-10117"/>
    <s v="2025-02-15"/>
    <d v="2025-02-15T00:00:00"/>
    <s v="19 Feb 2025"/>
    <d v="2025-02-19T00:00:00"/>
    <s v="Valid"/>
    <n v="4"/>
    <s v="Valid"/>
    <s v="CUST-3632"/>
    <s v="Ananya Rao"/>
    <s v="Ananya Rao"/>
    <s v="Small Business"/>
    <x v="1"/>
    <m/>
    <x v="4"/>
    <s v="Madhya Pradesh"/>
    <s v="Indore"/>
    <s v="Office Supplies"/>
    <x v="0"/>
    <x v="9"/>
    <s v="Basic Binders 859"/>
    <s v="First Class"/>
    <x v="2"/>
    <n v="9"/>
    <n v="531.99"/>
    <n v="0.25"/>
    <n v="0.25"/>
    <n v="3590.9324999999999"/>
    <n v="3590.93"/>
    <n v="3061.39"/>
    <n v="529.54"/>
    <s v="Failed"/>
    <s v="Cancelled"/>
    <x v="1"/>
    <s v="Valid"/>
    <n v="529.54"/>
    <n v="0.14746587411487128"/>
    <x v="6"/>
    <x v="1"/>
    <s v="Clean"/>
  </r>
  <r>
    <s v="ORD-2024-10118"/>
    <s v="2024-02-15"/>
    <d v="2024-02-15T00:00:00"/>
    <s v="17 Feb 2024"/>
    <d v="2024-02-17T00:00:00"/>
    <s v="Valid"/>
    <n v="2"/>
    <s v="Valid"/>
    <s v="CUST-9608"/>
    <s v="Mira Das"/>
    <s v="Mira Das"/>
    <s v="Home Office"/>
    <x v="3"/>
    <s v="South"/>
    <x v="2"/>
    <s v="Tamil Nadu"/>
    <s v="Chennai"/>
    <s v="Technology"/>
    <x v="2"/>
    <x v="12"/>
    <s v="Elite Machines 705"/>
    <s v="Standard Class"/>
    <x v="3"/>
    <n v="9"/>
    <n v="3324.55"/>
    <s v="70%"/>
    <s v="70%"/>
    <n v="8976.2850000000017"/>
    <n v="25432.81"/>
    <n v="20370.16"/>
    <n v="5062.6499999999996"/>
    <s v="Paid"/>
    <s v="Completed"/>
    <x v="0"/>
    <s v="Invalid - Discount Above Range"/>
    <n v="5062.6500000000015"/>
    <n v="0.56400281408177222"/>
    <x v="6"/>
    <x v="0"/>
    <s v="Clean"/>
  </r>
  <r>
    <s v="ORD-2024-10119"/>
    <s v="06/10/2024"/>
    <d v="2024-06-10T00:00:00"/>
    <s v="2024-06-18"/>
    <d v="2024-06-18T00:00:00"/>
    <s v="Valid"/>
    <n v="8"/>
    <s v="Valid"/>
    <s v="CUST-9135"/>
    <s v="Vikram  Iyer"/>
    <s v="Vikram Iyer"/>
    <s v="Home Office"/>
    <x v="3"/>
    <s v="South"/>
    <x v="2"/>
    <s v="Andhra Pradesh"/>
    <s v="Vijayawada"/>
    <s v="Technology"/>
    <x v="2"/>
    <x v="6"/>
    <s v="Pro Copiers 208"/>
    <s v="Same Day"/>
    <x v="1"/>
    <n v="5"/>
    <n v="1580.27"/>
    <n v="0.2"/>
    <n v="0.2"/>
    <n v="6321.0800000000008"/>
    <n v="6321.08"/>
    <n v="4407.22"/>
    <n v="1913.86"/>
    <s v="Paid"/>
    <s v="Completed"/>
    <x v="0"/>
    <s v="Valid"/>
    <n v="1913.8599999999997"/>
    <n v="0.30277420947053341"/>
    <x v="2"/>
    <x v="0"/>
    <s v="Clean"/>
  </r>
  <r>
    <s v="ORD-2024-10120"/>
    <s v="12 Jun 2024"/>
    <d v="2024-06-12T00:00:00"/>
    <s v="19 Jun 2024"/>
    <d v="2024-06-19T00:00:00"/>
    <s v="Valid"/>
    <n v="7"/>
    <s v="Valid"/>
    <s v="CUST-7861"/>
    <s v="Aditi Sen"/>
    <s v="Aditi Sen"/>
    <s v="Small Business"/>
    <x v="1"/>
    <s v="South"/>
    <x v="2"/>
    <s v="Kerala"/>
    <s v="Kochi"/>
    <s v="Furniture"/>
    <x v="1"/>
    <x v="4"/>
    <s v="Elite Chairs 921"/>
    <s v="Standard Class"/>
    <x v="3"/>
    <n v="8"/>
    <n v="314.05"/>
    <n v="0.25"/>
    <n v="0.25"/>
    <n v="1884.3000000000002"/>
    <n v="1884.3"/>
    <n v="1517.69"/>
    <n v="366.61"/>
    <s v="Refunded"/>
    <s v="Returned"/>
    <x v="2"/>
    <s v="Valid"/>
    <n v="366.6099999999999"/>
    <n v="0.19456031417502515"/>
    <x v="2"/>
    <x v="0"/>
    <s v="Clean"/>
  </r>
  <r>
    <s v="ORD-2024-10121"/>
    <s v="2024-08-10"/>
    <d v="2024-08-10T00:00:00"/>
    <s v="2024-08-18"/>
    <d v="2024-08-18T00:00:00"/>
    <s v="Valid"/>
    <n v="8"/>
    <s v="Valid"/>
    <s v="CUST-6096"/>
    <s v="Sneha Kapoor"/>
    <s v="Sneha Kapoor"/>
    <s v="Small Business"/>
    <x v="1"/>
    <s v="East"/>
    <x v="1"/>
    <s v="Bihar"/>
    <s v="Patna"/>
    <s v="Technology"/>
    <x v="2"/>
    <x v="11"/>
    <s v="Prime Phones 540"/>
    <s v="Standard Class"/>
    <x v="3"/>
    <n v="1"/>
    <n v="1823.67"/>
    <n v="0.2"/>
    <n v="0.2"/>
    <n v="1458.9360000000001"/>
    <n v="1458.94"/>
    <n v="893.2"/>
    <n v="565.74"/>
    <s v="Paid"/>
    <s v="Returned"/>
    <x v="2"/>
    <s v="Valid"/>
    <n v="565.74"/>
    <n v="0.38777574890193944"/>
    <x v="1"/>
    <x v="0"/>
    <s v="Clean"/>
  </r>
  <r>
    <s v="ORD-2025-10122"/>
    <s v="08/22/2025"/>
    <d v="2025-08-22T00:00:00"/>
    <s v="08/26/2025"/>
    <d v="2025-08-26T00:00:00"/>
    <s v="Valid"/>
    <n v="4"/>
    <s v="Valid"/>
    <s v="CUST-2044"/>
    <s v="Kabir Singh"/>
    <s v="Kabir Singh"/>
    <s v="Small  Business"/>
    <x v="1"/>
    <s v="South"/>
    <x v="2"/>
    <s v="Andhra Pradesh"/>
    <s v="Vijayawada"/>
    <s v="Technology"/>
    <x v="2"/>
    <x v="12"/>
    <s v="Max Machines 948"/>
    <s v="Second Class"/>
    <x v="0"/>
    <n v="5"/>
    <n v="3482.92"/>
    <n v="0"/>
    <n v="0"/>
    <n v="17414.599999999999"/>
    <n v="17414.599999999999"/>
    <n v="11760.91"/>
    <n v="5653.69"/>
    <s v="Refunded"/>
    <s v="Cancelled"/>
    <x v="1"/>
    <s v="Valid"/>
    <n v="5653.6899999999987"/>
    <n v="0.3246523032398102"/>
    <x v="1"/>
    <x v="1"/>
    <s v="Clean"/>
  </r>
  <r>
    <s v="ORD-2024-10123"/>
    <s v="11/30/2024"/>
    <d v="2024-11-30T00:00:00"/>
    <s v="04-12-2024"/>
    <d v="2024-12-04T00:00:00"/>
    <s v="Valid"/>
    <n v="4"/>
    <s v="Valid"/>
    <s v="CUST-1721"/>
    <s v="Ananya Rao"/>
    <s v="Ananya Rao"/>
    <s v="Small Business"/>
    <x v="1"/>
    <s v="East"/>
    <x v="1"/>
    <s v="Assam"/>
    <s v="Guwahati"/>
    <s v="Furniture"/>
    <x v="1"/>
    <x v="4"/>
    <s v="Max Chairs 786"/>
    <s v="Second Class"/>
    <x v="0"/>
    <n v="3"/>
    <n v="170.35"/>
    <n v="0"/>
    <n v="0"/>
    <n v="511.04999999999995"/>
    <n v="511.05"/>
    <n v="367.18"/>
    <n v="143.87"/>
    <s v="Paid"/>
    <s v="Completed"/>
    <x v="0"/>
    <s v="Valid"/>
    <n v="143.87"/>
    <n v="0.2815184424224636"/>
    <x v="3"/>
    <x v="0"/>
    <s v="Clean"/>
  </r>
  <r>
    <s v="ORD-2024-10124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n v="0"/>
    <n v="634.13"/>
    <n v="634.13"/>
    <n v="453.35"/>
    <n v="180.78"/>
    <s v="Refunded"/>
    <s v="Cancelled"/>
    <x v="1"/>
    <s v="Valid"/>
    <n v="180.77999999999997"/>
    <n v="0.28508350022865969"/>
    <x v="4"/>
    <x v="0"/>
    <s v="Clean"/>
  </r>
  <r>
    <s v="ORD-2024-10125"/>
    <s v="21 Jul 2024"/>
    <d v="2024-07-21T00:00:00"/>
    <s v="07/24/2024"/>
    <d v="2024-07-24T00:00:00"/>
    <s v="Valid"/>
    <n v="3"/>
    <s v="Valid"/>
    <s v="CUST-4450"/>
    <s v="Isha Nair"/>
    <s v="Isha Nair"/>
    <s v="Corporate"/>
    <x v="2"/>
    <s v="South"/>
    <x v="2"/>
    <s v="Karnataka"/>
    <s v="Bengaluru"/>
    <s v="Technology"/>
    <x v="2"/>
    <x v="6"/>
    <s v="Pro Copiers 769"/>
    <s v="Standard Class"/>
    <x v="3"/>
    <n v="9"/>
    <n v="465.06"/>
    <n v="-0.15"/>
    <n v="-0.15"/>
    <n v="4813.3709999999992"/>
    <n v="4185.54"/>
    <n v="3443.74"/>
    <n v="741.8"/>
    <s v="Paid"/>
    <s v="Completed"/>
    <x v="0"/>
    <s v="Invalid - Negative Discount"/>
    <n v="741.80000000000018"/>
    <n v="0.15411236740321912"/>
    <x v="0"/>
    <x v="0"/>
    <s v="Clean"/>
  </r>
  <r>
    <s v="ORD-2025-10126"/>
    <s v="2025-07-17"/>
    <d v="2025-07-17T00:00:00"/>
    <s v="18-07-2025"/>
    <d v="2025-07-18T00:00:00"/>
    <s v="Valid"/>
    <n v="1"/>
    <s v="Valid"/>
    <s v="CUST-7924"/>
    <s v="Neha Gupta"/>
    <s v="Neha Gupta"/>
    <s v="Small Business"/>
    <x v="1"/>
    <s v="West"/>
    <x v="3"/>
    <s v="Rajasthan"/>
    <s v="Udaipur"/>
    <s v="Furniture"/>
    <x v="1"/>
    <x v="1"/>
    <s v="Basic Tables 753"/>
    <s v="Same Day"/>
    <x v="1"/>
    <n v="6"/>
    <n v="3235.27"/>
    <n v="0.25"/>
    <n v="0.25"/>
    <n v="14558.715"/>
    <n v="14558.72"/>
    <n v="9591.48"/>
    <n v="4967.24"/>
    <s v="Refunded"/>
    <s v="Returned"/>
    <x v="2"/>
    <s v="Valid"/>
    <n v="4967.24"/>
    <n v="0.34118670500796255"/>
    <x v="0"/>
    <x v="1"/>
    <s v="Clean"/>
  </r>
  <r>
    <s v="ORD-2025-10127"/>
    <s v="24-09-2025"/>
    <d v="2025-09-24T00:00:00"/>
    <s v="26 Sep 2025"/>
    <d v="2025-09-26T00:00:00"/>
    <s v="Valid"/>
    <n v="2"/>
    <s v="Valid"/>
    <s v="CUST-1715"/>
    <s v="Priya Menon"/>
    <s v="Priya Menon"/>
    <s v="Corporate"/>
    <x v="2"/>
    <s v="North"/>
    <x v="0"/>
    <s v="Delhi"/>
    <s v="New Delhi"/>
    <s v="Technology"/>
    <x v="2"/>
    <x v="6"/>
    <s v="Prime Copiers 651"/>
    <s v="Standard Class"/>
    <x v="3"/>
    <n v="3"/>
    <n v="1593.86"/>
    <n v="0.1"/>
    <n v="0.1"/>
    <n v="4303.4220000000005"/>
    <n v="4303.42"/>
    <n v="2568.5700000000002"/>
    <n v="1734.85"/>
    <s v="Paid"/>
    <s v="Completed"/>
    <x v="0"/>
    <s v="Valid"/>
    <n v="1734.85"/>
    <n v="0.40313266976838424"/>
    <x v="7"/>
    <x v="1"/>
    <s v="Clean"/>
  </r>
  <r>
    <s v="ORD-2025-10128"/>
    <s v="01/30/2025"/>
    <d v="2025-01-30T00:00:00"/>
    <s v="26-01-2025"/>
    <d v="2025-01-26T00:00:00"/>
    <s v="Invalid Shipping Record"/>
    <n v="-4"/>
    <s v="Invalid Shipping Record"/>
    <s v="CUST-6802"/>
    <s v="Priya Menon"/>
    <s v="Priya Menon"/>
    <s v="Corporate"/>
    <x v="2"/>
    <s v="West"/>
    <x v="3"/>
    <s v="Madhya Pradesh"/>
    <s v="Indore"/>
    <s v="Office Supplies"/>
    <x v="0"/>
    <x v="8"/>
    <s v="Basic Storage 321"/>
    <s v="Second Class"/>
    <x v="0"/>
    <n v="2"/>
    <n v="3039.3"/>
    <n v="0.05"/>
    <n v="0.05"/>
    <n v="5774.67"/>
    <n v="5774.67"/>
    <n v="3518.36"/>
    <n v="2256.31"/>
    <s v="Paid"/>
    <s v="Completed"/>
    <x v="0"/>
    <s v="Valid"/>
    <n v="2256.31"/>
    <n v="0.39072535746631409"/>
    <x v="10"/>
    <x v="1"/>
    <s v="Invalid"/>
  </r>
  <r>
    <s v="ORD-2024-10129"/>
    <s v="13 Dec 2024"/>
    <d v="2024-12-13T00:00:00"/>
    <s v="16 Dec 2024"/>
    <d v="2024-12-16T00:00:00"/>
    <s v="Valid"/>
    <n v="3"/>
    <s v="Valid"/>
    <s v="CUST-9328"/>
    <s v="Neha Gupta"/>
    <s v="Neha Gupta"/>
    <s v="Small Business"/>
    <x v="1"/>
    <s v="East"/>
    <x v="1"/>
    <s v="Odisha"/>
    <s v="Bhubaneswar"/>
    <s v="Furniture"/>
    <x v="1"/>
    <x v="3"/>
    <s v="Prime Furnishings 710"/>
    <s v="Standard Class"/>
    <x v="3"/>
    <n v="5"/>
    <n v="923.45"/>
    <n v="0.05"/>
    <n v="0.05"/>
    <n v="4386.3874999999998"/>
    <n v="4386.3900000000003"/>
    <n v="3366.88"/>
    <n v="1019.51"/>
    <s v="Paid"/>
    <s v="Returned"/>
    <x v="2"/>
    <s v="Valid"/>
    <n v="1019.5100000000002"/>
    <n v="0.2324258857659065"/>
    <x v="8"/>
    <x v="0"/>
    <s v="Clean"/>
  </r>
  <r>
    <s v="ORD-2024-10130"/>
    <s v="2024-07-19"/>
    <d v="2024-07-19T00:00:00"/>
    <s v="25-07-2024"/>
    <d v="2024-07-25T00:00:00"/>
    <s v="Valid"/>
    <n v="6"/>
    <s v="Valid"/>
    <s v="CUST-2588"/>
    <s v="Isha Nair"/>
    <s v="Isha Nair"/>
    <s v="Small Business"/>
    <x v="1"/>
    <s v="West"/>
    <x v="3"/>
    <s v="Goa"/>
    <s v="Panaji"/>
    <s v="Office Supplies"/>
    <x v="0"/>
    <x v="9"/>
    <s v="Elite Binders 723"/>
    <s v="Standard Class"/>
    <x v="3"/>
    <n v="7"/>
    <n v="2741.29"/>
    <n v="0.05"/>
    <n v="0.05"/>
    <n v="18229.5785"/>
    <n v="18229.580000000002"/>
    <n v="15139.15"/>
    <n v="3090.43"/>
    <s v="Paid"/>
    <s v="Completed"/>
    <x v="0"/>
    <s v="Valid"/>
    <n v="3090.4300000000021"/>
    <n v="0.1695283300159684"/>
    <x v="0"/>
    <x v="0"/>
    <s v="Clean"/>
  </r>
  <r>
    <s v="ORD-2024-10131"/>
    <s v="2024-01-27"/>
    <d v="2024-01-27T00:00:00"/>
    <s v="02 Feb 2024"/>
    <d v="2024-02-02T00:00:00"/>
    <s v="Valid"/>
    <n v="6"/>
    <s v="Valid"/>
    <s v="CUST-5435"/>
    <s v="Arjun Bose"/>
    <s v="Arjun Bose"/>
    <s v="Consumer"/>
    <x v="0"/>
    <s v="West"/>
    <x v="3"/>
    <s v="Gujarat"/>
    <s v="Ahmedabad"/>
    <s v="Office Supplies"/>
    <x v="0"/>
    <x v="7"/>
    <s v="Smart Labels 878"/>
    <s v="Same Day"/>
    <x v="1"/>
    <n v="5"/>
    <n v="218.42"/>
    <n v="0.2"/>
    <n v="0.2"/>
    <n v="873.68"/>
    <n v="873.68"/>
    <n v="661.72"/>
    <n v="211.96"/>
    <s v="Pending"/>
    <s v="Cancelled"/>
    <x v="1"/>
    <s v="Valid"/>
    <n v="211.95999999999992"/>
    <n v="0.24260598846259493"/>
    <x v="10"/>
    <x v="0"/>
    <s v="Clean"/>
  </r>
  <r>
    <s v="ORD-2025-10132"/>
    <s v="09/29/2025"/>
    <d v="2025-09-29T00:00:00"/>
    <s v="2025-10-04"/>
    <d v="2025-10-04T00:00:00"/>
    <s v="Valid"/>
    <n v="5"/>
    <s v="Valid"/>
    <s v="CUST-7637"/>
    <s v="Ananya Rao"/>
    <s v="Ananya Rao"/>
    <s v="Home Office"/>
    <x v="3"/>
    <s v="East"/>
    <x v="1"/>
    <s v="Jharkhand"/>
    <s v="Ranchi"/>
    <s v="Office Supplies"/>
    <x v="0"/>
    <x v="0"/>
    <s v="Pro Paper 934"/>
    <s v="Same Day"/>
    <x v="1"/>
    <n v="9"/>
    <n v="373.91"/>
    <n v="0.2"/>
    <n v="0.2"/>
    <n v="2692.152"/>
    <n v="2692.15"/>
    <n v="2044.49"/>
    <n v="647.66"/>
    <s v="Paid"/>
    <s v="Completed"/>
    <x v="0"/>
    <s v="Valid"/>
    <n v="647.66000000000008"/>
    <n v="0.24057334058403837"/>
    <x v="7"/>
    <x v="1"/>
    <s v="Clean"/>
  </r>
  <r>
    <s v="ORD-2024-10133"/>
    <s v="04 Nov 2024"/>
    <d v="2024-11-04T00:00:00"/>
    <s v="04 Nov 2024"/>
    <d v="2024-11-04T00:00:00"/>
    <s v="Valid"/>
    <n v="0"/>
    <s v="Valid"/>
    <s v="CUST-3602"/>
    <s v="Kabir Singh"/>
    <s v="Kabir Singh"/>
    <s v="Corporate"/>
    <x v="2"/>
    <s v="East"/>
    <x v="1"/>
    <s v="Assam"/>
    <s v="Guwahati"/>
    <s v="Technology"/>
    <x v="2"/>
    <x v="12"/>
    <s v="Classic Machines 886"/>
    <s v="First Class"/>
    <x v="2"/>
    <n v="2"/>
    <n v="533.08000000000004"/>
    <n v="0"/>
    <n v="0"/>
    <n v="1066.1600000000001"/>
    <n v="1066.1600000000001"/>
    <n v="656.3"/>
    <n v="409.86"/>
    <s v="Failed"/>
    <s v="Cancelled"/>
    <x v="1"/>
    <s v="Valid"/>
    <n v="409.86000000000013"/>
    <n v="0.38442635251744589"/>
    <x v="3"/>
    <x v="0"/>
    <s v="Clean"/>
  </r>
  <r>
    <s v="ORD-2024-10134"/>
    <s v="2024-12-13"/>
    <d v="2024-12-13T00:00:00"/>
    <s v="12/18/2024"/>
    <d v="2024-12-18T00:00:00"/>
    <s v="Valid"/>
    <n v="5"/>
    <s v="Valid"/>
    <s v="CUST-9441"/>
    <s v="Karan Malhotra"/>
    <s v="Karan Malhotra"/>
    <s v="Consumer"/>
    <x v="0"/>
    <s v="West"/>
    <x v="3"/>
    <s v="Goa"/>
    <s v="Panaji"/>
    <s v="Technology"/>
    <x v="2"/>
    <x v="11"/>
    <s v="Prime Phones 419"/>
    <s v="Second Class"/>
    <x v="0"/>
    <n v="8"/>
    <n v="3372.15"/>
    <n v="0.15"/>
    <n v="0.15"/>
    <n v="22930.62"/>
    <n v="22930.62"/>
    <n v="16875.55"/>
    <n v="6055.07"/>
    <s v="Paid"/>
    <s v="Completed"/>
    <x v="0"/>
    <s v="Valid"/>
    <n v="6055.07"/>
    <n v="0.26406045715292475"/>
    <x v="8"/>
    <x v="0"/>
    <s v="Clean"/>
  </r>
  <r>
    <s v="ORD-2025-10135"/>
    <s v="07/14/2025"/>
    <d v="2025-07-14T00:00:00"/>
    <s v="2025-07-14"/>
    <d v="2025-07-14T00:00:00"/>
    <s v="Valid"/>
    <n v="0"/>
    <s v="Valid"/>
    <s v="CUST-7361"/>
    <s v="Vikram Iyer"/>
    <s v="Vikram Iyer"/>
    <s v="Home Office"/>
    <x v="3"/>
    <s v="East"/>
    <x v="1"/>
    <s v="West Bengal"/>
    <s v="Kolkata"/>
    <s v="Furniture"/>
    <x v="1"/>
    <x v="10"/>
    <s v="Elite Bookcases 266"/>
    <m/>
    <x v="4"/>
    <n v="5"/>
    <n v="383.1"/>
    <n v="0.25"/>
    <n v="0.25"/>
    <n v="1436.625"/>
    <n v="1436.62"/>
    <n v="912.52"/>
    <n v="524.1"/>
    <s v="Pending"/>
    <s v="Cancelled"/>
    <x v="1"/>
    <s v="Valid"/>
    <n v="524.09999999999991"/>
    <n v="0.36481336465674752"/>
    <x v="0"/>
    <x v="1"/>
    <s v="Clean"/>
  </r>
  <r>
    <s v="ORD-2025-10136"/>
    <s v="2025-08-24"/>
    <d v="2025-08-24T00:00:00"/>
    <s v="2025-08-24"/>
    <d v="2025-08-24T00:00:00"/>
    <s v="Valid"/>
    <n v="0"/>
    <s v="Valid"/>
    <s v="CUST-1148"/>
    <s v="Diya Patel"/>
    <s v="Diya Patel"/>
    <s v="Small Business"/>
    <x v="1"/>
    <s v="South"/>
    <x v="2"/>
    <s v="Kerala"/>
    <s v="Kochi"/>
    <s v="Furniture"/>
    <x v="1"/>
    <x v="10"/>
    <s v="Prime Bookcases 954"/>
    <s v="Standard Class"/>
    <x v="3"/>
    <n v="1"/>
    <n v="3424.78"/>
    <n v="0"/>
    <n v="0"/>
    <n v="3424.78"/>
    <n v="3424.78"/>
    <n v="1951.45"/>
    <n v="1473.33"/>
    <s v="Paid"/>
    <s v="Completed"/>
    <x v="0"/>
    <s v="Valid"/>
    <n v="1473.3300000000002"/>
    <n v="0.43019697615613267"/>
    <x v="1"/>
    <x v="1"/>
    <s v="Clean"/>
  </r>
  <r>
    <s v="ORD-2025-10137"/>
    <s v="09-02-2025"/>
    <d v="2025-02-09T00:00:00"/>
    <s v="15-02-2025"/>
    <d v="2025-02-15T00:00:00"/>
    <s v="Valid"/>
    <n v="6"/>
    <s v="Valid"/>
    <s v="CUST-3350"/>
    <s v="Mira Das"/>
    <s v="Mira Das"/>
    <s v="Home Office"/>
    <x v="3"/>
    <s v="East"/>
    <x v="1"/>
    <s v="Jharkhand"/>
    <s v="Ranchi"/>
    <s v="Office Supplies"/>
    <x v="0"/>
    <x v="9"/>
    <s v="Max Binders 362"/>
    <s v="Standard  Class"/>
    <x v="3"/>
    <n v="9"/>
    <n v="4330.33"/>
    <n v="0.2"/>
    <n v="0.2"/>
    <n v="31178.376000000004"/>
    <n v="31178.38"/>
    <n v="21421.09"/>
    <n v="9757.2900000000009"/>
    <s v="Paid"/>
    <s v="Completed"/>
    <x v="0"/>
    <s v="Valid"/>
    <n v="9757.2900000000009"/>
    <n v="0.31295055265226129"/>
    <x v="6"/>
    <x v="1"/>
    <s v="Clean"/>
  </r>
  <r>
    <s v="ORD-2025-10138"/>
    <s v="01/09/2025"/>
    <d v="2025-01-09T00:00:00"/>
    <s v="2025-01-09"/>
    <d v="2025-01-09T00:00:00"/>
    <s v="Valid"/>
    <n v="0"/>
    <s v="Valid"/>
    <s v="CUST-7932"/>
    <s v="Sneha Kapoor"/>
    <s v="Sneha Kapoor"/>
    <s v="Small Business"/>
    <x v="1"/>
    <s v="North"/>
    <x v="0"/>
    <s v="Rajasthan"/>
    <s v="Jaipur"/>
    <s v="Furniture"/>
    <x v="1"/>
    <x v="4"/>
    <s v="Prime Chairs 261"/>
    <s v="Same Day"/>
    <x v="1"/>
    <n v="8"/>
    <n v="2667.07"/>
    <n v="0.1"/>
    <n v="0.1"/>
    <n v="19202.904000000002"/>
    <n v="19202.900000000001"/>
    <n v="15526.62"/>
    <n v="3676.28"/>
    <s v="Paid"/>
    <s v="Completed"/>
    <x v="0"/>
    <s v="Valid"/>
    <n v="3676.2800000000007"/>
    <n v="0.19144396076760059"/>
    <x v="10"/>
    <x v="1"/>
    <s v="Clean"/>
  </r>
  <r>
    <s v="ORD-2024-10139"/>
    <s v="2024-01-20"/>
    <d v="2024-01-20T00:00:00"/>
    <s v="26-01-2024"/>
    <d v="2024-01-26T00:00:00"/>
    <s v="Valid"/>
    <n v="6"/>
    <s v="Valid"/>
    <s v="CUST-7173"/>
    <s v="Diya Patel"/>
    <s v="Diya Patel"/>
    <s v="Home Office"/>
    <x v="3"/>
    <s v="East"/>
    <x v="1"/>
    <s v="Jharkhand"/>
    <s v="Ranchi"/>
    <s v="Technology"/>
    <x v="2"/>
    <x v="12"/>
    <s v="Basic Machines 185"/>
    <s v="Standard Class"/>
    <x v="3"/>
    <n v="8"/>
    <n v="4003.05"/>
    <n v="0.25"/>
    <n v="0.25"/>
    <n v="24018.300000000003"/>
    <n v="24018.3"/>
    <n v="14070.78"/>
    <n v="9947.52"/>
    <s v="Paid"/>
    <s v="Completed"/>
    <x v="0"/>
    <s v="Valid"/>
    <n v="9947.5199999999986"/>
    <n v="0.41416419979765418"/>
    <x v="10"/>
    <x v="0"/>
    <s v="Clean"/>
  </r>
  <r>
    <s v="ORD-2025-10140"/>
    <s v="03/02/2025"/>
    <d v="2025-03-02T00:00:00"/>
    <s v="07-03-2025"/>
    <d v="2025-03-07T00:00:00"/>
    <s v="Valid"/>
    <n v="5"/>
    <s v="Valid"/>
    <s v="CUST-4225"/>
    <s v="Neha Gupta"/>
    <s v="Neha Gupta"/>
    <s v="Home Office"/>
    <x v="3"/>
    <s v="South"/>
    <x v="2"/>
    <s v="Karnataka"/>
    <s v="Bengaluru"/>
    <s v="Office Supplies"/>
    <x v="0"/>
    <x v="7"/>
    <s v="Basic Labels 509"/>
    <s v="Standard Class"/>
    <x v="3"/>
    <n v="8"/>
    <n v="1287.6300000000001"/>
    <n v="0"/>
    <n v="0"/>
    <n v="10301.040000000001"/>
    <n v="10301.040000000001"/>
    <n v="6564.06"/>
    <n v="3736.98"/>
    <s v="Paid"/>
    <s v="Completed"/>
    <x v="0"/>
    <s v="Valid"/>
    <n v="3736.9800000000005"/>
    <n v="0.3627769623261341"/>
    <x v="11"/>
    <x v="1"/>
    <s v="Clean"/>
  </r>
  <r>
    <s v="ORD-2024-10141"/>
    <s v="31-05-2024"/>
    <d v="2024-05-31T00:00:00"/>
    <s v="01 Jun 2024"/>
    <d v="2024-06-01T00:00:00"/>
    <s v="Valid"/>
    <n v="1"/>
    <s v="Valid"/>
    <s v="CUST-2149"/>
    <s v="Mira Das"/>
    <s v="Mira Das"/>
    <s v="Corporate"/>
    <x v="2"/>
    <s v="South"/>
    <x v="2"/>
    <s v="Karnataka"/>
    <s v="Bengaluru"/>
    <s v="Furniture"/>
    <x v="1"/>
    <x v="10"/>
    <s v="Elite Bookcases 696"/>
    <s v="Same Day"/>
    <x v="1"/>
    <n v="3"/>
    <n v="2914.55"/>
    <n v="0"/>
    <n v="0"/>
    <n v="8743.6500000000015"/>
    <n v="8743.65"/>
    <n v="6603.76"/>
    <n v="2139.89"/>
    <s v="Paid"/>
    <s v="Completed"/>
    <x v="0"/>
    <s v="Valid"/>
    <n v="2139.8899999999994"/>
    <n v="0.24473646589239037"/>
    <x v="4"/>
    <x v="0"/>
    <s v="Clean"/>
  </r>
  <r>
    <s v="ORD-2024-10142"/>
    <s v="03/23/2024"/>
    <d v="2024-03-23T00:00:00"/>
    <s v="2024-03-29"/>
    <d v="2024-03-29T00:00:00"/>
    <s v="Valid"/>
    <n v="6"/>
    <s v="Valid"/>
    <s v="CUST-3314"/>
    <s v="Priya Menon"/>
    <s v="Priya Menon"/>
    <s v="Corporate"/>
    <x v="2"/>
    <s v="North"/>
    <x v="0"/>
    <s v="Delhi"/>
    <s v="New Delhi"/>
    <s v="Furniture"/>
    <x v="1"/>
    <x v="10"/>
    <s v="Elite Bookcases 772"/>
    <s v="Same Day"/>
    <x v="1"/>
    <n v="7"/>
    <n v="634.29"/>
    <n v="0.1"/>
    <n v="0.1"/>
    <n v="3996.027"/>
    <n v="3996.03"/>
    <n v="2859.51"/>
    <n v="1136.52"/>
    <s v="Paid"/>
    <s v="Returned"/>
    <x v="2"/>
    <s v="Valid"/>
    <n v="1136.52"/>
    <n v="0.28441249270838259"/>
    <x v="11"/>
    <x v="0"/>
    <s v="Clean"/>
  </r>
  <r>
    <s v="ORD-2024-10143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x v="3"/>
    <s v="North"/>
    <x v="0"/>
    <s v="Rajasthan"/>
    <s v="Jaipur"/>
    <s v="Technology"/>
    <x v="2"/>
    <x v="11"/>
    <s v="Classic Phones 142"/>
    <s v="Second Class"/>
    <x v="0"/>
    <n v="5"/>
    <n v="907.54"/>
    <n v="0.15"/>
    <n v="0.15"/>
    <n v="3857.0449999999996"/>
    <n v="3857.04"/>
    <n v="2769.26"/>
    <n v="1087.78"/>
    <s v="Paid"/>
    <s v="Completed"/>
    <x v="0"/>
    <s v="Valid"/>
    <n v="1087.7799999999997"/>
    <n v="0.28202419209524388"/>
    <x v="11"/>
    <x v="0"/>
    <s v="Invalid"/>
  </r>
  <r>
    <s v="ORD-2024-10144"/>
    <s v="03/24/2024"/>
    <d v="2024-03-24T00:00:00"/>
    <s v="2024-03-26"/>
    <d v="2024-03-26T00:00:00"/>
    <s v="Valid"/>
    <n v="2"/>
    <s v="Valid"/>
    <s v="CUST-3144"/>
    <s v="Priya Menon"/>
    <s v="Priya Menon"/>
    <s v="Consumer"/>
    <x v="0"/>
    <s v="West"/>
    <x v="3"/>
    <s v="Gujarat"/>
    <s v="Ahmedabad"/>
    <s v="Office Supplies"/>
    <x v="0"/>
    <x v="0"/>
    <s v="Pro Paper 575"/>
    <s v="Second Class"/>
    <x v="0"/>
    <n v="1"/>
    <n v="3409.5"/>
    <n v="0.1"/>
    <n v="0.1"/>
    <n v="3068.55"/>
    <n v="3068.55"/>
    <n v="1916.16"/>
    <n v="1152.3900000000001"/>
    <s v="Paid"/>
    <s v="Returned"/>
    <x v="2"/>
    <s v="Valid"/>
    <n v="1152.3900000000001"/>
    <n v="0.3755487119323459"/>
    <x v="11"/>
    <x v="0"/>
    <s v="Clean"/>
  </r>
  <r>
    <s v="ORD-2024-10145"/>
    <s v="07-06-2024"/>
    <d v="2024-06-07T00:00:00"/>
    <s v="2024-06-15"/>
    <d v="2024-06-15T00:00:00"/>
    <s v="Valid"/>
    <n v="8"/>
    <s v="Valid"/>
    <s v="CUST-6747"/>
    <s v="Kabir Singh"/>
    <s v="Kabir Singh"/>
    <s v="Small Business"/>
    <x v="1"/>
    <s v="South"/>
    <x v="2"/>
    <s v="Telangana"/>
    <s v="Hyderabad"/>
    <s v="Technology"/>
    <x v="2"/>
    <x v="5"/>
    <s v="Elite Accessories 905"/>
    <s v="First Class"/>
    <x v="2"/>
    <n v="7"/>
    <n v="2147.9899999999998"/>
    <n v="0.25"/>
    <n v="0.25"/>
    <n v="11276.947499999998"/>
    <n v="11276.95"/>
    <n v="6908.76"/>
    <n v="4368.1899999999996"/>
    <s v="Refunded"/>
    <s v="Returned"/>
    <x v="2"/>
    <s v="Valid"/>
    <n v="4368.1900000000005"/>
    <n v="0.38735570951270287"/>
    <x v="2"/>
    <x v="0"/>
    <s v="Clean"/>
  </r>
  <r>
    <s v="ORD-2025-10146"/>
    <s v="11-04-2025"/>
    <d v="2025-04-11T00:00:00"/>
    <s v="04/13/2025"/>
    <d v="2025-04-13T00:00:00"/>
    <s v="Valid"/>
    <n v="2"/>
    <s v="Valid"/>
    <s v="CUST-6161"/>
    <s v="Mira Das"/>
    <s v="Mira Das"/>
    <s v="Small Business"/>
    <x v="1"/>
    <s v="West"/>
    <x v="3"/>
    <s v="Goa"/>
    <s v="Panaji"/>
    <s v="Office Supplies"/>
    <x v="0"/>
    <x v="0"/>
    <s v="Smart Paper 899"/>
    <s v="Standard Class"/>
    <x v="3"/>
    <n v="4"/>
    <n v="4182.1499999999996"/>
    <n v="0.1"/>
    <n v="0.1"/>
    <n v="15055.74"/>
    <n v="15055.74"/>
    <n v="9808.83"/>
    <n v="5246.91"/>
    <s v="Paid"/>
    <s v="Completed"/>
    <x v="0"/>
    <s v="Valid"/>
    <n v="5246.91"/>
    <n v="0.34849897779850075"/>
    <x v="5"/>
    <x v="1"/>
    <s v="Clean"/>
  </r>
  <r>
    <s v="ORD-2025-10147"/>
    <s v="30 Jul 2025"/>
    <d v="2025-07-30T00:00:00"/>
    <s v="08/01/2025"/>
    <d v="2025-08-01T00:00:00"/>
    <s v="Valid"/>
    <n v="2"/>
    <s v="Valid"/>
    <s v="CUST-1460"/>
    <s v="Sneha Kapoor"/>
    <s v="Sneha Kapoor"/>
    <s v="Small Business"/>
    <x v="1"/>
    <s v="South"/>
    <x v="2"/>
    <s v="Tamil Nadu"/>
    <s v="Chennai"/>
    <s v="Office Supplies"/>
    <x v="0"/>
    <x v="8"/>
    <s v="Classic Storage 423"/>
    <s v="Same Day"/>
    <x v="1"/>
    <n v="9"/>
    <n v="3165.43"/>
    <n v="0.1"/>
    <n v="0.1"/>
    <n v="25639.983"/>
    <n v="25639.98"/>
    <n v="21635.08"/>
    <n v="4004.9"/>
    <s v="Paid"/>
    <s v="Completed"/>
    <x v="0"/>
    <s v="Valid"/>
    <n v="4004.8999999999978"/>
    <n v="0.15619745145696851"/>
    <x v="0"/>
    <x v="1"/>
    <s v="Clean"/>
  </r>
  <r>
    <s v="ORD-2024-10148"/>
    <s v="23-12-2024"/>
    <d v="2024-12-23T00:00:00"/>
    <s v="2024-12-30"/>
    <d v="2024-12-30T00:00:00"/>
    <s v="Valid"/>
    <n v="7"/>
    <s v="Valid"/>
    <s v="CUST-2692"/>
    <s v="Priya Menon"/>
    <s v="Priya Menon"/>
    <s v="Home Office"/>
    <x v="3"/>
    <s v="West"/>
    <x v="3"/>
    <s v="Goa"/>
    <s v="Panaji"/>
    <s v="Furniture"/>
    <x v="1"/>
    <x v="3"/>
    <s v="Classic Furnishings 743"/>
    <s v="First Class"/>
    <x v="2"/>
    <n v="8"/>
    <n v="386.1"/>
    <n v="0.1"/>
    <n v="0.1"/>
    <n v="2779.92"/>
    <n v="2779.92"/>
    <n v="1744.05"/>
    <n v="1035.8699999999999"/>
    <s v="Paid"/>
    <s v="Completed"/>
    <x v="0"/>
    <s v="Valid"/>
    <n v="1035.8700000000001"/>
    <n v="0.37262583095916435"/>
    <x v="8"/>
    <x v="0"/>
    <s v="Clean"/>
  </r>
  <r>
    <s v="ORD-2025-10149"/>
    <s v="09 Feb 2025"/>
    <d v="2025-02-09T00:00:00"/>
    <s v="13-02-2025"/>
    <d v="2025-02-13T00:00:00"/>
    <s v="Valid"/>
    <n v="4"/>
    <s v="Valid"/>
    <s v="CUST-2822"/>
    <s v="Mira Das"/>
    <s v="Mira Das"/>
    <s v="Home Office"/>
    <x v="3"/>
    <s v="West"/>
    <x v="3"/>
    <s v="Madhya Pradesh"/>
    <s v="Indore"/>
    <s v="Technology"/>
    <x v="2"/>
    <x v="11"/>
    <s v="Smart Phones 336"/>
    <m/>
    <x v="4"/>
    <n v="8"/>
    <n v="1696.07"/>
    <n v="0.25"/>
    <n v="0.25"/>
    <n v="10176.42"/>
    <n v="10176.42"/>
    <n v="7604.47"/>
    <n v="2571.9499999999998"/>
    <s v="Paid"/>
    <s v="Completed"/>
    <x v="0"/>
    <s v="Valid"/>
    <n v="2571.9499999999998"/>
    <n v="0.252736227474888"/>
    <x v="6"/>
    <x v="1"/>
    <s v="Clean"/>
  </r>
  <r>
    <s v="ORD-2024-10150"/>
    <s v="30-01-2024"/>
    <d v="2024-01-30T00:00:00"/>
    <s v="30-01-2024"/>
    <d v="2024-01-30T00:00:00"/>
    <s v="Valid"/>
    <n v="0"/>
    <s v="Valid"/>
    <s v="CUST-5876"/>
    <s v="Aarav Sharma"/>
    <s v="Aarav Sharma"/>
    <s v="Small Business"/>
    <x v="1"/>
    <s v="West"/>
    <x v="3"/>
    <s v="Rajasthan"/>
    <s v="Udaipur"/>
    <s v="Technology"/>
    <x v="2"/>
    <x v="6"/>
    <s v="Eco Copiers 381"/>
    <s v="Same Day"/>
    <x v="1"/>
    <n v="7"/>
    <n v="2527.61"/>
    <n v="0.25"/>
    <n v="0.25"/>
    <n v="13269.952499999999"/>
    <n v="13269.95"/>
    <n v="8977.1"/>
    <n v="4292.8500000000004"/>
    <s v="Paid"/>
    <s v="Completed"/>
    <x v="0"/>
    <s v="Valid"/>
    <n v="4292.8500000000004"/>
    <n v="0.32350153476434829"/>
    <x v="10"/>
    <x v="0"/>
    <s v="Clean"/>
  </r>
  <r>
    <s v="ORD-2024-10151"/>
    <s v="04-03-2024"/>
    <d v="2024-03-04T00:00:00"/>
    <s v="2024-03-12"/>
    <d v="2024-03-12T00:00:00"/>
    <s v="Valid"/>
    <n v="8"/>
    <s v="Valid"/>
    <s v="CUST-4661"/>
    <s v="Arjun Bose"/>
    <s v="Arjun Bose"/>
    <s v="Consumer"/>
    <x v="0"/>
    <m/>
    <x v="4"/>
    <s v="Gujarat"/>
    <s v="Ahmedabad"/>
    <s v="Furniture"/>
    <x v="1"/>
    <x v="10"/>
    <s v="Max Bookcases 595"/>
    <s v="First Class"/>
    <x v="2"/>
    <n v="1"/>
    <n v="1554.12"/>
    <n v="0.1"/>
    <n v="0.1"/>
    <n v="1398.7079999999999"/>
    <n v="1398.71"/>
    <n v="1056.92"/>
    <n v="341.79"/>
    <s v="Paid"/>
    <s v="Completed"/>
    <x v="0"/>
    <s v="Valid"/>
    <n v="341.78999999999996"/>
    <n v="0.24436122478744671"/>
    <x v="11"/>
    <x v="0"/>
    <s v="Clean"/>
  </r>
  <r>
    <s v="ORD-2024-10152"/>
    <s v="27 Jun 2024"/>
    <d v="2024-06-27T00:00:00"/>
    <s v="06/27/2024"/>
    <d v="2024-06-27T00:00:00"/>
    <s v="Valid"/>
    <n v="0"/>
    <s v="Valid"/>
    <s v="CUST-6011"/>
    <s v="Neha Gupta"/>
    <s v="Neha Gupta"/>
    <s v="Home Office"/>
    <x v="3"/>
    <m/>
    <x v="4"/>
    <s v="Madhya Pradesh"/>
    <s v="Indore"/>
    <s v="Technology"/>
    <x v="2"/>
    <x v="6"/>
    <s v="Max Copiers 992"/>
    <s v="Standard Class"/>
    <x v="3"/>
    <n v="2"/>
    <n v="3859.11"/>
    <n v="0"/>
    <n v="0"/>
    <n v="7718.22"/>
    <n v="7718.22"/>
    <n v="5355.93"/>
    <n v="2362.29"/>
    <s v="Pending"/>
    <s v="Returned"/>
    <x v="2"/>
    <s v="Valid"/>
    <n v="2362.29"/>
    <n v="0.30606668376905555"/>
    <x v="2"/>
    <x v="0"/>
    <s v="Clean"/>
  </r>
  <r>
    <s v="ORD-2024-10153"/>
    <s v="14 Jun 2024"/>
    <d v="2024-06-14T00:00:00"/>
    <s v="06/17/2024"/>
    <d v="2024-06-17T00:00:00"/>
    <s v="Valid"/>
    <n v="3"/>
    <s v="Valid"/>
    <s v="CUST-6160"/>
    <s v="Kabir Singh"/>
    <s v="Kabir Singh"/>
    <s v="Small Business"/>
    <x v="1"/>
    <s v="South"/>
    <x v="2"/>
    <s v="Kerala"/>
    <s v="Kochi"/>
    <s v="Furniture"/>
    <x v="1"/>
    <x v="1"/>
    <s v="Pro Tables 407"/>
    <s v="Second Class"/>
    <x v="0"/>
    <n v="6"/>
    <n v="1088.04"/>
    <n v="0.1"/>
    <n v="0.1"/>
    <n v="5875.4160000000002"/>
    <n v="5875.42"/>
    <n v="4380.55"/>
    <n v="1494.87"/>
    <s v="Pending"/>
    <s v="Returned"/>
    <x v="2"/>
    <s v="Valid"/>
    <n v="1494.87"/>
    <n v="0.25442794178318606"/>
    <x v="2"/>
    <x v="0"/>
    <s v="Clean"/>
  </r>
  <r>
    <s v="ORD-2025-10154"/>
    <s v="23 Sep 2025"/>
    <d v="2025-09-23T00:00:00"/>
    <s v="2025-09-25"/>
    <d v="2025-09-25T00:00:00"/>
    <s v="Valid"/>
    <n v="2"/>
    <s v="Valid"/>
    <s v="CUST-6971"/>
    <s v="Aditi Sen"/>
    <s v="Aditi Sen"/>
    <s v="Consumer"/>
    <x v="0"/>
    <s v="East"/>
    <x v="1"/>
    <s v="Odisha"/>
    <s v="Bhubaneswar"/>
    <s v="Office Supplies"/>
    <x v="0"/>
    <x v="7"/>
    <s v="Prime Labels 559"/>
    <s v="Standard Class"/>
    <x v="3"/>
    <n v="7"/>
    <n v="3280.31"/>
    <n v="0"/>
    <n v="0"/>
    <n v="22962.17"/>
    <n v="22962.17"/>
    <n v="15716.5"/>
    <n v="7245.67"/>
    <s v="Refunded"/>
    <s v="Returned"/>
    <x v="2"/>
    <s v="Valid"/>
    <n v="7245.6699999999983"/>
    <n v="0.31554813852523517"/>
    <x v="7"/>
    <x v="1"/>
    <s v="Clean"/>
  </r>
  <r>
    <s v="ORD-2024-10155"/>
    <s v="12 Feb 2024"/>
    <d v="2024-02-12T00:00:00"/>
    <s v="02/11/2024"/>
    <d v="2024-02-11T00:00:00"/>
    <s v="Invalid Shipping Record"/>
    <n v="-1"/>
    <s v="Invalid Shipping Record"/>
    <s v="CUST-7764"/>
    <s v="Priya Menon"/>
    <s v="Priya Menon"/>
    <s v="Consumer"/>
    <x v="0"/>
    <s v="South"/>
    <x v="2"/>
    <s v="Tamil Nadu"/>
    <s v="Chennai"/>
    <s v="Furniture"/>
    <x v="1"/>
    <x v="10"/>
    <s v="Classic Bookcases 847"/>
    <s v="Same Day"/>
    <x v="1"/>
    <n v="1"/>
    <n v="2599.12"/>
    <n v="0.15"/>
    <n v="0.15"/>
    <n v="2209.252"/>
    <n v="2209.25"/>
    <n v="1523.78"/>
    <n v="685.47"/>
    <s v="Paid"/>
    <s v="Completed"/>
    <x v="0"/>
    <s v="Valid"/>
    <n v="685.47"/>
    <n v="0.31027243610054445"/>
    <x v="6"/>
    <x v="0"/>
    <s v="Invalid"/>
  </r>
  <r>
    <s v="ORD-2025-10156"/>
    <s v="01/26/2025"/>
    <d v="2025-01-26T00:00:00"/>
    <s v="03 Feb 2025"/>
    <d v="2025-02-03T00:00:00"/>
    <s v="Valid"/>
    <n v="8"/>
    <s v="Valid"/>
    <s v="CUST-8327"/>
    <s v="Karan Malhotra"/>
    <s v="Karan Malhotra"/>
    <s v="Corporate"/>
    <x v="2"/>
    <s v="West"/>
    <x v="3"/>
    <s v="Rajasthan"/>
    <s v="Udaipur"/>
    <s v="Furniture"/>
    <x v="1"/>
    <x v="3"/>
    <s v="Classic Furnishings 655"/>
    <s v="Same Day"/>
    <x v="1"/>
    <n v="3"/>
    <n v="2859.32"/>
    <n v="0.1"/>
    <n v="0.1"/>
    <n v="7720.1640000000007"/>
    <n v="7720.16"/>
    <n v="5881"/>
    <n v="1839.16"/>
    <s v="Refunded"/>
    <s v="Returned"/>
    <x v="2"/>
    <s v="Valid"/>
    <n v="1839.1599999999999"/>
    <n v="0.23822809981756859"/>
    <x v="10"/>
    <x v="1"/>
    <s v="Clean"/>
  </r>
  <r>
    <s v="ORD-2025-10157"/>
    <s v="27-03-2025"/>
    <d v="2025-03-27T00:00:00"/>
    <s v="27 Mar 2025"/>
    <d v="2025-03-27T00:00:00"/>
    <s v="Valid"/>
    <n v="0"/>
    <s v="Valid"/>
    <s v="CUST-4058"/>
    <s v="Vikram Iyer"/>
    <s v="Vikram Iyer"/>
    <s v="Small Business"/>
    <x v="1"/>
    <s v="East"/>
    <x v="1"/>
    <s v="Bihar"/>
    <s v="Patna"/>
    <s v="Technology"/>
    <x v="2"/>
    <x v="12"/>
    <s v="Eco Machines 657"/>
    <s v="Second Class"/>
    <x v="0"/>
    <n v="7"/>
    <n v="2305.37"/>
    <n v="0.25"/>
    <n v="0.25"/>
    <n v="12103.192500000001"/>
    <n v="12103.19"/>
    <n v="6717.87"/>
    <n v="5385.32"/>
    <s v="Paid"/>
    <s v="Completed"/>
    <x v="0"/>
    <s v="Valid"/>
    <n v="5385.3200000000006"/>
    <n v="0.4449503715651883"/>
    <x v="11"/>
    <x v="1"/>
    <s v="Clean"/>
  </r>
  <r>
    <s v="ORD-2024-10158"/>
    <s v="10/22/2024"/>
    <d v="2024-10-22T00:00:00"/>
    <s v="24-10-2024"/>
    <d v="2024-10-24T00:00:00"/>
    <s v="Valid"/>
    <n v="2"/>
    <s v="Valid"/>
    <s v="CUST-1142"/>
    <s v="Rohan Mehta"/>
    <s v="Rohan Mehta"/>
    <s v="Small Business"/>
    <x v="1"/>
    <s v="South"/>
    <x v="2"/>
    <s v="Andhra Pradesh"/>
    <s v="Vijayawada"/>
    <s v="Furniture"/>
    <x v="1"/>
    <x v="10"/>
    <s v="Pro Bookcases 430"/>
    <s v="Standard Class"/>
    <x v="3"/>
    <n v="3"/>
    <n v="915.84"/>
    <n v="0.15"/>
    <n v="0.15"/>
    <n v="2335.3919999999998"/>
    <n v="2335.39"/>
    <n v="1466.15"/>
    <n v="869.24"/>
    <s v="Paid"/>
    <s v="Completed"/>
    <x v="0"/>
    <s v="Valid"/>
    <n v="869.23999999999978"/>
    <n v="0.37220303914717523"/>
    <x v="9"/>
    <x v="0"/>
    <s v="Clean"/>
  </r>
  <r>
    <s v="ORD-2024-10159"/>
    <s v="2024-09-09"/>
    <d v="2024-09-09T00:00:00"/>
    <s v="09/11/2024"/>
    <d v="2024-09-11T00:00:00"/>
    <s v="Valid"/>
    <n v="2"/>
    <s v="Valid"/>
    <s v="CUST-2324"/>
    <s v="Neha Gupta"/>
    <s v="Neha Gupta"/>
    <s v="Home Office"/>
    <x v="3"/>
    <s v="South"/>
    <x v="2"/>
    <s v="Telangana"/>
    <s v="Hyderabad"/>
    <s v="Furniture"/>
    <x v="1"/>
    <x v="10"/>
    <s v="Max Bookcases 881"/>
    <s v="First Class"/>
    <x v="2"/>
    <n v="1"/>
    <n v="4199.54"/>
    <n v="0.05"/>
    <n v="0.05"/>
    <n v="3989.5629999999996"/>
    <n v="3989.56"/>
    <n v="2381.38"/>
    <n v="1608.18"/>
    <s v="Paid"/>
    <s v="Completed"/>
    <x v="0"/>
    <s v="Valid"/>
    <n v="1608.1799999999998"/>
    <n v="0.40309678027392976"/>
    <x v="7"/>
    <x v="0"/>
    <s v="Clean"/>
  </r>
  <r>
    <s v="ORD-2025-10160"/>
    <s v="2025-01-30"/>
    <d v="2025-01-30T00:00:00"/>
    <s v="04-02-2025"/>
    <d v="2025-02-04T00:00:00"/>
    <s v="Valid"/>
    <n v="5"/>
    <s v="Valid"/>
    <s v="CUST-7717"/>
    <s v="Priya Menon"/>
    <s v="Priya Menon"/>
    <s v="Corporate"/>
    <x v="2"/>
    <s v="North"/>
    <x v="0"/>
    <s v="Haryana"/>
    <s v="Gurugram"/>
    <s v="Furniture"/>
    <x v="1"/>
    <x v="4"/>
    <s v="Elite Chairs 998"/>
    <s v="Same Day"/>
    <x v="1"/>
    <n v="9"/>
    <n v="4430.5"/>
    <n v="0.15"/>
    <n v="0.15"/>
    <n v="33893.324999999997"/>
    <n v="33893.32"/>
    <n v="25750.35"/>
    <n v="8142.97"/>
    <s v="Pending"/>
    <s v="Cancelled"/>
    <x v="1"/>
    <s v="Valid"/>
    <n v="8142.9700000000012"/>
    <n v="0.24025291115581024"/>
    <x v="10"/>
    <x v="1"/>
    <s v="Clean"/>
  </r>
  <r>
    <s v="ORD-2025-10161"/>
    <s v="08-10-2025"/>
    <d v="2025-10-08T00:00:00"/>
    <s v="10/06/2025"/>
    <d v="2025-10-06T00:00:00"/>
    <s v="Invalid Shipping Record"/>
    <n v="-2"/>
    <s v="Invalid Shipping Record"/>
    <s v="CUST-4932"/>
    <s v="Vikram Iyer"/>
    <s v="Vikram Iyer"/>
    <s v="Small Business"/>
    <x v="1"/>
    <s v="West"/>
    <x v="3"/>
    <s v="Maharashtra"/>
    <s v="Mumbai"/>
    <s v="Office Supplies"/>
    <x v="0"/>
    <x v="0"/>
    <s v="Max Paper 113"/>
    <s v="Second Class"/>
    <x v="0"/>
    <n v="4"/>
    <n v="1260.42"/>
    <n v="0.05"/>
    <n v="0.05"/>
    <n v="4789.5960000000005"/>
    <n v="4789.6000000000004"/>
    <n v="4037.64"/>
    <n v="751.96"/>
    <s v="Pending"/>
    <s v="Cancelled"/>
    <x v="1"/>
    <s v="Valid"/>
    <n v="751.96000000000049"/>
    <n v="0.15699862785921828"/>
    <x v="9"/>
    <x v="1"/>
    <s v="Invalid"/>
  </r>
  <r>
    <s v="ORD-2025-10162"/>
    <s v="2025-07-24"/>
    <d v="2025-07-24T00:00:00"/>
    <s v="30-07-2025"/>
    <d v="2025-07-30T00:00:00"/>
    <s v="Valid"/>
    <n v="6"/>
    <s v="Valid"/>
    <s v="CUST-2367"/>
    <s v="Arjun Bose"/>
    <s v="Arjun Bose"/>
    <s v="Consumer"/>
    <x v="0"/>
    <s v="West"/>
    <x v="3"/>
    <s v="Rajasthan"/>
    <s v="Udaipur"/>
    <s v="Office Supplies"/>
    <x v="0"/>
    <x v="9"/>
    <s v="Smart Binders 267"/>
    <s v="Standard Class"/>
    <x v="3"/>
    <n v="1"/>
    <n v="1643.41"/>
    <n v="0"/>
    <n v="0"/>
    <n v="1643.41"/>
    <n v="1643.41"/>
    <n v="907.4"/>
    <n v="736.01"/>
    <s v="Pending"/>
    <s v="Cancelled"/>
    <x v="1"/>
    <s v="Valid"/>
    <n v="736.0100000000001"/>
    <n v="0.44785537388722235"/>
    <x v="0"/>
    <x v="1"/>
    <s v="Clean"/>
  </r>
  <r>
    <s v="ORD-2024-10163"/>
    <s v="2024-03-09"/>
    <d v="2024-03-09T00:00:00"/>
    <s v="14 Mar 2024"/>
    <d v="2024-03-14T00:00:00"/>
    <s v="Valid"/>
    <n v="5"/>
    <s v="Valid"/>
    <s v="CUST-4830"/>
    <s v="Neha Gupta"/>
    <s v="Neha Gupta"/>
    <s v="Small Business"/>
    <x v="1"/>
    <s v="West"/>
    <x v="3"/>
    <s v="Goa"/>
    <s v="Panaji"/>
    <s v="Furniture"/>
    <x v="1"/>
    <x v="3"/>
    <s v="Pro Furnishings 108"/>
    <s v="Second Class"/>
    <x v="0"/>
    <n v="8"/>
    <n v="4472.84"/>
    <n v="0"/>
    <n v="0"/>
    <n v="35782.720000000001"/>
    <n v="35997.620000000003"/>
    <n v="26424.41"/>
    <n v="9358.31"/>
    <s v="Pending"/>
    <s v="Returned"/>
    <x v="2"/>
    <s v="Valid"/>
    <n v="9573.2100000000028"/>
    <n v="0.26753723585015343"/>
    <x v="11"/>
    <x v="0"/>
    <s v="Clean"/>
  </r>
  <r>
    <s v="ORD-2025-10164"/>
    <s v="09/21/2025"/>
    <d v="2025-09-21T00:00:00"/>
    <s v="26 Sep 2025"/>
    <d v="2025-09-26T00:00:00"/>
    <s v="Valid"/>
    <n v="5"/>
    <s v="Valid"/>
    <s v="CUST-2548"/>
    <s v="Rohan Mehta"/>
    <s v="Rohan Mehta"/>
    <s v="Home Office"/>
    <x v="3"/>
    <s v="West"/>
    <x v="3"/>
    <s v="Gujarat"/>
    <s v="Ahmedabad"/>
    <s v="Furniture"/>
    <x v="1"/>
    <x v="1"/>
    <s v="Elite Tables 389"/>
    <m/>
    <x v="4"/>
    <n v="6"/>
    <n v="2903.58"/>
    <n v="0.1"/>
    <n v="0.1"/>
    <n v="15679.332"/>
    <n v="15679.33"/>
    <n v="12477.82"/>
    <n v="3201.51"/>
    <s v="Pending"/>
    <s v="Returned"/>
    <x v="2"/>
    <s v="Valid"/>
    <n v="3201.51"/>
    <n v="0.20418663244071877"/>
    <x v="7"/>
    <x v="1"/>
    <s v="Clean"/>
  </r>
  <r>
    <s v="ORD-2025-10165"/>
    <s v="09 Sep 2025"/>
    <d v="2025-09-09T00:00:00"/>
    <s v="09/14/2025"/>
    <d v="2025-09-14T00:00:00"/>
    <s v="Valid"/>
    <n v="5"/>
    <s v="Valid"/>
    <s v="CUST-3833"/>
    <s v="Rahul Verma"/>
    <s v="Rahul Verma"/>
    <s v="Small Business"/>
    <x v="1"/>
    <s v="East"/>
    <x v="1"/>
    <s v="West Bengal"/>
    <s v="Kolkata"/>
    <s v="Furniture"/>
    <x v="1"/>
    <x v="10"/>
    <s v="Pro Bookcases 595"/>
    <s v="Second Class"/>
    <x v="0"/>
    <n v="1"/>
    <n v="3154.42"/>
    <n v="0.25"/>
    <n v="0.25"/>
    <n v="2365.8150000000001"/>
    <n v="2365.8200000000002"/>
    <n v="1547.99"/>
    <n v="817.83"/>
    <s v="Paid"/>
    <s v="Completed"/>
    <x v="0"/>
    <s v="Valid"/>
    <n v="817.83000000000015"/>
    <n v="0.34568637023604981"/>
    <x v="7"/>
    <x v="1"/>
    <s v="Clean"/>
  </r>
  <r>
    <s v="ORD-2024-10166"/>
    <s v="11/22/2024"/>
    <d v="2024-11-22T00:00:00"/>
    <s v="29-11-2024"/>
    <d v="2024-11-29T00:00:00"/>
    <s v="Valid"/>
    <n v="7"/>
    <s v="Valid"/>
    <s v="CUST-4598"/>
    <s v="Mira Das"/>
    <s v="Mira Das"/>
    <s v="Home Office"/>
    <x v="3"/>
    <s v="East"/>
    <x v="1"/>
    <s v="Bihar"/>
    <s v="Patna"/>
    <s v="Furniture"/>
    <x v="1"/>
    <x v="4"/>
    <s v="Max Chairs 148"/>
    <s v="Standard Class"/>
    <x v="3"/>
    <n v="4"/>
    <n v="3422.99"/>
    <n v="0.25"/>
    <n v="0.25"/>
    <n v="10268.969999999999"/>
    <n v="10268.969999999999"/>
    <n v="6470.92"/>
    <n v="3798.05"/>
    <s v="Paid"/>
    <s v="Completed"/>
    <x v="0"/>
    <s v="Valid"/>
    <n v="3798.0499999999993"/>
    <n v="0.36985695741637181"/>
    <x v="3"/>
    <x v="0"/>
    <s v="Clean"/>
  </r>
  <r>
    <s v="ORD-2025-10167"/>
    <s v="20-02-2025"/>
    <d v="2025-02-20T00:00:00"/>
    <s v="26-02-2025"/>
    <d v="2025-02-26T00:00:00"/>
    <s v="Valid"/>
    <n v="6"/>
    <s v="Valid"/>
    <s v="CUST-7215"/>
    <s v="Karan Malhotra"/>
    <s v="Karan Malhotra"/>
    <s v="Small Business"/>
    <x v="1"/>
    <s v="West"/>
    <x v="3"/>
    <s v="Gujarat"/>
    <s v="Ahmedabad"/>
    <s v="Office Supplies"/>
    <x v="0"/>
    <x v="7"/>
    <s v="Basic Labels 671"/>
    <s v="First Class"/>
    <x v="2"/>
    <n v="1"/>
    <n v="2557.85"/>
    <n v="0.2"/>
    <n v="0.2"/>
    <n v="2046.28"/>
    <n v="2046.28"/>
    <n v="1449.54"/>
    <n v="596.74"/>
    <s v="Paid"/>
    <s v="Completed"/>
    <x v="0"/>
    <s v="Valid"/>
    <n v="596.74"/>
    <n v="0.29162186992982386"/>
    <x v="6"/>
    <x v="1"/>
    <s v="Clean"/>
  </r>
  <r>
    <s v="ORD-2025-10168"/>
    <s v="2025-08-18"/>
    <d v="2025-08-18T00:00:00"/>
    <s v="08/18/2025"/>
    <d v="2025-08-18T00:00:00"/>
    <s v="Valid"/>
    <n v="0"/>
    <s v="Valid"/>
    <s v="CUST-7770"/>
    <s v="Arjun Bose"/>
    <s v="Arjun Bose"/>
    <s v="Home Office"/>
    <x v="3"/>
    <s v="South"/>
    <x v="2"/>
    <s v="Karnataka"/>
    <s v="Bengaluru"/>
    <s v="Office Supplies"/>
    <x v="0"/>
    <x v="8"/>
    <s v="Elite Storage 628"/>
    <s v="First Class"/>
    <x v="2"/>
    <n v="9"/>
    <n v="3030.93"/>
    <n v="0.15"/>
    <n v="0.15"/>
    <n v="23186.6145"/>
    <n v="23186.61"/>
    <n v="17906.54"/>
    <n v="5280.07"/>
    <s v="Paid"/>
    <s v="Returned"/>
    <x v="2"/>
    <s v="Valid"/>
    <n v="5280.07"/>
    <n v="0.22772061009596722"/>
    <x v="1"/>
    <x v="1"/>
    <s v="Clean"/>
  </r>
  <r>
    <s v="ORD-2025-10169"/>
    <s v="01/20/2025"/>
    <d v="2025-01-20T00:00:00"/>
    <s v="23 Jan 2025"/>
    <d v="2025-01-23T00:00:00"/>
    <s v="Valid"/>
    <n v="3"/>
    <s v="Valid"/>
    <s v="CUST-9756"/>
    <s v="Kabir Singh"/>
    <s v="Kabir Singh"/>
    <s v="Consumer"/>
    <x v="0"/>
    <s v="West"/>
    <x v="3"/>
    <s v="Maharashtra"/>
    <s v="Mumbai"/>
    <s v="Technology"/>
    <x v="2"/>
    <x v="5"/>
    <s v="Eco Accessories 590"/>
    <s v="Same Day"/>
    <x v="1"/>
    <n v="5"/>
    <n v="639.27"/>
    <n v="0.2"/>
    <n v="0.2"/>
    <n v="2557.08"/>
    <n v="2557.08"/>
    <n v="2025.69"/>
    <n v="531.39"/>
    <s v="Paid"/>
    <s v="Cancelled"/>
    <x v="1"/>
    <s v="Valid"/>
    <n v="531.38999999999987"/>
    <n v="0.2078112534609789"/>
    <x v="10"/>
    <x v="1"/>
    <s v="Clean"/>
  </r>
  <r>
    <s v="ORD-2025-10170"/>
    <s v="2025-09-13"/>
    <d v="2025-09-13T00:00:00"/>
    <s v="09/13/2025"/>
    <d v="2025-09-13T00:00:00"/>
    <s v="Valid"/>
    <n v="0"/>
    <s v="Valid"/>
    <s v="CUST-2261"/>
    <s v="Diya Patel"/>
    <s v="Diya Patel"/>
    <s v="Consumer"/>
    <x v="0"/>
    <s v="East"/>
    <x v="1"/>
    <s v="Assam"/>
    <s v="Guwahati"/>
    <s v="Office Supplies"/>
    <x v="0"/>
    <x v="2"/>
    <s v="Pro Art 734"/>
    <s v="Standard Class"/>
    <x v="3"/>
    <n v="8"/>
    <n v="733.9"/>
    <n v="0.05"/>
    <n v="0.05"/>
    <n v="5577.6399999999994"/>
    <n v="5577.64"/>
    <n v="3541.29"/>
    <n v="2036.35"/>
    <s v="Pending"/>
    <s v="Returned"/>
    <x v="2"/>
    <s v="Valid"/>
    <n v="2036.3500000000004"/>
    <n v="0.36509168752375565"/>
    <x v="7"/>
    <x v="1"/>
    <s v="Clean"/>
  </r>
  <r>
    <s v="ORD-2025-10171"/>
    <s v="07-09-2025"/>
    <d v="2025-09-07T00:00:00"/>
    <s v="09/15/2025"/>
    <d v="2025-09-15T00:00:00"/>
    <s v="Valid"/>
    <n v="8"/>
    <s v="Valid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n v="0"/>
    <n v="5133.96"/>
    <n v="5133.96"/>
    <n v="3930"/>
    <n v="1203.96"/>
    <s v="Paid"/>
    <s v="Completed"/>
    <x v="0"/>
    <s v="Valid"/>
    <n v="1203.96"/>
    <n v="0.23450903396208775"/>
    <x v="7"/>
    <x v="1"/>
    <s v="Clean"/>
  </r>
  <r>
    <s v="ORD-2025-10172"/>
    <s v="2025-02-23"/>
    <d v="2025-02-23T00:00:00"/>
    <s v="02/25/2025"/>
    <d v="2025-02-25T00:00:00"/>
    <s v="Valid"/>
    <n v="2"/>
    <s v="Valid"/>
    <s v="CUST-3436"/>
    <s v="Karan Malhotra"/>
    <s v="Karan Malhotra"/>
    <s v="Corporate"/>
    <x v="2"/>
    <s v="East"/>
    <x v="1"/>
    <s v="Bihar"/>
    <s v="Patna"/>
    <s v="Office Supplies"/>
    <x v="0"/>
    <x v="7"/>
    <s v="Basic Labels 876"/>
    <s v="Same Day"/>
    <x v="1"/>
    <n v="5"/>
    <n v="4246.2700000000004"/>
    <n v="0.25"/>
    <n v="0.25"/>
    <n v="15923.512500000001"/>
    <n v="15923.51"/>
    <n v="11291.8"/>
    <n v="4631.71"/>
    <s v="Paid"/>
    <s v="Completed"/>
    <x v="0"/>
    <s v="Valid"/>
    <n v="4631.7100000000009"/>
    <n v="0.29087238132918231"/>
    <x v="6"/>
    <x v="1"/>
    <s v="Clean"/>
  </r>
  <r>
    <s v="ORD-2025-10173"/>
    <s v="02-08-2025"/>
    <d v="2025-08-02T00:00:00"/>
    <s v="10-08-2025"/>
    <d v="2025-08-10T00:00:00"/>
    <s v="Valid"/>
    <n v="8"/>
    <s v="Valid"/>
    <s v="CUST-4845"/>
    <s v="Karan Malhotra"/>
    <s v="Karan Malhotra"/>
    <s v="Corporate"/>
    <x v="2"/>
    <s v="North"/>
    <x v="0"/>
    <s v="Delhi"/>
    <s v="New Delhi"/>
    <s v="Furniture"/>
    <x v="1"/>
    <x v="3"/>
    <s v="Prime Furnishings 381"/>
    <s v="Same Day"/>
    <x v="1"/>
    <n v="9"/>
    <n v="2962.62"/>
    <n v="0.1"/>
    <n v="0.1"/>
    <n v="23997.221999999998"/>
    <n v="23997.22"/>
    <n v="16134.63"/>
    <n v="7862.59"/>
    <s v="Refunded"/>
    <s v="Returned"/>
    <x v="2"/>
    <s v="Valid"/>
    <n v="7862.590000000002"/>
    <n v="0.32764584167284039"/>
    <x v="1"/>
    <x v="1"/>
    <s v="Clean"/>
  </r>
  <r>
    <s v="ORD-2024-10174"/>
    <s v="02-05-2024"/>
    <d v="2024-05-02T00:00:00"/>
    <s v="08 May 2024"/>
    <d v="2024-05-08T00:00:00"/>
    <s v="Valid"/>
    <n v="6"/>
    <s v="Valid"/>
    <s v="CUST-6153"/>
    <s v="Priya Menon"/>
    <s v="Priya Menon"/>
    <s v="Home Office"/>
    <x v="3"/>
    <s v="North"/>
    <x v="0"/>
    <s v="Punjab"/>
    <s v="Ludhiana"/>
    <s v="Technology"/>
    <x v="2"/>
    <x v="6"/>
    <s v="Prime Copiers 440"/>
    <s v="Second Class"/>
    <x v="0"/>
    <n v="1"/>
    <n v="2312.25"/>
    <n v="0.25"/>
    <n v="0.25"/>
    <n v="1734.1875"/>
    <n v="1734.19"/>
    <n v="1386.07"/>
    <n v="348.12"/>
    <s v="Paid"/>
    <s v="Completed"/>
    <x v="0"/>
    <s v="Valid"/>
    <n v="348.12000000000012"/>
    <n v="0.20073953940966599"/>
    <x v="4"/>
    <x v="0"/>
    <s v="Clean"/>
  </r>
  <r>
    <s v="ORD-2025-10175"/>
    <s v="28 Sep 2025"/>
    <d v="2025-09-28T00:00:00"/>
    <s v="04-10-2025"/>
    <d v="2025-10-04T00:00:00"/>
    <s v="Valid"/>
    <n v="6"/>
    <s v="Valid"/>
    <s v="CUST-5475"/>
    <s v="Karan Malhotra"/>
    <s v="Karan Malhotra"/>
    <s v="Small Business"/>
    <x v="1"/>
    <s v="South"/>
    <x v="2"/>
    <s v="Karnataka"/>
    <s v="Bengaluru"/>
    <s v="Furniture"/>
    <x v="1"/>
    <x v="10"/>
    <s v="Pro Bookcases 319"/>
    <s v="First Class"/>
    <x v="2"/>
    <n v="6"/>
    <n v="1620.53"/>
    <n v="0.15"/>
    <n v="0.15"/>
    <n v="8264.7029999999995"/>
    <n v="8264.7000000000007"/>
    <n v="4768.75"/>
    <n v="3495.95"/>
    <s v="Pending"/>
    <s v="Returned"/>
    <x v="2"/>
    <s v="Valid"/>
    <n v="3495.9500000000007"/>
    <n v="0.42299765641911158"/>
    <x v="7"/>
    <x v="1"/>
    <s v="Clean"/>
  </r>
  <r>
    <s v="ORD-2024-10176"/>
    <s v="2024-01-27"/>
    <d v="2024-01-27T00:00:00"/>
    <s v="2024-02-03"/>
    <d v="2024-02-03T00:00:00"/>
    <s v="Valid"/>
    <n v="7"/>
    <s v="Valid"/>
    <s v="CUST-5580"/>
    <s v="Arjun Bose"/>
    <s v="Arjun Bose"/>
    <s v="Small Business"/>
    <x v="1"/>
    <s v="East"/>
    <x v="1"/>
    <s v="Bihar"/>
    <s v="Patna"/>
    <s v="Technology"/>
    <x v="2"/>
    <x v="12"/>
    <s v="Basic Machines 584"/>
    <s v="Same Day"/>
    <x v="1"/>
    <n v="7"/>
    <n v="2673.42"/>
    <n v="0.15"/>
    <n v="0.15"/>
    <n v="15906.849000000002"/>
    <n v="15906.85"/>
    <n v="11014.46"/>
    <n v="4892.3900000000003"/>
    <s v="Paid"/>
    <s v="Returned"/>
    <x v="2"/>
    <s v="Valid"/>
    <n v="4892.3900000000012"/>
    <n v="0.30756499920254482"/>
    <x v="10"/>
    <x v="0"/>
    <s v="Clean"/>
  </r>
  <r>
    <s v="ORD-2025-10177"/>
    <s v="18-03-2025"/>
    <d v="2025-03-18T00:00:00"/>
    <s v="03/26/2025"/>
    <d v="2025-03-26T00:00:00"/>
    <s v="Valid"/>
    <n v="8"/>
    <s v="Valid"/>
    <s v="CUST-3027"/>
    <s v="Vikram Iyer"/>
    <s v="Vikram Iyer"/>
    <s v="Corporate"/>
    <x v="2"/>
    <s v="East"/>
    <x v="1"/>
    <s v="Jharkhand"/>
    <s v="Ranchi"/>
    <s v="Furniture"/>
    <x v="1"/>
    <x v="10"/>
    <s v="Pro Bookcases 612"/>
    <s v="Standard Class"/>
    <x v="3"/>
    <n v="8"/>
    <n v="3563.09"/>
    <n v="0.15"/>
    <n v="0.15"/>
    <n v="24229.011999999999"/>
    <n v="24229.01"/>
    <n v="13910.64"/>
    <n v="10318.370000000001"/>
    <s v="Paid"/>
    <s v="Completed"/>
    <x v="0"/>
    <s v="Valid"/>
    <n v="10318.369999999999"/>
    <n v="0.42586837630853458"/>
    <x v="11"/>
    <x v="1"/>
    <s v="Clean"/>
  </r>
  <r>
    <s v="ORD-2024-10178"/>
    <s v="01-06-2024"/>
    <d v="2024-06-01T00:00:00"/>
    <s v="06/03/2024"/>
    <d v="2024-06-03T00:00:00"/>
    <s v="Valid"/>
    <n v="2"/>
    <s v="Valid"/>
    <s v="CUST-4399"/>
    <s v="Sneha Kapoor"/>
    <s v="Sneha Kapoor"/>
    <s v="Home Office"/>
    <x v="3"/>
    <m/>
    <x v="4"/>
    <s v="Bihar"/>
    <s v="Patna"/>
    <s v="Office Supplies"/>
    <x v="0"/>
    <x v="2"/>
    <s v="Classic Art 573"/>
    <s v="Same Day"/>
    <x v="1"/>
    <n v="8"/>
    <n v="3879.95"/>
    <n v="0"/>
    <n v="0"/>
    <n v="31039.599999999999"/>
    <n v="31039.599999999999"/>
    <n v="20866.72"/>
    <n v="10172.879999999999"/>
    <s v="Paid"/>
    <s v="Completed"/>
    <x v="0"/>
    <s v="Valid"/>
    <n v="10172.879999999997"/>
    <n v="0.32773875952009685"/>
    <x v="2"/>
    <x v="0"/>
    <s v="Clean"/>
  </r>
  <r>
    <s v="ORD-2024-10179"/>
    <s v="30-09-2024"/>
    <d v="2024-09-30T00:00:00"/>
    <s v="2024-09-30"/>
    <d v="2024-09-30T00:00:00"/>
    <s v="Valid"/>
    <n v="0"/>
    <s v="Valid"/>
    <s v="CUST-3092"/>
    <s v="Isha Nair"/>
    <s v="Isha Nair"/>
    <s v="Corporate"/>
    <x v="2"/>
    <s v="South"/>
    <x v="2"/>
    <s v="Telangana"/>
    <s v="Hyderabad"/>
    <s v="Office Supplies"/>
    <x v="0"/>
    <x v="2"/>
    <s v="Eco Art 854"/>
    <s v="Standard Class"/>
    <x v="3"/>
    <n v="4"/>
    <n v="3281.74"/>
    <n v="0"/>
    <n v="0"/>
    <n v="13126.96"/>
    <n v="13126.96"/>
    <n v="10732.44"/>
    <n v="2394.52"/>
    <s v="Paid"/>
    <s v="Completed"/>
    <x v="0"/>
    <s v="Valid"/>
    <n v="2394.5199999999986"/>
    <n v="0.18241237879905162"/>
    <x v="7"/>
    <x v="0"/>
    <s v="Clean"/>
  </r>
  <r>
    <s v="ORD-2024-10180"/>
    <s v="2024-03-15"/>
    <d v="2024-03-15T00:00:00"/>
    <s v="03/19/2024"/>
    <d v="2024-03-19T00:00:00"/>
    <s v="Valid"/>
    <n v="4"/>
    <s v="Valid"/>
    <s v="CUST-1778"/>
    <s v="Ananya Rao"/>
    <s v="Ananya Rao"/>
    <s v="Small Business"/>
    <x v="1"/>
    <s v="South"/>
    <x v="2"/>
    <s v="Tamil Nadu"/>
    <s v="Chennai"/>
    <s v="Furniture"/>
    <x v="1"/>
    <x v="3"/>
    <s v="Classic Furnishings 996"/>
    <s v="Standard Class"/>
    <x v="3"/>
    <n v="4"/>
    <n v="3186.3"/>
    <n v="0.25"/>
    <n v="0.25"/>
    <n v="9558.9000000000015"/>
    <n v="9558.9"/>
    <n v="5516.76"/>
    <n v="4042.14"/>
    <s v="Refunded"/>
    <s v="Returned"/>
    <x v="2"/>
    <s v="Valid"/>
    <n v="4042.1399999999994"/>
    <n v="0.42286664783604794"/>
    <x v="11"/>
    <x v="0"/>
    <s v="Clean"/>
  </r>
  <r>
    <s v="ORD-2024-10181"/>
    <s v="2024-08-26"/>
    <d v="2024-08-26T00:00:00"/>
    <s v="26-08-2024"/>
    <d v="2024-08-26T00:00:00"/>
    <s v="Valid"/>
    <n v="0"/>
    <s v="Valid"/>
    <s v="CUST-3787"/>
    <s v="Mira Das"/>
    <s v="Mira Das"/>
    <s v="Home Office"/>
    <x v="3"/>
    <s v="North"/>
    <x v="0"/>
    <s v="Uttar Pradesh"/>
    <s v="Noida"/>
    <s v="Office Supplies"/>
    <x v="0"/>
    <x v="9"/>
    <s v="Prime Binders 735"/>
    <s v="First Class"/>
    <x v="2"/>
    <n v="7"/>
    <n v="844.59"/>
    <n v="0.1"/>
    <n v="0.1"/>
    <n v="5320.9170000000004"/>
    <n v="5320.92"/>
    <n v="3041.5"/>
    <n v="2279.42"/>
    <s v="Paid"/>
    <s v="Completed"/>
    <x v="0"/>
    <s v="Valid"/>
    <n v="2279.42"/>
    <n v="0.42838856535443043"/>
    <x v="1"/>
    <x v="0"/>
    <s v="Clean"/>
  </r>
  <r>
    <s v="ORD-2025-10182"/>
    <s v="09/09/2025"/>
    <d v="2025-09-09T00:00:00"/>
    <s v="10-09-2025"/>
    <d v="2025-09-10T00:00:00"/>
    <s v="Valid"/>
    <n v="1"/>
    <s v="Valid"/>
    <s v="CUST-5119"/>
    <s v="Priya Menon"/>
    <s v="Priya Menon"/>
    <s v="Home Office"/>
    <x v="3"/>
    <s v="South"/>
    <x v="2"/>
    <s v="Tamil Nadu"/>
    <s v="Chennai"/>
    <s v="Office Supplies"/>
    <x v="0"/>
    <x v="2"/>
    <s v="Pro Art 587"/>
    <s v="Second Class"/>
    <x v="0"/>
    <n v="4"/>
    <n v="2551.4499999999998"/>
    <n v="0"/>
    <n v="0"/>
    <n v="10205.799999999999"/>
    <n v="10205.799999999999"/>
    <n v="5986.31"/>
    <n v="4219.49"/>
    <s v="Paid"/>
    <s v="Completed"/>
    <x v="0"/>
    <s v="Valid"/>
    <n v="4219.4899999999989"/>
    <n v="0.41344039663720622"/>
    <x v="7"/>
    <x v="1"/>
    <s v="Clean"/>
  </r>
  <r>
    <s v="ORD-2024-10183"/>
    <s v="16 Oct 2024"/>
    <d v="2024-10-16T00:00:00"/>
    <s v="16 Oct 2024"/>
    <d v="2024-10-16T00:00:00"/>
    <s v="Valid"/>
    <n v="0"/>
    <s v="Valid"/>
    <s v="CUST-4121"/>
    <s v="Ananya Rao"/>
    <s v="Ananya Rao"/>
    <s v="Home Office"/>
    <x v="3"/>
    <s v="East"/>
    <x v="1"/>
    <s v="Bihar"/>
    <s v="Patna"/>
    <s v="Technology"/>
    <x v="2"/>
    <x v="12"/>
    <s v="Basic Machines 575"/>
    <s v="Standard Class"/>
    <x v="3"/>
    <n v="7"/>
    <n v="775.77"/>
    <n v="0"/>
    <n v="0"/>
    <n v="5430.3899999999994"/>
    <n v="5430.39"/>
    <n v="3707.66"/>
    <n v="1722.73"/>
    <s v="Paid"/>
    <s v="Completed"/>
    <x v="0"/>
    <s v="Valid"/>
    <n v="1722.7300000000005"/>
    <n v="0.31723872502711603"/>
    <x v="9"/>
    <x v="0"/>
    <s v="Clean"/>
  </r>
  <r>
    <s v="ORD-2025-10184"/>
    <s v="2025-06-24"/>
    <d v="2025-06-24T00:00:00"/>
    <s v="27-06-2025"/>
    <d v="2025-06-27T00:00:00"/>
    <s v="Valid"/>
    <n v="3"/>
    <s v="Valid"/>
    <s v="CUST-3366"/>
    <s v="Vikram Iyer"/>
    <s v="Vikram Iyer"/>
    <s v="Home Office"/>
    <x v="3"/>
    <s v="South"/>
    <x v="2"/>
    <s v="Telangana"/>
    <s v="Hyderabad"/>
    <s v="Technology"/>
    <x v="2"/>
    <x v="6"/>
    <s v="Elite Copiers 788"/>
    <s v="Standard Class"/>
    <x v="3"/>
    <n v="7"/>
    <n v="2304.86"/>
    <n v="0.2"/>
    <n v="0.2"/>
    <n v="12907.216"/>
    <n v="12907.22"/>
    <n v="8327.89"/>
    <n v="4579.33"/>
    <s v="Paid"/>
    <s v="Returned"/>
    <x v="2"/>
    <s v="Valid"/>
    <n v="4579.33"/>
    <n v="0.35478836024747706"/>
    <x v="2"/>
    <x v="1"/>
    <s v="Clean"/>
  </r>
  <r>
    <s v="ORD-2024-10185"/>
    <s v="2024-04-02"/>
    <d v="2024-04-02T00:00:00"/>
    <s v="2024-04-06"/>
    <d v="2024-04-06T00:00:00"/>
    <s v="Valid"/>
    <n v="4"/>
    <s v="Valid"/>
    <s v="CUST-1358"/>
    <s v="Vikram Iyer"/>
    <s v="Vikram Iyer"/>
    <s v="Corporate"/>
    <x v="2"/>
    <s v="West"/>
    <x v="3"/>
    <s v="Madhya Pradesh"/>
    <s v="Indore"/>
    <s v="Furniture"/>
    <x v="1"/>
    <x v="10"/>
    <s v="Max Bookcases 472"/>
    <s v="Standard Class"/>
    <x v="3"/>
    <n v="2"/>
    <n v="888.98"/>
    <n v="0"/>
    <n v="0"/>
    <n v="1777.96"/>
    <n v="1777.96"/>
    <n v="1021.16"/>
    <n v="756.8"/>
    <s v="Refunded"/>
    <s v="Returned"/>
    <x v="2"/>
    <s v="Valid"/>
    <n v="756.80000000000007"/>
    <n v="0.42565637022205227"/>
    <x v="5"/>
    <x v="0"/>
    <s v="Clean"/>
  </r>
  <r>
    <s v="ORD-2024-10186"/>
    <s v="11/05/2024"/>
    <d v="2024-11-05T00:00:00"/>
    <s v="2024-11-13"/>
    <d v="2024-11-13T00:00:00"/>
    <s v="Valid"/>
    <n v="8"/>
    <s v="Valid"/>
    <s v="CUST-4968"/>
    <s v="Arjun Bose"/>
    <s v="Arjun Bose"/>
    <s v="Consumer"/>
    <x v="0"/>
    <m/>
    <x v="4"/>
    <s v="Punjab"/>
    <s v="Ludhiana"/>
    <s v="Office Supplies"/>
    <x v="0"/>
    <x v="7"/>
    <s v="Smart Labels 475"/>
    <s v="Second Class"/>
    <x v="0"/>
    <n v="2"/>
    <n v="1003.17"/>
    <n v="0.2"/>
    <n v="0.2"/>
    <n v="1605.0720000000001"/>
    <n v="1605.07"/>
    <n v="1337.28"/>
    <n v="267.79000000000002"/>
    <s v="Paid"/>
    <s v="Completed"/>
    <x v="0"/>
    <s v="Valid"/>
    <n v="267.78999999999996"/>
    <n v="0.1668398676196457"/>
    <x v="3"/>
    <x v="0"/>
    <s v="Clean"/>
  </r>
  <r>
    <s v="ORD-2024-10187"/>
    <s v="19-07-2024"/>
    <d v="2024-07-19T00:00:00"/>
    <s v="20 Jul 2024"/>
    <d v="2024-07-20T00:00:00"/>
    <s v="Valid"/>
    <n v="1"/>
    <s v="Valid"/>
    <s v="CUST-2778"/>
    <s v="Vikram Iyer"/>
    <s v="Vikram Iyer"/>
    <s v="Consumer"/>
    <x v="0"/>
    <s v="South"/>
    <x v="2"/>
    <s v="Tamil Nadu"/>
    <s v="Chennai"/>
    <s v="Furniture"/>
    <x v="1"/>
    <x v="1"/>
    <s v="Basic Tables 417"/>
    <s v="First Class"/>
    <x v="2"/>
    <n v="7"/>
    <n v="3608.43"/>
    <n v="0.05"/>
    <n v="0.05"/>
    <n v="23996.059499999996"/>
    <n v="23996.06"/>
    <n v="20167.28"/>
    <n v="3828.78"/>
    <s v="Paid"/>
    <s v="Completed"/>
    <x v="0"/>
    <s v="Valid"/>
    <n v="3828.7800000000025"/>
    <n v="0.15955869754365307"/>
    <x v="0"/>
    <x v="0"/>
    <s v="Clean"/>
  </r>
  <r>
    <s v="ORD-2025-10188"/>
    <s v="2025-05-01"/>
    <d v="2025-05-01T00:00:00"/>
    <s v="02 May 2025"/>
    <d v="2025-05-02T00:00:00"/>
    <s v="Valid"/>
    <n v="1"/>
    <s v="Valid"/>
    <s v="CUST-3109"/>
    <s v="Mira Das"/>
    <s v="Mira Das"/>
    <s v="Consumer"/>
    <x v="0"/>
    <s v="West"/>
    <x v="3"/>
    <s v="Madhya Pradesh"/>
    <s v="Indore"/>
    <s v="Furniture"/>
    <x v="1"/>
    <x v="4"/>
    <s v="Pro Chairs 844"/>
    <s v="Same Day"/>
    <x v="1"/>
    <n v="3"/>
    <n v="2905.74"/>
    <n v="0"/>
    <n v="0"/>
    <n v="8717.2199999999993"/>
    <n v="8717.2199999999993"/>
    <n v="6215.96"/>
    <n v="2501.2600000000002"/>
    <s v="Paid"/>
    <s v="Returned"/>
    <x v="2"/>
    <s v="Valid"/>
    <n v="2501.2599999999993"/>
    <n v="0.28693321953558582"/>
    <x v="4"/>
    <x v="1"/>
    <s v="Clean"/>
  </r>
  <r>
    <s v="ORD-2025-10189"/>
    <s v="2025-05-21"/>
    <d v="2025-05-21T00:00:00"/>
    <s v="28 May 2025"/>
    <d v="2025-05-28T00:00:00"/>
    <s v="Valid"/>
    <n v="7"/>
    <s v="Valid"/>
    <s v="CUST-3422"/>
    <s v="Priya Menon"/>
    <s v="Priya Menon"/>
    <s v="Corporate"/>
    <x v="2"/>
    <s v="East"/>
    <x v="1"/>
    <s v="West Bengal"/>
    <s v="Kolkata"/>
    <s v="Furniture"/>
    <x v="1"/>
    <x v="10"/>
    <s v="Elite Bookcases 883"/>
    <s v="Same Day"/>
    <x v="1"/>
    <n v="2"/>
    <n v="3559.57"/>
    <n v="0.1"/>
    <n v="0.1"/>
    <n v="6407.2260000000006"/>
    <n v="6553.95"/>
    <n v="4923.09"/>
    <n v="1484.14"/>
    <s v="Paid"/>
    <s v="Completed"/>
    <x v="0"/>
    <s v="Valid"/>
    <n v="1630.8599999999997"/>
    <n v="0.25453448965277636"/>
    <x v="4"/>
    <x v="1"/>
    <s v="Clean"/>
  </r>
  <r>
    <s v="ORD-2025-10190"/>
    <s v="2025-05-06"/>
    <d v="2025-05-06T00:00:00"/>
    <s v="07 May 2025"/>
    <d v="2025-05-07T00:00:00"/>
    <s v="Valid"/>
    <n v="1"/>
    <s v="Valid"/>
    <s v="CUST-3375"/>
    <s v="Arjun Bose"/>
    <s v="Arjun Bose"/>
    <s v="Consumer"/>
    <x v="0"/>
    <s v="West"/>
    <x v="3"/>
    <s v="Rajasthan"/>
    <s v="Udaipur"/>
    <s v="Furniture"/>
    <x v="1"/>
    <x v="10"/>
    <s v="Basic Bookcases 754"/>
    <s v="First Class"/>
    <x v="2"/>
    <n v="9"/>
    <n v="3318.24"/>
    <m/>
    <n v="0"/>
    <n v="29864.159999999996"/>
    <n v="25384.54"/>
    <n v="16872.39"/>
    <n v="8512.15"/>
    <s v="Paid"/>
    <s v="Completed"/>
    <x v="0"/>
    <s v="Valid"/>
    <n v="8512.1500000000015"/>
    <n v="0.28502894439354742"/>
    <x v="4"/>
    <x v="1"/>
    <s v="Clean"/>
  </r>
  <r>
    <s v="ORD-2025-10191"/>
    <s v="20-04-2025"/>
    <d v="2025-04-20T00:00:00"/>
    <s v="04/21/2025"/>
    <d v="2025-04-21T00:00:00"/>
    <s v="Valid"/>
    <n v="1"/>
    <s v="Valid"/>
    <s v="CUST-5138"/>
    <s v="Aditi Sen"/>
    <s v="Aditi Sen"/>
    <s v="Consumer"/>
    <x v="0"/>
    <s v="South"/>
    <x v="2"/>
    <s v="Tamil Nadu"/>
    <s v="Chennai"/>
    <s v="Office Supplies"/>
    <x v="0"/>
    <x v="8"/>
    <s v="Eco Storage 158"/>
    <s v="First Class"/>
    <x v="2"/>
    <n v="3"/>
    <n v="540.09"/>
    <n v="0.1"/>
    <n v="0.1"/>
    <n v="1458.2429999999999"/>
    <n v="1458.24"/>
    <n v="943.32"/>
    <n v="514.91999999999996"/>
    <s v="Paid"/>
    <s v="Completed"/>
    <x v="0"/>
    <s v="Valid"/>
    <n v="514.91999999999996"/>
    <n v="0.3531098726343963"/>
    <x v="5"/>
    <x v="1"/>
    <s v="Clean"/>
  </r>
  <r>
    <s v="ORD-2024-10192"/>
    <s v="19-10-2024"/>
    <d v="2024-10-19T00:00:00"/>
    <s v="2024-10-24"/>
    <d v="2024-10-24T00:00:00"/>
    <s v="Valid"/>
    <n v="5"/>
    <s v="Valid"/>
    <s v="CUST-7410"/>
    <s v="Sneha Kapoor"/>
    <s v="Sneha Kapoor"/>
    <s v="Small Business"/>
    <x v="1"/>
    <s v="South"/>
    <x v="2"/>
    <s v="Tamil Nadu"/>
    <s v="Chennai"/>
    <s v="Furniture"/>
    <x v="1"/>
    <x v="10"/>
    <s v="Prime Bookcases 602"/>
    <s v="Second Class"/>
    <x v="0"/>
    <n v="6"/>
    <n v="4308.3999999999996"/>
    <n v="0.65"/>
    <n v="0.65"/>
    <n v="9047.64"/>
    <n v="25850.400000000001"/>
    <n v="19397.68"/>
    <n v="6452.72"/>
    <s v="Paid"/>
    <s v="Completed"/>
    <x v="0"/>
    <s v="Valid"/>
    <n v="6452.7200000000012"/>
    <n v="0.71319371681455068"/>
    <x v="9"/>
    <x v="0"/>
    <s v="Clean"/>
  </r>
  <r>
    <s v="ORD-2024-10193"/>
    <s v="2024-12-09"/>
    <d v="2024-12-09T00:00:00"/>
    <s v="12/16/2024"/>
    <d v="2024-12-16T00:00:00"/>
    <s v="Valid"/>
    <n v="7"/>
    <s v="Valid"/>
    <s v="CUST-7115"/>
    <s v="Isha Nair"/>
    <s v="Isha Nair"/>
    <s v="Home Office"/>
    <x v="3"/>
    <s v="West"/>
    <x v="3"/>
    <s v="Gujarat"/>
    <s v="Ahmedabad"/>
    <s v="Furniture"/>
    <x v="1"/>
    <x v="4"/>
    <s v="Eco Chairs 438"/>
    <s v="First Class"/>
    <x v="2"/>
    <n v="4"/>
    <n v="2191.0300000000002"/>
    <n v="0"/>
    <n v="0"/>
    <n v="8764.1200000000008"/>
    <n v="8764.1200000000008"/>
    <n v="7220.05"/>
    <n v="1544.07"/>
    <s v="Paid"/>
    <s v="Completed"/>
    <x v="0"/>
    <s v="Valid"/>
    <n v="1544.0700000000006"/>
    <n v="0.17618083732308554"/>
    <x v="8"/>
    <x v="0"/>
    <s v="Clean"/>
  </r>
  <r>
    <s v="ORD-2024-10194"/>
    <s v="2024-06-23"/>
    <d v="2024-06-23T00:00:00"/>
    <s v="28-06-2024"/>
    <d v="2024-06-28T00:00:00"/>
    <s v="Valid"/>
    <n v="5"/>
    <s v="Valid"/>
    <s v="CUST-9853"/>
    <s v="Priya Menon"/>
    <s v="Priya Menon"/>
    <s v="Small Business"/>
    <x v="1"/>
    <s v="North"/>
    <x v="0"/>
    <s v="Punjab"/>
    <s v="Ludhiana"/>
    <s v="Technology"/>
    <x v="2"/>
    <x v="6"/>
    <s v="Prime Copiers 142"/>
    <s v="Same Day"/>
    <x v="1"/>
    <n v="6"/>
    <n v="1956.63"/>
    <n v="0.2"/>
    <n v="0.2"/>
    <n v="9391.8240000000005"/>
    <n v="9391.82"/>
    <n v="6013.22"/>
    <n v="3378.6"/>
    <s v="Refunded"/>
    <s v="Returned"/>
    <x v="2"/>
    <s v="Valid"/>
    <n v="3378.5999999999995"/>
    <n v="0.35973842780699461"/>
    <x v="2"/>
    <x v="0"/>
    <s v="Clean"/>
  </r>
  <r>
    <s v="ORD-2025-10195"/>
    <s v="2025-01-28"/>
    <d v="2025-01-28T00:00:00"/>
    <s v="01/31/2025"/>
    <d v="2025-01-31T00:00:00"/>
    <s v="Valid"/>
    <n v="3"/>
    <s v="Valid"/>
    <s v="CUST-3637"/>
    <s v="Priya Menon"/>
    <s v="Priya Menon"/>
    <s v="Consumer"/>
    <x v="0"/>
    <s v="West"/>
    <x v="3"/>
    <s v="Maharashtra"/>
    <s v="Mumbai"/>
    <s v="Furniture"/>
    <x v="1"/>
    <x v="3"/>
    <s v="Prime Furnishings 433"/>
    <s v="First Class"/>
    <x v="2"/>
    <n v="9"/>
    <n v="858.39"/>
    <n v="0.05"/>
    <n v="0.05"/>
    <n v="7339.2344999999996"/>
    <n v="7339.23"/>
    <n v="5434.12"/>
    <n v="1905.11"/>
    <s v="Pending"/>
    <s v="Returned"/>
    <x v="2"/>
    <s v="Valid"/>
    <n v="1905.1099999999997"/>
    <n v="0.25957884299786305"/>
    <x v="10"/>
    <x v="1"/>
    <s v="Clean"/>
  </r>
  <r>
    <s v="ORD-2025-10196"/>
    <s v="22 Jul 2025"/>
    <d v="2025-07-22T00:00:00"/>
    <s v="07/24/2025"/>
    <d v="2025-07-24T00:00:00"/>
    <s v="Valid"/>
    <n v="2"/>
    <s v="Valid"/>
    <s v="CUST-4328"/>
    <s v="Neha Gupta"/>
    <s v="Neha Gupta"/>
    <s v="Home Office"/>
    <x v="3"/>
    <s v="South"/>
    <x v="2"/>
    <s v="Andhra Pradesh"/>
    <s v="Vijayawada"/>
    <s v="Furniture"/>
    <x v="1"/>
    <x v="3"/>
    <s v="Smart Furnishings 685"/>
    <s v="Same Day"/>
    <x v="1"/>
    <n v="5"/>
    <n v="1922.83"/>
    <n v="0"/>
    <n v="0"/>
    <n v="9614.15"/>
    <n v="9614.15"/>
    <n v="7576.84"/>
    <n v="2037.31"/>
    <s v="Paid"/>
    <s v="Completed"/>
    <x v="0"/>
    <s v="Valid"/>
    <n v="2037.3099999999995"/>
    <n v="0.21190744891644084"/>
    <x v="0"/>
    <x v="1"/>
    <s v="Clean"/>
  </r>
  <r>
    <s v="ORD-2024-10197"/>
    <s v="22-01-2024"/>
    <d v="2024-01-22T00:00:00"/>
    <s v="25 Jan 2024"/>
    <d v="2024-01-25T00:00:00"/>
    <s v="Valid"/>
    <n v="3"/>
    <s v="Valid"/>
    <s v="CUST-8028"/>
    <s v="Kabir Singh"/>
    <s v="Kabir Singh"/>
    <s v="Home Office"/>
    <x v="3"/>
    <s v="North"/>
    <x v="0"/>
    <s v="Uttar Pradesh"/>
    <s v="Noida"/>
    <s v="Office Supplies"/>
    <x v="0"/>
    <x v="8"/>
    <s v="Elite Storage 915"/>
    <s v="First Class"/>
    <x v="2"/>
    <n v="3"/>
    <n v="1212.03"/>
    <n v="0.1"/>
    <n v="0.1"/>
    <n v="3272.4810000000002"/>
    <n v="3272.48"/>
    <n v="2517.44"/>
    <n v="755.04"/>
    <s v="Paid"/>
    <s v="Completed"/>
    <x v="0"/>
    <s v="Valid"/>
    <n v="755.04"/>
    <n v="0.23072402864982253"/>
    <x v="10"/>
    <x v="0"/>
    <s v="Clean"/>
  </r>
  <r>
    <s v="ORD-2025-10198"/>
    <s v="31 Mar 2025"/>
    <d v="2025-03-31T00:00:00"/>
    <s v="07-04-2025"/>
    <d v="2025-04-07T00:00:00"/>
    <s v="Valid"/>
    <n v="7"/>
    <s v="Valid"/>
    <s v="CUST-6106"/>
    <s v="Rahul Verma"/>
    <s v="Rahul Verma"/>
    <s v="Small  Business"/>
    <x v="1"/>
    <s v="East"/>
    <x v="1"/>
    <s v="Bihar"/>
    <s v="Patna"/>
    <s v="Office Supplies"/>
    <x v="0"/>
    <x v="8"/>
    <s v="Basic Storage 961"/>
    <s v="Second Class"/>
    <x v="0"/>
    <n v="5"/>
    <n v="4096.4399999999996"/>
    <n v="0.15"/>
    <n v="0.15"/>
    <n v="17409.869999999995"/>
    <n v="17409.87"/>
    <n v="14076.25"/>
    <n v="3333.62"/>
    <s v="Paid"/>
    <s v="Completed"/>
    <x v="0"/>
    <s v="Valid"/>
    <n v="3333.619999999999"/>
    <n v="0.19147874165631334"/>
    <x v="11"/>
    <x v="1"/>
    <s v="Clean"/>
  </r>
  <r>
    <s v="ORD-2024-10199"/>
    <s v="05-06-2024"/>
    <d v="2024-06-05T00:00:00"/>
    <s v="06/06/2024"/>
    <d v="2024-06-06T00:00:00"/>
    <s v="Valid"/>
    <n v="1"/>
    <s v="Valid"/>
    <s v="CUST-7820"/>
    <s v="Sneha Kapoor"/>
    <s v="Sneha Kapoor"/>
    <s v="Consumer"/>
    <x v="0"/>
    <s v="West"/>
    <x v="3"/>
    <s v="Gujarat"/>
    <s v="Ahmedabad"/>
    <s v="Office Supplies"/>
    <x v="0"/>
    <x v="2"/>
    <s v="Classic Art 968"/>
    <s v="Second Class"/>
    <x v="0"/>
    <n v="1"/>
    <n v="1184.58"/>
    <n v="0.05"/>
    <n v="0.05"/>
    <n v="1125.3509999999999"/>
    <n v="1125.3499999999999"/>
    <n v="676.97"/>
    <n v="448.38"/>
    <s v="Failed"/>
    <s v="Cancelled"/>
    <x v="1"/>
    <s v="Valid"/>
    <n v="448.37999999999988"/>
    <n v="0.39843568806532353"/>
    <x v="2"/>
    <x v="0"/>
    <s v="Clean"/>
  </r>
  <r>
    <s v="ORD-2024-10200"/>
    <s v="03/12/2024"/>
    <d v="2024-03-12T00:00:00"/>
    <s v="12-03-2024"/>
    <d v="2024-03-12T00:00:00"/>
    <s v="Valid"/>
    <n v="0"/>
    <s v="Valid"/>
    <s v="CUST-4536"/>
    <s v="Rahul Verma"/>
    <s v="Rahul Verma"/>
    <s v="Home Office"/>
    <x v="3"/>
    <s v="East"/>
    <x v="1"/>
    <s v="Bihar"/>
    <s v="Patna"/>
    <s v="Technology"/>
    <x v="2"/>
    <x v="12"/>
    <s v="Prime Machines 806"/>
    <m/>
    <x v="4"/>
    <n v="6"/>
    <n v="2185.58"/>
    <n v="0.25"/>
    <n v="0.25"/>
    <n v="9835.11"/>
    <n v="9835.11"/>
    <n v="5437.64"/>
    <n v="4397.47"/>
    <s v="Paid"/>
    <s v="Completed"/>
    <x v="0"/>
    <s v="Valid"/>
    <n v="4397.47"/>
    <n v="0.44711955433136996"/>
    <x v="11"/>
    <x v="0"/>
    <s v="Clean"/>
  </r>
  <r>
    <s v="ORD-2025-10201"/>
    <s v="27-06-2025"/>
    <d v="2025-06-27T00:00:00"/>
    <s v="05 Jul 2025"/>
    <d v="2025-07-05T00:00:00"/>
    <s v="Valid"/>
    <n v="8"/>
    <s v="Valid"/>
    <s v="CUST-7047"/>
    <s v="Priya Menon"/>
    <s v="Priya Menon"/>
    <s v="Small Business"/>
    <x v="1"/>
    <s v="North"/>
    <x v="0"/>
    <s v="Rajasthan"/>
    <s v="Jaipur"/>
    <s v="Technology"/>
    <x v="2"/>
    <x v="6"/>
    <s v="Classic Copiers 479"/>
    <s v="First Class"/>
    <x v="2"/>
    <n v="5"/>
    <n v="2868.44"/>
    <n v="0.1"/>
    <n v="0.1"/>
    <n v="12907.980000000001"/>
    <n v="12907.98"/>
    <n v="9197.08"/>
    <n v="3710.9"/>
    <s v="Pending"/>
    <s v="Cancelled"/>
    <x v="1"/>
    <s v="Valid"/>
    <n v="3710.8999999999996"/>
    <n v="0.28748882474252357"/>
    <x v="2"/>
    <x v="1"/>
    <s v="Clean"/>
  </r>
  <r>
    <s v="ORD-2025-10202"/>
    <s v="26-07-2025"/>
    <d v="2025-07-26T00:00:00"/>
    <s v="08/03/2025"/>
    <d v="2025-08-03T00:00:00"/>
    <s v="Valid"/>
    <n v="8"/>
    <s v="Valid"/>
    <s v="CUST-8005"/>
    <s v="Vikram Iyer"/>
    <s v="Vikram Iyer"/>
    <s v="Consumer"/>
    <x v="0"/>
    <s v="West"/>
    <x v="3"/>
    <s v="Madhya Pradesh"/>
    <s v="Indore"/>
    <s v="Office Supplies"/>
    <x v="0"/>
    <x v="7"/>
    <s v="Basic Labels 511"/>
    <s v="Second Class"/>
    <x v="0"/>
    <n v="2"/>
    <n v="2503.5300000000002"/>
    <n v="-0.16"/>
    <n v="-0.16"/>
    <n v="5808.1895999999997"/>
    <n v="4756.71"/>
    <n v="2954.86"/>
    <n v="1801.85"/>
    <s v="Refunded"/>
    <s v="Cancelled"/>
    <x v="1"/>
    <s v="Invalid - Negative Discount"/>
    <n v="1801.85"/>
    <n v="0.31022575433832256"/>
    <x v="0"/>
    <x v="1"/>
    <s v="Clean"/>
  </r>
  <r>
    <s v="ORD-2025-10203"/>
    <s v="2025-03-28"/>
    <d v="2025-03-28T00:00:00"/>
    <s v="28 Mar 2025"/>
    <d v="2025-03-28T00:00:00"/>
    <s v="Valid"/>
    <n v="0"/>
    <s v="Valid"/>
    <s v="CUST-9378"/>
    <s v="Sneha Kapoor"/>
    <s v="Sneha Kapoor"/>
    <s v="Corporate"/>
    <x v="2"/>
    <s v="West"/>
    <x v="3"/>
    <s v="Goa"/>
    <s v="Panaji"/>
    <s v="Technology"/>
    <x v="2"/>
    <x v="5"/>
    <s v="Prime Accessories 733"/>
    <s v="Standard Class"/>
    <x v="3"/>
    <n v="8"/>
    <n v="1740.94"/>
    <n v="0.05"/>
    <n v="0.05"/>
    <n v="13231.144"/>
    <n v="13231.14"/>
    <n v="11290.06"/>
    <n v="1941.08"/>
    <s v="Paid"/>
    <s v="Completed"/>
    <x v="0"/>
    <s v="Valid"/>
    <n v="1941.08"/>
    <n v="0.14670537936855649"/>
    <x v="11"/>
    <x v="1"/>
    <s v="Clean"/>
  </r>
  <r>
    <s v="ORD-2024-10204"/>
    <s v="28 Mar 2024"/>
    <d v="2024-03-28T00:00:00"/>
    <s v="2024-03-30"/>
    <d v="2024-03-30T00:00:00"/>
    <s v="Valid"/>
    <n v="2"/>
    <s v="Valid"/>
    <s v="CUST-3384"/>
    <s v="Sneha Kapoor"/>
    <s v="Sneha Kapoor"/>
    <s v="Corporate"/>
    <x v="2"/>
    <s v="West"/>
    <x v="3"/>
    <s v="Rajasthan"/>
    <s v="Udaipur"/>
    <s v="Technology"/>
    <x v="2"/>
    <x v="5"/>
    <s v="Max Accessories 186"/>
    <s v="Second Class"/>
    <x v="0"/>
    <n v="1"/>
    <n v="570.34"/>
    <n v="0.15"/>
    <n v="0.15"/>
    <n v="484.78899999999999"/>
    <n v="484.79"/>
    <n v="333.54"/>
    <n v="151.25"/>
    <s v="Paid"/>
    <s v="Completed"/>
    <x v="0"/>
    <s v="Valid"/>
    <n v="151.25"/>
    <n v="0.31199140244518753"/>
    <x v="11"/>
    <x v="0"/>
    <s v="Clean"/>
  </r>
  <r>
    <s v="ORD-2025-10205"/>
    <s v="20-07-2025"/>
    <d v="2025-07-20T00:00:00"/>
    <s v="2025-07-23"/>
    <d v="2025-07-23T00:00:00"/>
    <s v="Valid"/>
    <n v="3"/>
    <s v="Valid"/>
    <s v="CUST-1986"/>
    <s v="Mira Das"/>
    <s v="Mira Das"/>
    <s v="Home Office"/>
    <x v="3"/>
    <s v="East"/>
    <x v="1"/>
    <s v="West Bengal"/>
    <s v="Kolkata"/>
    <s v="Furniture"/>
    <x v="1"/>
    <x v="1"/>
    <s v="Elite Tables 318"/>
    <s v="Second Class"/>
    <x v="0"/>
    <n v="4"/>
    <n v="477.69"/>
    <n v="0.15"/>
    <n v="0.15"/>
    <n v="1624.146"/>
    <n v="1624.15"/>
    <n v="1217.99"/>
    <n v="406.16"/>
    <s v="Paid"/>
    <s v="Completed"/>
    <x v="0"/>
    <s v="Valid"/>
    <n v="406.16000000000008"/>
    <n v="0.25007603996192468"/>
    <x v="0"/>
    <x v="1"/>
    <s v="Clean"/>
  </r>
  <r>
    <s v="ORD-2025-10206"/>
    <s v="21-04-2025"/>
    <d v="2025-04-21T00:00:00"/>
    <s v="04/26/2025"/>
    <d v="2025-04-26T00:00:00"/>
    <s v="Valid"/>
    <n v="5"/>
    <s v="Valid"/>
    <s v="CUST-3338"/>
    <s v="Ananya Rao"/>
    <s v="Ananya Rao"/>
    <s v="Consumer"/>
    <x v="0"/>
    <s v="West"/>
    <x v="3"/>
    <s v="Maharashtra"/>
    <s v="Mumbai"/>
    <s v="Office Supplies"/>
    <x v="0"/>
    <x v="7"/>
    <s v="Smart Labels 354"/>
    <s v="Same Day"/>
    <x v="1"/>
    <n v="6"/>
    <n v="873.59"/>
    <n v="0.2"/>
    <n v="0.2"/>
    <n v="4193.232"/>
    <n v="4193.2299999999996"/>
    <n v="3329.99"/>
    <n v="863.24"/>
    <s v="Paid"/>
    <s v="Completed"/>
    <x v="0"/>
    <s v="Valid"/>
    <n v="863.23999999999978"/>
    <n v="0.20586507018929545"/>
    <x v="5"/>
    <x v="1"/>
    <s v="Clean"/>
  </r>
  <r>
    <s v="ORD-2025-10207"/>
    <s v="05/18/2025"/>
    <d v="2025-05-18T00:00:00"/>
    <s v="20 May 2025"/>
    <d v="2025-05-20T00:00:00"/>
    <s v="Valid"/>
    <n v="2"/>
    <s v="Valid"/>
    <s v="CUST-2343"/>
    <s v="Diya Patel"/>
    <s v="Diya Patel"/>
    <s v="Small Business"/>
    <x v="1"/>
    <s v="North"/>
    <x v="0"/>
    <s v="Uttar Pradesh"/>
    <s v="Noida"/>
    <s v="Furniture"/>
    <x v="1"/>
    <x v="3"/>
    <s v="Pro Furnishings 981"/>
    <s v="First Class"/>
    <x v="2"/>
    <n v="2"/>
    <n v="215.13"/>
    <n v="0"/>
    <n v="0"/>
    <n v="430.26"/>
    <n v="430.26"/>
    <n v="286.38"/>
    <n v="143.88"/>
    <s v="Paid"/>
    <s v="Completed"/>
    <x v="0"/>
    <s v="Valid"/>
    <n v="143.88"/>
    <n v="0.33440245432994004"/>
    <x v="4"/>
    <x v="1"/>
    <s v="Clean"/>
  </r>
  <r>
    <s v="ORD-2024-10208"/>
    <s v="10 Jul 2024"/>
    <d v="2024-07-10T00:00:00"/>
    <s v="2024-07-16"/>
    <d v="2024-07-16T00:00:00"/>
    <s v="Valid"/>
    <n v="6"/>
    <s v="Valid"/>
    <s v="CUST-3362"/>
    <s v="Aarav Sharma"/>
    <s v="Aarav Sharma"/>
    <s v="Home Office"/>
    <x v="3"/>
    <s v="West"/>
    <x v="3"/>
    <s v="Goa"/>
    <s v="Panaji"/>
    <s v="Furniture"/>
    <x v="1"/>
    <x v="10"/>
    <s v="Eco Bookcases 671"/>
    <s v="Second Class"/>
    <x v="0"/>
    <n v="2"/>
    <n v="1095.45"/>
    <n v="0.2"/>
    <n v="0.2"/>
    <n v="1752.7200000000003"/>
    <n v="1752.72"/>
    <n v="996.41"/>
    <n v="756.31"/>
    <s v="Paid"/>
    <s v="Completed"/>
    <x v="0"/>
    <s v="Valid"/>
    <n v="756.31000000000006"/>
    <n v="0.43150645853302294"/>
    <x v="0"/>
    <x v="0"/>
    <s v="Clean"/>
  </r>
  <r>
    <s v="ORD-2025-10209"/>
    <s v="06/29/2025"/>
    <d v="2025-06-29T00:00:00"/>
    <s v="05-07-2025"/>
    <d v="2025-07-05T00:00:00"/>
    <s v="Valid"/>
    <n v="6"/>
    <s v="Valid"/>
    <s v="CUST-3662"/>
    <s v="Diya Patel"/>
    <s v="Diya Patel"/>
    <s v="Consumer"/>
    <x v="0"/>
    <s v="North"/>
    <x v="0"/>
    <s v="Punjab"/>
    <s v="Ludhiana"/>
    <s v="Furniture"/>
    <x v="1"/>
    <x v="4"/>
    <s v="Max Chairs 151"/>
    <s v="Same Day"/>
    <x v="1"/>
    <n v="1"/>
    <n v="999.83"/>
    <n v="0"/>
    <n v="0"/>
    <n v="999.83"/>
    <n v="999.83"/>
    <n v="634.91"/>
    <n v="364.92"/>
    <s v="Paid"/>
    <s v="Completed"/>
    <x v="0"/>
    <s v="Valid"/>
    <n v="364.92000000000007"/>
    <n v="0.3649820469479812"/>
    <x v="2"/>
    <x v="1"/>
    <s v="Clean"/>
  </r>
  <r>
    <s v="ORD-2025-10210"/>
    <s v="08/13/2025"/>
    <d v="2025-08-13T00:00:00"/>
    <s v="08/14/2025"/>
    <d v="2025-08-14T00:00:00"/>
    <s v="Valid"/>
    <n v="1"/>
    <s v="Valid"/>
    <s v="CUST-4947"/>
    <s v="Rohan Mehta"/>
    <s v="Rohan Mehta"/>
    <s v="Small Business"/>
    <x v="1"/>
    <s v="South"/>
    <x v="2"/>
    <s v="Andhra Pradesh"/>
    <s v="Vijayawada"/>
    <s v="Office Supplies"/>
    <x v="0"/>
    <x v="0"/>
    <s v="Prime Paper 903"/>
    <s v="First Class"/>
    <x v="2"/>
    <n v="9"/>
    <n v="864.98"/>
    <n v="0.1"/>
    <n v="0.1"/>
    <n v="7006.3379999999997"/>
    <n v="7006.34"/>
    <n v="4640.88"/>
    <n v="2365.46"/>
    <s v="Paid"/>
    <s v="Completed"/>
    <x v="0"/>
    <s v="Valid"/>
    <n v="2365.46"/>
    <n v="0.33761716891191951"/>
    <x v="1"/>
    <x v="1"/>
    <s v="Clean"/>
  </r>
  <r>
    <s v="ORD-2024-10211"/>
    <s v="03/15/2024"/>
    <d v="2024-03-15T00:00:00"/>
    <s v="18-03-2024"/>
    <d v="2024-03-18T00:00:00"/>
    <s v="Valid"/>
    <n v="3"/>
    <s v="Valid"/>
    <s v="CUST-3076"/>
    <s v="Kabir Singh"/>
    <s v="Kabir Singh"/>
    <s v="Home Office"/>
    <x v="3"/>
    <s v="South"/>
    <x v="2"/>
    <s v="Karnataka"/>
    <s v="Bengaluru"/>
    <s v="Technology"/>
    <x v="2"/>
    <x v="12"/>
    <s v="Classic Machines 944"/>
    <s v="Second Class"/>
    <x v="0"/>
    <n v="1"/>
    <n v="4131.3599999999997"/>
    <n v="0"/>
    <n v="0"/>
    <n v="4131.3599999999997"/>
    <n v="4131.3599999999997"/>
    <n v="2937.07"/>
    <n v="1194.29"/>
    <s v="Failed"/>
    <s v="Returned"/>
    <x v="2"/>
    <s v="Valid"/>
    <n v="1194.2899999999995"/>
    <n v="0.28907914100925591"/>
    <x v="11"/>
    <x v="0"/>
    <s v="Clean"/>
  </r>
  <r>
    <s v="ORD-2024-10212"/>
    <s v="05/16/2024"/>
    <d v="2024-05-16T00:00:00"/>
    <s v="05/17/2024"/>
    <d v="2024-05-17T00:00:00"/>
    <s v="Valid"/>
    <n v="1"/>
    <s v="Valid"/>
    <s v="CUST-2222"/>
    <s v="Rohan Mehta"/>
    <s v="Rohan Mehta"/>
    <s v="Corporate"/>
    <x v="2"/>
    <s v="East"/>
    <x v="1"/>
    <s v="West Bengal"/>
    <s v="Kolkata"/>
    <s v="Technology"/>
    <x v="2"/>
    <x v="6"/>
    <s v="Basic Copiers 222"/>
    <s v="Second Class"/>
    <x v="0"/>
    <n v="8"/>
    <n v="4221.95"/>
    <n v="0.2"/>
    <n v="0.2"/>
    <n v="27020.48"/>
    <n v="27020.48"/>
    <n v="22885.24"/>
    <n v="4135.24"/>
    <s v="Paid"/>
    <s v="Completed"/>
    <x v="0"/>
    <s v="Valid"/>
    <n v="4135.239999999998"/>
    <n v="0.15304095264036752"/>
    <x v="4"/>
    <x v="0"/>
    <s v="Clean"/>
  </r>
  <r>
    <s v="ORD-2024-10213"/>
    <s v="09/21/2024"/>
    <d v="2024-09-21T00:00:00"/>
    <s v="2024-09-21"/>
    <d v="2024-09-21T00:00:00"/>
    <s v="Valid"/>
    <n v="0"/>
    <s v="Valid"/>
    <s v="CUST-3610"/>
    <s v="Ananya Rao"/>
    <s v="Ananya Rao"/>
    <s v="Small Business"/>
    <x v="1"/>
    <s v="East"/>
    <x v="1"/>
    <s v="Odisha"/>
    <s v="Bhubaneswar"/>
    <s v="Technology"/>
    <x v="2"/>
    <x v="11"/>
    <s v="Max Phones 329"/>
    <s v="Same Day"/>
    <x v="1"/>
    <n v="2"/>
    <n v="214.5"/>
    <n v="0.15"/>
    <n v="0.15"/>
    <n v="364.65"/>
    <n v="364.65"/>
    <n v="280.74"/>
    <n v="83.91"/>
    <s v="Paid"/>
    <s v="Completed"/>
    <x v="0"/>
    <s v="Valid"/>
    <n v="83.909999999999968"/>
    <n v="0.23011106540518297"/>
    <x v="7"/>
    <x v="0"/>
    <s v="Clean"/>
  </r>
  <r>
    <s v="ORD-2024-10214"/>
    <s v="15 May 2024"/>
    <d v="2024-05-15T00:00:00"/>
    <s v="21-05-2024"/>
    <d v="2024-05-21T00:00:00"/>
    <s v="Valid"/>
    <n v="6"/>
    <s v="Valid"/>
    <s v="CUST-9136"/>
    <s v="Isha Nair"/>
    <s v="Isha Nair"/>
    <s v="Small Business"/>
    <x v="1"/>
    <s v="East"/>
    <x v="1"/>
    <s v="Bihar"/>
    <s v="Patna"/>
    <s v="Technology"/>
    <x v="2"/>
    <x v="5"/>
    <s v="Classic Accessories 840"/>
    <s v="Second Class"/>
    <x v="0"/>
    <n v="4"/>
    <n v="4332.7299999999996"/>
    <n v="0.2"/>
    <n v="0.2"/>
    <n v="13864.735999999999"/>
    <n v="13864.74"/>
    <n v="11294.06"/>
    <n v="2570.6799999999998"/>
    <s v="Paid"/>
    <s v="Completed"/>
    <x v="0"/>
    <s v="Valid"/>
    <n v="2570.6800000000003"/>
    <n v="0.18541139189379449"/>
    <x v="4"/>
    <x v="0"/>
    <s v="Clean"/>
  </r>
  <r>
    <s v="ORD-2024-10215"/>
    <s v="17 Mar 2024"/>
    <d v="2024-03-17T00:00:00"/>
    <s v="23-03-2024"/>
    <d v="2024-03-23T00:00:00"/>
    <s v="Valid"/>
    <n v="6"/>
    <s v="Valid"/>
    <s v="CUST-1301"/>
    <s v="Rahul Verma"/>
    <s v="Rahul Verma"/>
    <s v="Consumer"/>
    <x v="0"/>
    <s v="North"/>
    <x v="0"/>
    <s v="Haryana"/>
    <s v="Gurugram"/>
    <s v="Technology"/>
    <x v="2"/>
    <x v="5"/>
    <s v="Classic Accessories 757"/>
    <s v="First Class"/>
    <x v="2"/>
    <n v="3"/>
    <n v="248.18"/>
    <n v="0.05"/>
    <n v="0.05"/>
    <n v="707.31299999999999"/>
    <n v="707.31"/>
    <n v="569"/>
    <n v="138.31"/>
    <s v="Paid"/>
    <s v="Completed"/>
    <x v="0"/>
    <s v="Valid"/>
    <n v="138.30999999999995"/>
    <n v="0.19554285019503381"/>
    <x v="11"/>
    <x v="0"/>
    <s v="Clean"/>
  </r>
  <r>
    <s v="ORD-2024-10216"/>
    <s v="01-03-2024"/>
    <d v="2024-03-01T00:00:00"/>
    <s v="2024-03-04"/>
    <d v="2024-03-04T00:00:00"/>
    <s v="Valid"/>
    <n v="3"/>
    <s v="Valid"/>
    <s v="CUST-8603"/>
    <s v="Mira Das"/>
    <s v="Mira Das"/>
    <s v="Consumer"/>
    <x v="0"/>
    <s v="West"/>
    <x v="3"/>
    <s v="Madhya Pradesh"/>
    <s v="Indore"/>
    <s v="Office Supplies"/>
    <x v="0"/>
    <x v="0"/>
    <s v="Prime Paper 286"/>
    <s v="First Class"/>
    <x v="2"/>
    <n v="8"/>
    <n v="3202.4"/>
    <n v="0.25"/>
    <n v="0.25"/>
    <n v="19214.400000000001"/>
    <n v="19214.400000000001"/>
    <n v="10916.01"/>
    <n v="8298.39"/>
    <s v="Paid"/>
    <s v="Completed"/>
    <x v="0"/>
    <s v="Valid"/>
    <n v="8298.3900000000012"/>
    <n v="0.43188389957531853"/>
    <x v="11"/>
    <x v="0"/>
    <s v="Clean"/>
  </r>
  <r>
    <s v="ORD-2025-10217"/>
    <s v="04/10/2025"/>
    <d v="2025-04-10T00:00:00"/>
    <s v="15 Apr 2025"/>
    <d v="2025-04-15T00:00:00"/>
    <s v="Valid"/>
    <n v="5"/>
    <s v="Valid"/>
    <s v="CUST-4330"/>
    <s v="Isha Nair"/>
    <s v="Isha Nair"/>
    <s v="Consumer"/>
    <x v="0"/>
    <s v="West"/>
    <x v="3"/>
    <s v="Gujarat"/>
    <s v="Ahmedabad"/>
    <s v="Furniture"/>
    <x v="1"/>
    <x v="1"/>
    <s v="Basic Tables 400"/>
    <s v="Standard Class"/>
    <x v="3"/>
    <n v="8"/>
    <n v="1839.87"/>
    <n v="0.25"/>
    <n v="0.25"/>
    <n v="11039.22"/>
    <n v="11039.22"/>
    <n v="7642.91"/>
    <n v="3396.31"/>
    <s v="Failed"/>
    <s v="Returned"/>
    <x v="2"/>
    <s v="Valid"/>
    <n v="3396.3099999999995"/>
    <n v="0.30765851210502188"/>
    <x v="5"/>
    <x v="1"/>
    <s v="Clean"/>
  </r>
  <r>
    <s v="ORD-2025-10218"/>
    <s v="01-04-2025"/>
    <d v="2025-04-01T00:00:00"/>
    <s v="04/08/2025"/>
    <d v="2025-04-08T00:00:00"/>
    <s v="Valid"/>
    <n v="7"/>
    <s v="Valid"/>
    <s v="CUST-4533"/>
    <s v="Aditi Sen"/>
    <s v="Aditi Sen"/>
    <s v="Consumer"/>
    <x v="0"/>
    <s v="East"/>
    <x v="1"/>
    <s v="Odisha"/>
    <s v="Bhubaneswar"/>
    <s v="Furniture"/>
    <x v="1"/>
    <x v="10"/>
    <s v="Basic Bookcases 405"/>
    <s v="Second Class"/>
    <x v="0"/>
    <n v="5"/>
    <n v="1021.28"/>
    <n v="0.1"/>
    <n v="0.1"/>
    <n v="4595.76"/>
    <n v="4595.76"/>
    <n v="3396.8"/>
    <n v="1198.96"/>
    <s v="Refunded"/>
    <s v="Cancelled"/>
    <x v="1"/>
    <s v="Valid"/>
    <n v="1198.96"/>
    <n v="0.26088394520166414"/>
    <x v="5"/>
    <x v="1"/>
    <s v="Clean"/>
  </r>
  <r>
    <s v="ORD-2025-10219"/>
    <s v="26 Feb 2025"/>
    <d v="2025-02-26T00:00:00"/>
    <s v="27-02-2025"/>
    <d v="2025-02-27T00:00:00"/>
    <s v="Valid"/>
    <n v="1"/>
    <s v="Valid"/>
    <s v="CUST-8270"/>
    <s v="Priya Menon"/>
    <s v="Priya Menon"/>
    <s v="Corporate"/>
    <x v="2"/>
    <s v="West"/>
    <x v="3"/>
    <s v="Gujarat"/>
    <s v="Ahmedabad"/>
    <s v="Furniture"/>
    <x v="1"/>
    <x v="10"/>
    <s v="Classic Bookcases 139"/>
    <s v="Standard Class"/>
    <x v="3"/>
    <n v="5"/>
    <n v="258.27999999999997"/>
    <n v="0"/>
    <n v="0"/>
    <n v="1291.3999999999999"/>
    <n v="1291.4000000000001"/>
    <n v="756.93"/>
    <n v="534.47"/>
    <s v="Paid"/>
    <s v="Completed"/>
    <x v="0"/>
    <s v="Valid"/>
    <n v="534.47000000000014"/>
    <n v="0.41386866966083335"/>
    <x v="6"/>
    <x v="1"/>
    <s v="Clean"/>
  </r>
  <r>
    <s v="ORD-2024-10220"/>
    <s v="2024-06-18"/>
    <d v="2024-06-18T00:00:00"/>
    <s v="06/19/2024"/>
    <d v="2024-06-19T00:00:00"/>
    <s v="Valid"/>
    <n v="1"/>
    <s v="Valid"/>
    <s v="CUST-1472"/>
    <s v="Rahul Verma"/>
    <s v="Rahul Verma"/>
    <s v="Consumer"/>
    <x v="0"/>
    <s v="East"/>
    <x v="1"/>
    <s v="Bihar"/>
    <s v="Patna"/>
    <s v="Technology"/>
    <x v="2"/>
    <x v="12"/>
    <s v="Elite Machines 290"/>
    <s v="First Class"/>
    <x v="2"/>
    <n v="2"/>
    <n v="121.49"/>
    <s v="85%"/>
    <s v="85%"/>
    <n v="36.447000000000003"/>
    <n v="242.98"/>
    <n v="161.41999999999999"/>
    <n v="81.56"/>
    <s v="Paid"/>
    <s v="Completed"/>
    <x v="0"/>
    <s v="Invalid - Discount Above Range"/>
    <n v="81.56"/>
    <n v="2.2377699124756494"/>
    <x v="2"/>
    <x v="0"/>
    <s v="Clean"/>
  </r>
  <r>
    <s v="ORD-2024-10221"/>
    <s v="09/03/2024"/>
    <d v="2024-09-03T00:00:00"/>
    <s v="09/03/2024"/>
    <d v="2024-09-03T00:00:00"/>
    <s v="Valid"/>
    <n v="0"/>
    <s v="Valid"/>
    <s v="CUST-1031"/>
    <s v="Sneha Kapoor"/>
    <s v="Sneha Kapoor"/>
    <s v="Consumer"/>
    <x v="0"/>
    <s v="South"/>
    <x v="2"/>
    <s v="Kerala"/>
    <s v="Kochi"/>
    <s v="Office Supplies"/>
    <x v="0"/>
    <x v="8"/>
    <s v="Elite Storage 925"/>
    <s v="First Class"/>
    <x v="2"/>
    <n v="4"/>
    <n v="2810.17"/>
    <n v="0.15"/>
    <n v="0.15"/>
    <n v="9554.5779999999995"/>
    <n v="9554.58"/>
    <n v="6068.47"/>
    <n v="3486.11"/>
    <s v="Refunded"/>
    <s v="Cancelled"/>
    <x v="1"/>
    <s v="Valid"/>
    <n v="3486.1099999999997"/>
    <n v="0.36486279142836031"/>
    <x v="7"/>
    <x v="0"/>
    <s v="Clean"/>
  </r>
  <r>
    <s v="ORD-2025-10222"/>
    <s v="12-01-2025"/>
    <d v="2025-01-12T00:00:00"/>
    <s v="2025-01-15"/>
    <d v="2025-01-15T00:00:00"/>
    <s v="Valid"/>
    <n v="3"/>
    <s v="Valid"/>
    <s v="CUST-2495"/>
    <s v="Mira Das"/>
    <s v="Mira Das"/>
    <s v="Corporate"/>
    <x v="2"/>
    <s v="South"/>
    <x v="2"/>
    <s v="Karnataka"/>
    <s v="Bengaluru"/>
    <s v="Furniture"/>
    <x v="1"/>
    <x v="4"/>
    <s v="Classic Chairs 231"/>
    <s v="Same Day"/>
    <x v="1"/>
    <n v="4"/>
    <n v="1531.53"/>
    <n v="0.2"/>
    <n v="0.2"/>
    <n v="4900.8959999999997"/>
    <n v="4900.8999999999996"/>
    <n v="3552.69"/>
    <n v="1348.21"/>
    <s v="Paid"/>
    <s v="Completed"/>
    <x v="0"/>
    <s v="Valid"/>
    <n v="1348.2099999999996"/>
    <n v="0.27509459494753608"/>
    <x v="10"/>
    <x v="1"/>
    <s v="Clean"/>
  </r>
  <r>
    <s v="ORD-2025-10223"/>
    <s v="04/29/2025"/>
    <d v="2025-04-29T00:00:00"/>
    <s v="02 May 2025"/>
    <d v="2025-05-02T00:00:00"/>
    <s v="Valid"/>
    <n v="3"/>
    <s v="Valid"/>
    <s v="CUST-4583"/>
    <s v="Vikram Iyer"/>
    <s v="Vikram Iyer"/>
    <s v="Small Business"/>
    <x v="1"/>
    <s v="West"/>
    <x v="3"/>
    <s v="Goa"/>
    <s v="Panaji"/>
    <s v="Office Supplies"/>
    <x v="0"/>
    <x v="8"/>
    <s v="Prime Storage 818"/>
    <s v="First Class"/>
    <x v="2"/>
    <n v="6"/>
    <n v="4308.09"/>
    <n v="0"/>
    <n v="0"/>
    <n v="25848.54"/>
    <n v="25848.54"/>
    <n v="17729.09"/>
    <n v="8119.45"/>
    <s v="Paid"/>
    <s v="Completed"/>
    <x v="0"/>
    <s v="Valid"/>
    <n v="8119.4500000000007"/>
    <n v="0.31411638723115504"/>
    <x v="5"/>
    <x v="1"/>
    <s v="Clean"/>
  </r>
  <r>
    <s v="ORD-2025-10224"/>
    <s v="19-02-2025"/>
    <d v="2025-02-19T00:00:00"/>
    <s v="02/26/2025"/>
    <d v="2025-02-26T00:00:00"/>
    <s v="Valid"/>
    <n v="7"/>
    <s v="Valid"/>
    <s v="CUST-5319"/>
    <s v="Mira Das"/>
    <s v="Mira Das"/>
    <s v="Corporate"/>
    <x v="2"/>
    <s v="West"/>
    <x v="3"/>
    <s v="Maharashtra"/>
    <s v="Mumbai"/>
    <s v="Furniture"/>
    <x v="1"/>
    <x v="3"/>
    <s v="Elite Furnishings 449"/>
    <s v="First Class"/>
    <x v="2"/>
    <n v="3"/>
    <n v="490.3"/>
    <n v="0.2"/>
    <n v="0.2"/>
    <n v="1176.72"/>
    <n v="1176.72"/>
    <n v="654.33000000000004"/>
    <n v="522.39"/>
    <s v="Pending"/>
    <s v="Returned"/>
    <x v="2"/>
    <s v="Valid"/>
    <n v="522.39"/>
    <n v="0.44393738527432181"/>
    <x v="6"/>
    <x v="1"/>
    <s v="Clean"/>
  </r>
  <r>
    <s v="ORD-2025-10225"/>
    <s v="10/02/2025"/>
    <d v="2025-10-02T00:00:00"/>
    <s v="08 Oct 2025"/>
    <d v="2025-10-08T00:00:00"/>
    <s v="Valid"/>
    <n v="6"/>
    <s v="Valid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n v="0.25"/>
    <n v="11833.92"/>
    <n v="11833.92"/>
    <n v="6682.92"/>
    <n v="5151"/>
    <s v="Paid"/>
    <s v="Cancelled"/>
    <x v="1"/>
    <s v="Valid"/>
    <n v="5151"/>
    <n v="0.43527419485681834"/>
    <x v="9"/>
    <x v="1"/>
    <s v="Clean"/>
  </r>
  <r>
    <s v="ORD-2024-10226"/>
    <s v="02 Sep 2024"/>
    <d v="2024-09-02T00:00:00"/>
    <s v="2024-09-10"/>
    <d v="2024-09-10T00:00:00"/>
    <s v="Valid"/>
    <n v="8"/>
    <s v="Valid"/>
    <s v="CUST-1266"/>
    <s v="Mira Das"/>
    <s v="Mira Das"/>
    <s v="Corporate"/>
    <x v="2"/>
    <s v="West"/>
    <x v="3"/>
    <s v="Goa"/>
    <s v="Panaji"/>
    <s v="Technology"/>
    <x v="2"/>
    <x v="11"/>
    <s v="Classic Phones 548"/>
    <s v="Standard Class"/>
    <x v="3"/>
    <n v="6"/>
    <n v="1032.47"/>
    <n v="0.15"/>
    <n v="0.15"/>
    <n v="5265.5969999999998"/>
    <n v="5265.6"/>
    <n v="4293.1099999999997"/>
    <n v="787.57"/>
    <s v="Paid"/>
    <s v="Completed"/>
    <x v="0"/>
    <s v="Valid"/>
    <n v="972.49000000000069"/>
    <n v="0.18468751026711705"/>
    <x v="7"/>
    <x v="0"/>
    <s v="Clean"/>
  </r>
  <r>
    <s v="ORD-2025-10227"/>
    <s v="10-04-2025"/>
    <d v="2025-04-10T00:00:00"/>
    <s v="15 Apr 2025"/>
    <d v="2025-04-15T00:00:00"/>
    <s v="Valid"/>
    <n v="5"/>
    <s v="Valid"/>
    <s v="CUST-2545"/>
    <s v="Diya Patel"/>
    <s v="Diya Patel"/>
    <s v="Home Office"/>
    <x v="3"/>
    <m/>
    <x v="4"/>
    <s v="Kerala"/>
    <s v="Kochi"/>
    <s v="Technology"/>
    <x v="2"/>
    <x v="6"/>
    <s v="Max Copiers 363"/>
    <s v="Same Day"/>
    <x v="1"/>
    <n v="1"/>
    <n v="2208.27"/>
    <n v="0.1"/>
    <n v="0.1"/>
    <n v="1987.443"/>
    <n v="1987.44"/>
    <n v="1110.23"/>
    <n v="877.21"/>
    <s v="Paid"/>
    <s v="Completed"/>
    <x v="0"/>
    <s v="Valid"/>
    <n v="877.21"/>
    <n v="0.44137618034831694"/>
    <x v="5"/>
    <x v="1"/>
    <s v="Clean"/>
  </r>
  <r>
    <s v="ORD-2024-10228"/>
    <s v="2024-07-05"/>
    <d v="2024-07-05T00:00:00"/>
    <s v="12 Jul 2024"/>
    <d v="2024-07-12T00:00:00"/>
    <s v="Valid"/>
    <n v="7"/>
    <s v="Valid"/>
    <s v="CUST-2819"/>
    <s v="Ananya Rao"/>
    <s v="Ananya Rao"/>
    <s v="Small Business"/>
    <x v="1"/>
    <s v="West"/>
    <x v="3"/>
    <s v="Goa"/>
    <s v="Panaji"/>
    <s v="Office Supplies"/>
    <x v="0"/>
    <x v="9"/>
    <s v="Prime Binders 507"/>
    <s v="First Class"/>
    <x v="2"/>
    <n v="3"/>
    <n v="577.75"/>
    <n v="0.15"/>
    <n v="0.15"/>
    <n v="1473.2625"/>
    <n v="1473.26"/>
    <n v="899.86"/>
    <n v="573.4"/>
    <s v="Paid"/>
    <s v="Completed"/>
    <x v="0"/>
    <s v="Valid"/>
    <n v="573.4"/>
    <n v="0.38920423210391902"/>
    <x v="0"/>
    <x v="0"/>
    <s v="Clean"/>
  </r>
  <r>
    <s v="ORD-2024-10229"/>
    <s v="24-04-2024"/>
    <d v="2024-04-24T00:00:00"/>
    <s v="28 Apr 2024"/>
    <d v="2024-04-28T00:00:00"/>
    <s v="Valid"/>
    <n v="4"/>
    <s v="Valid"/>
    <s v="CUST-1076"/>
    <s v="Karan Malhotra"/>
    <s v="Karan Malhotra"/>
    <s v="Small Business"/>
    <x v="1"/>
    <s v="South"/>
    <x v="2"/>
    <s v="Telangana"/>
    <s v="Hyderabad"/>
    <s v="Office Supplies"/>
    <x v="0"/>
    <x v="7"/>
    <s v="Smart Labels 914"/>
    <s v="Second Class"/>
    <x v="0"/>
    <n v="1"/>
    <n v="3194.37"/>
    <n v="0.15"/>
    <n v="0.15"/>
    <n v="2715.2145"/>
    <n v="2715.21"/>
    <n v="1551.55"/>
    <n v="1163.6600000000001"/>
    <s v="Paid"/>
    <s v="Completed"/>
    <x v="0"/>
    <s v="Valid"/>
    <n v="1163.6600000000001"/>
    <n v="0.42857019215240638"/>
    <x v="5"/>
    <x v="0"/>
    <s v="Clean"/>
  </r>
  <r>
    <s v="ORD-2025-10230"/>
    <s v="2025-06-28"/>
    <d v="2025-06-28T00:00:00"/>
    <s v="07/04/2025"/>
    <d v="2025-07-04T00:00:00"/>
    <s v="Valid"/>
    <n v="6"/>
    <s v="Valid"/>
    <s v="CUST-1943"/>
    <s v="Rohan Mehta"/>
    <s v="Rohan Mehta"/>
    <s v="Consumer"/>
    <x v="0"/>
    <s v="South"/>
    <x v="2"/>
    <s v="Telangana"/>
    <s v="Hyderabad"/>
    <s v="Furniture"/>
    <x v="1"/>
    <x v="10"/>
    <s v="Smart Bookcases 662"/>
    <s v="First Class"/>
    <x v="2"/>
    <n v="3"/>
    <n v="2886.23"/>
    <n v="0"/>
    <n v="0"/>
    <n v="8658.69"/>
    <n v="8658.69"/>
    <n v="5535.94"/>
    <n v="3122.75"/>
    <s v="Refunded"/>
    <s v="Returned"/>
    <x v="2"/>
    <s v="Valid"/>
    <n v="3122.7500000000009"/>
    <n v="0.36064924370776652"/>
    <x v="2"/>
    <x v="1"/>
    <s v="Clean"/>
  </r>
  <r>
    <s v="ORD-2024-10231"/>
    <s v="28-05-2024"/>
    <d v="2024-05-28T00:00:00"/>
    <s v="03-06-2024"/>
    <d v="2024-06-03T00:00:00"/>
    <s v="Valid"/>
    <n v="6"/>
    <s v="Valid"/>
    <s v="CUST-3434"/>
    <s v="Neha Gupta"/>
    <s v="Neha Gupta"/>
    <s v="Small Business"/>
    <x v="1"/>
    <s v="North"/>
    <x v="0"/>
    <s v="Rajasthan"/>
    <s v="Jaipur"/>
    <s v="Office Supplies"/>
    <x v="0"/>
    <x v="0"/>
    <s v="Eco Paper 937"/>
    <s v="Standard Class"/>
    <x v="3"/>
    <n v="8"/>
    <n v="1540.33"/>
    <n v="0.1"/>
    <n v="0.1"/>
    <n v="11090.376"/>
    <n v="11090.38"/>
    <n v="8840.9500000000007"/>
    <n v="2249.4299999999998"/>
    <s v="Paid"/>
    <s v="Completed"/>
    <x v="0"/>
    <s v="Valid"/>
    <n v="2249.4299999999985"/>
    <n v="0.20282720802252316"/>
    <x v="4"/>
    <x v="0"/>
    <s v="Clean"/>
  </r>
  <r>
    <s v="ORD-2024-10232"/>
    <s v="2024-05-02"/>
    <d v="2024-05-02T00:00:00"/>
    <s v="05/02/2024"/>
    <d v="2024-05-02T00:00:00"/>
    <s v="Valid"/>
    <n v="0"/>
    <s v="Valid"/>
    <s v="CUST-9139"/>
    <s v="Ananya Rao"/>
    <s v="Ananya Rao"/>
    <s v="Corporate"/>
    <x v="2"/>
    <s v="North"/>
    <x v="0"/>
    <s v="Rajasthan"/>
    <s v="Jaipur"/>
    <s v="Office  Supplies"/>
    <x v="0"/>
    <x v="7"/>
    <s v="Max Labels 370"/>
    <s v="First Class"/>
    <x v="2"/>
    <n v="7"/>
    <n v="2183.38"/>
    <n v="0.25"/>
    <n v="0.25"/>
    <n v="11462.744999999999"/>
    <n v="11462.74"/>
    <n v="7163.54"/>
    <n v="4299.2"/>
    <s v="Refunded"/>
    <s v="Cancelled"/>
    <x v="1"/>
    <s v="Valid"/>
    <n v="4299.2"/>
    <n v="0.37505850474733582"/>
    <x v="4"/>
    <x v="0"/>
    <s v="Clean"/>
  </r>
  <r>
    <s v="ORD-2025-10233"/>
    <s v="2025-06-04"/>
    <d v="2025-06-04T00:00:00"/>
    <s v="2025-06-10"/>
    <d v="2025-06-10T00:00:00"/>
    <s v="Valid"/>
    <n v="6"/>
    <s v="Valid"/>
    <s v="CUST-5341"/>
    <s v="Rahul Verma"/>
    <s v="Rahul Verma"/>
    <s v="Consumer"/>
    <x v="0"/>
    <s v="South"/>
    <x v="2"/>
    <s v="Andhra Pradesh"/>
    <s v="Vijayawada"/>
    <s v="Technology"/>
    <x v="2"/>
    <x v="11"/>
    <s v="Classic Phones 530"/>
    <s v="Standard Class"/>
    <x v="3"/>
    <n v="4"/>
    <n v="223.37"/>
    <n v="0.25"/>
    <n v="0.25"/>
    <n v="670.11"/>
    <n v="670.11"/>
    <n v="559.57000000000005"/>
    <n v="110.54"/>
    <s v="Paid"/>
    <s v="Completed"/>
    <x v="0"/>
    <s v="Valid"/>
    <n v="110.53999999999996"/>
    <n v="0.16495799197146732"/>
    <x v="2"/>
    <x v="1"/>
    <s v="Clean"/>
  </r>
  <r>
    <s v="ORD-2024-10234"/>
    <s v="14-10-2024"/>
    <d v="2024-10-14T00:00:00"/>
    <s v="10/14/2024"/>
    <d v="2024-10-14T00:00:00"/>
    <s v="Valid"/>
    <n v="0"/>
    <s v="Valid"/>
    <s v="CUST-3710"/>
    <s v="Vikram Iyer"/>
    <s v="Vikram Iyer"/>
    <s v="Corporate"/>
    <x v="2"/>
    <s v="South"/>
    <x v="2"/>
    <s v="Karnataka"/>
    <s v="Bengaluru"/>
    <s v="Furniture"/>
    <x v="1"/>
    <x v="10"/>
    <s v="Smart Bookcases 328"/>
    <m/>
    <x v="4"/>
    <n v="8"/>
    <n v="3904.59"/>
    <n v="0"/>
    <n v="0"/>
    <n v="31236.720000000001"/>
    <n v="31236.720000000001"/>
    <n v="26377.7"/>
    <n v="4859.0200000000004"/>
    <s v="Paid"/>
    <s v="Completed"/>
    <x v="0"/>
    <s v="Valid"/>
    <n v="4859.0200000000004"/>
    <n v="0.15555474454424154"/>
    <x v="9"/>
    <x v="0"/>
    <s v="Clean"/>
  </r>
  <r>
    <s v="ORD-2024-10235"/>
    <s v="09/02/2024"/>
    <d v="2024-09-02T00:00:00"/>
    <s v="03 Sep 2024"/>
    <d v="2024-09-03T00:00:00"/>
    <s v="Valid"/>
    <n v="1"/>
    <s v="Valid"/>
    <s v="CUST-9754"/>
    <s v="Kabir Singh"/>
    <s v="Kabir Singh"/>
    <s v="Home Office"/>
    <x v="3"/>
    <s v="North"/>
    <x v="0"/>
    <s v="Delhi"/>
    <s v="New Delhi"/>
    <s v="Furniture"/>
    <x v="1"/>
    <x v="3"/>
    <s v="Eco Furnishings 981"/>
    <s v="First Class"/>
    <x v="2"/>
    <n v="9"/>
    <n v="1353.61"/>
    <n v="0.1"/>
    <n v="0.1"/>
    <n v="10964.241"/>
    <n v="10964.24"/>
    <n v="9262.4699999999993"/>
    <n v="1701.77"/>
    <s v="Paid"/>
    <s v="Completed"/>
    <x v="0"/>
    <s v="Valid"/>
    <n v="1701.7700000000004"/>
    <n v="0.15521092613706688"/>
    <x v="7"/>
    <x v="0"/>
    <s v="Clean"/>
  </r>
  <r>
    <s v="ORD-2024-10236"/>
    <s v="11/02/2024"/>
    <d v="2024-11-02T00:00:00"/>
    <s v="11/03/2024"/>
    <d v="2024-11-03T00:00:00"/>
    <s v="Valid"/>
    <n v="1"/>
    <s v="Valid"/>
    <s v="CUST-6256"/>
    <s v="Rahul Verma"/>
    <s v="Rahul Verma"/>
    <s v="Small Business"/>
    <x v="1"/>
    <s v="West"/>
    <x v="3"/>
    <s v="Rajasthan"/>
    <s v="Udaipur"/>
    <s v="Office Supplies"/>
    <x v="0"/>
    <x v="8"/>
    <s v="Basic Storage 195"/>
    <s v="Standard Class"/>
    <x v="3"/>
    <n v="6"/>
    <n v="2671.29"/>
    <n v="0.05"/>
    <n v="0.05"/>
    <n v="15226.352999999999"/>
    <n v="15226.35"/>
    <n v="11145.28"/>
    <n v="4081.07"/>
    <s v="Paid"/>
    <s v="Completed"/>
    <x v="0"/>
    <s v="Valid"/>
    <n v="4081.0699999999997"/>
    <n v="0.26802675598024028"/>
    <x v="3"/>
    <x v="0"/>
    <s v="Clean"/>
  </r>
  <r>
    <s v="ORD-2024-10237"/>
    <s v="10/14/2024"/>
    <d v="2024-10-14T00:00:00"/>
    <s v="21 Oct 2024"/>
    <d v="2024-10-21T00:00:00"/>
    <s v="Valid"/>
    <n v="7"/>
    <s v="Valid"/>
    <s v="CUST-7113"/>
    <s v="Priya Menon"/>
    <s v="Priya Menon"/>
    <s v="Corporate"/>
    <x v="2"/>
    <s v="North"/>
    <x v="0"/>
    <s v="Uttar Pradesh"/>
    <s v="Noida"/>
    <s v="Furniture"/>
    <x v="1"/>
    <x v="10"/>
    <s v="Elite Bookcases 907"/>
    <s v="First Class"/>
    <x v="2"/>
    <n v="6"/>
    <n v="4062.78"/>
    <n v="0"/>
    <n v="0"/>
    <n v="24376.68"/>
    <n v="24376.68"/>
    <n v="18533.39"/>
    <n v="5843.29"/>
    <s v="Paid"/>
    <s v="Completed"/>
    <x v="0"/>
    <s v="Valid"/>
    <n v="5843.2900000000009"/>
    <n v="0.23970819652224998"/>
    <x v="9"/>
    <x v="0"/>
    <s v="Clean"/>
  </r>
  <r>
    <s v="ORD-2024-10238"/>
    <s v="2024-08-27"/>
    <d v="2024-08-27T00:00:00"/>
    <s v="2024-08-27"/>
    <d v="2024-08-27T00:00:00"/>
    <s v="Valid"/>
    <n v="0"/>
    <s v="Valid"/>
    <s v="CUST-3827"/>
    <s v="Mira Das"/>
    <s v="Mira Das"/>
    <s v="Consumer"/>
    <x v="0"/>
    <s v="North"/>
    <x v="0"/>
    <s v="Haryana"/>
    <s v="Gurugram"/>
    <s v="Technology"/>
    <x v="2"/>
    <x v="6"/>
    <s v="Smart Copiers 471"/>
    <s v="Standard Class"/>
    <x v="3"/>
    <n v="9"/>
    <n v="2330.3000000000002"/>
    <n v="0"/>
    <n v="0"/>
    <n v="20972.7"/>
    <n v="20972.7"/>
    <n v="13504.88"/>
    <n v="7467.82"/>
    <s v="Paid"/>
    <s v="Completed"/>
    <x v="0"/>
    <s v="Valid"/>
    <n v="7467.8200000000015"/>
    <n v="0.35607337157352181"/>
    <x v="1"/>
    <x v="0"/>
    <s v="Clean"/>
  </r>
  <r>
    <s v="ORD-2024-10239"/>
    <s v="01/12/2024"/>
    <d v="2024-01-12T00:00:00"/>
    <s v="01/17/2024"/>
    <d v="2024-01-17T00:00:00"/>
    <s v="Valid"/>
    <n v="5"/>
    <s v="Valid"/>
    <s v="CUST-2375"/>
    <s v="Arjun Bose"/>
    <s v="Arjun Bose"/>
    <s v="Consumer"/>
    <x v="0"/>
    <s v="South"/>
    <x v="2"/>
    <s v="Andhra Pradesh"/>
    <s v="Vijayawada"/>
    <s v="Office Supplies"/>
    <x v="0"/>
    <x v="8"/>
    <s v="Prime Storage 625"/>
    <s v="First Class"/>
    <x v="2"/>
    <n v="7"/>
    <n v="4005.05"/>
    <n v="0.55000000000000004"/>
    <n v="0.55000000000000004"/>
    <n v="12615.907499999999"/>
    <n v="26633.58"/>
    <n v="18838.75"/>
    <n v="7794.83"/>
    <s v="Paid"/>
    <s v="Completed"/>
    <x v="0"/>
    <s v="Valid"/>
    <n v="7794.8300000000017"/>
    <n v="0.617857256800591"/>
    <x v="10"/>
    <x v="0"/>
    <s v="Clean"/>
  </r>
  <r>
    <s v="ORD-2024-10240"/>
    <s v="21-09-2024"/>
    <d v="2024-09-21T00:00:00"/>
    <s v="09/21/2024"/>
    <d v="2024-09-21T00:00:00"/>
    <s v="Valid"/>
    <n v="0"/>
    <s v="Valid"/>
    <s v="CUST-2233"/>
    <s v="Kabir Singh"/>
    <s v="Kabir Singh"/>
    <s v="Corporate"/>
    <x v="2"/>
    <s v="South"/>
    <x v="2"/>
    <s v="Karnataka"/>
    <s v="Bengaluru"/>
    <s v="Technology"/>
    <x v="2"/>
    <x v="12"/>
    <s v="Smart Machines 801"/>
    <s v="First Class"/>
    <x v="2"/>
    <n v="2"/>
    <n v="1960.06"/>
    <n v="0.2"/>
    <n v="0.2"/>
    <n v="3136.096"/>
    <n v="3136.1"/>
    <n v="2279.4899999999998"/>
    <n v="856.61"/>
    <s v="Paid"/>
    <s v="Completed"/>
    <x v="0"/>
    <s v="Valid"/>
    <n v="856.61000000000013"/>
    <n v="0.27314533738763103"/>
    <x v="7"/>
    <x v="0"/>
    <s v="Clean"/>
  </r>
  <r>
    <s v="ORD-2024-10241"/>
    <s v="17 Dec 2024"/>
    <d v="2024-12-17T00:00:00"/>
    <s v="23-12-2024"/>
    <d v="2024-12-23T00:00:00"/>
    <s v="Valid"/>
    <n v="6"/>
    <s v="Valid"/>
    <s v="CUST-9778"/>
    <s v="Aarav Sharma"/>
    <s v="Aarav Sharma"/>
    <s v="Corporate"/>
    <x v="2"/>
    <s v="South"/>
    <x v="2"/>
    <s v="Telangana"/>
    <s v="Hyderabad"/>
    <s v="Office Supplies"/>
    <x v="0"/>
    <x v="9"/>
    <s v="Max Binders 170"/>
    <s v="First Class"/>
    <x v="2"/>
    <n v="9"/>
    <n v="2315.1"/>
    <n v="0"/>
    <n v="0"/>
    <n v="20835.899999999998"/>
    <n v="20835.900000000001"/>
    <n v="13928.19"/>
    <n v="6907.71"/>
    <s v="Paid"/>
    <s v="Completed"/>
    <x v="0"/>
    <s v="Valid"/>
    <n v="6907.7100000000009"/>
    <n v="0.33152923559817438"/>
    <x v="8"/>
    <x v="0"/>
    <s v="Clean"/>
  </r>
  <r>
    <s v="ORD-2025-10242"/>
    <s v="07/06/2025"/>
    <d v="2025-07-06T00:00:00"/>
    <s v="06-07-2025"/>
    <d v="2025-07-06T00:00:00"/>
    <s v="Valid"/>
    <n v="0"/>
    <s v="Valid"/>
    <s v="CUST-6949"/>
    <s v="Sneha Kapoor"/>
    <s v="Sneha Kapoor"/>
    <s v="Corporate"/>
    <x v="2"/>
    <s v="North"/>
    <x v="0"/>
    <s v="Haryana"/>
    <s v="Gurugram"/>
    <s v="Office Supplies"/>
    <x v="0"/>
    <x v="8"/>
    <s v="Basic Storage 737"/>
    <s v="Standard Class"/>
    <x v="3"/>
    <n v="1"/>
    <n v="1617.2"/>
    <n v="0.25"/>
    <n v="0.25"/>
    <n v="1212.9000000000001"/>
    <n v="1212.9000000000001"/>
    <n v="690.52"/>
    <n v="522.38"/>
    <s v="Pending"/>
    <s v="Returned"/>
    <x v="2"/>
    <s v="Valid"/>
    <n v="522.38000000000011"/>
    <n v="0.4306867837414462"/>
    <x v="0"/>
    <x v="1"/>
    <s v="Clean"/>
  </r>
  <r>
    <s v="ORD-2025-10243"/>
    <s v="07 Feb 2025"/>
    <d v="2025-02-07T00:00:00"/>
    <s v="2025-02-07"/>
    <d v="2025-02-07T00:00:00"/>
    <s v="Valid"/>
    <n v="0"/>
    <s v="Valid"/>
    <s v="CUST-3430"/>
    <s v="Arjun Bose"/>
    <s v="Arjun Bose"/>
    <s v="Consumer"/>
    <x v="0"/>
    <s v="North"/>
    <x v="0"/>
    <s v="Uttar Pradesh"/>
    <s v="Noida"/>
    <s v="Office Supplies"/>
    <x v="0"/>
    <x v="2"/>
    <s v="Classic Art 126"/>
    <s v="Second Class"/>
    <x v="0"/>
    <n v="3"/>
    <n v="1999.24"/>
    <n v="0.05"/>
    <n v="0.05"/>
    <n v="5697.8339999999998"/>
    <n v="5697.83"/>
    <n v="4251.5"/>
    <n v="1446.33"/>
    <s v="Paid"/>
    <s v="Completed"/>
    <x v="0"/>
    <s v="Valid"/>
    <n v="1446.33"/>
    <n v="0.25383856391744652"/>
    <x v="6"/>
    <x v="1"/>
    <s v="Clean"/>
  </r>
  <r>
    <s v="ORD-2025-10244"/>
    <s v="29-07-2025"/>
    <d v="2025-07-29T00:00:00"/>
    <s v="02 Aug 2025"/>
    <d v="2025-08-02T00:00:00"/>
    <s v="Valid"/>
    <n v="4"/>
    <s v="Valid"/>
    <s v="CUST-6310"/>
    <s v="Sneha Kapoor"/>
    <s v="Sneha Kapoor"/>
    <s v="Small Business"/>
    <x v="1"/>
    <m/>
    <x v="4"/>
    <s v="Madhya Pradesh"/>
    <s v="Indore"/>
    <s v="Technology"/>
    <x v="2"/>
    <x v="5"/>
    <s v="Prime Accessories 243"/>
    <s v="First Class"/>
    <x v="2"/>
    <n v="1"/>
    <n v="4499.46"/>
    <n v="0.1"/>
    <n v="0.1"/>
    <n v="4049.5140000000001"/>
    <n v="4049.51"/>
    <n v="2509.1999999999998"/>
    <n v="1540.31"/>
    <s v="Paid"/>
    <s v="Completed"/>
    <x v="0"/>
    <s v="Valid"/>
    <n v="1540.3100000000004"/>
    <n v="0.38036910108225341"/>
    <x v="0"/>
    <x v="1"/>
    <s v="Clean"/>
  </r>
  <r>
    <s v="ORD-2024-10245"/>
    <s v="08/23/2024"/>
    <d v="2024-08-23T00:00:00"/>
    <s v="2024-08-24"/>
    <d v="2024-08-24T00:00:00"/>
    <s v="Valid"/>
    <n v="1"/>
    <s v="Valid"/>
    <s v="CUST-6008"/>
    <s v="Neha Gupta"/>
    <s v="Neha Gupta"/>
    <s v="Consumer"/>
    <x v="0"/>
    <s v="South"/>
    <x v="2"/>
    <s v="Telangana"/>
    <s v="Hyderabad"/>
    <s v="Furniture"/>
    <x v="1"/>
    <x v="10"/>
    <s v="Eco Bookcases 768"/>
    <s v="Same Day"/>
    <x v="1"/>
    <n v="6"/>
    <n v="1021.89"/>
    <n v="0"/>
    <n v="0"/>
    <n v="6131.34"/>
    <n v="6131.34"/>
    <n v="4060.88"/>
    <n v="2070.46"/>
    <s v="Paid"/>
    <s v="Completed"/>
    <x v="0"/>
    <s v="Valid"/>
    <n v="2070.46"/>
    <n v="0.33768474754295147"/>
    <x v="1"/>
    <x v="0"/>
    <s v="Clean"/>
  </r>
  <r>
    <s v="ORD-2024-10246"/>
    <s v="10/18/2024"/>
    <d v="2024-10-18T00:00:00"/>
    <s v="24-10-2024"/>
    <d v="2024-10-24T00:00:00"/>
    <s v="Valid"/>
    <n v="6"/>
    <s v="Valid"/>
    <s v="CUST-1704"/>
    <s v="Neha Gupta"/>
    <s v="Neha Gupta"/>
    <s v="Home Office"/>
    <x v="3"/>
    <s v="South"/>
    <x v="2"/>
    <s v="Kerala"/>
    <s v="Kochi"/>
    <s v="Furniture"/>
    <x v="1"/>
    <x v="4"/>
    <s v="Pro Chairs 316"/>
    <s v="Second Class"/>
    <x v="0"/>
    <n v="3"/>
    <n v="3275.93"/>
    <n v="0"/>
    <n v="0"/>
    <n v="9827.7899999999991"/>
    <n v="9827.7900000000009"/>
    <n v="5478.28"/>
    <n v="4349.51"/>
    <s v="Paid"/>
    <s v="Completed"/>
    <x v="0"/>
    <s v="Valid"/>
    <n v="4349.5100000000011"/>
    <n v="0.44257254174132754"/>
    <x v="9"/>
    <x v="0"/>
    <s v="Clean"/>
  </r>
  <r>
    <s v="ORD-2024-10247"/>
    <s v="04 May 2024"/>
    <d v="2024-05-04T00:00:00"/>
    <s v="09 May 2024"/>
    <d v="2024-05-09T00:00:00"/>
    <s v="Valid"/>
    <n v="5"/>
    <s v="Valid"/>
    <s v="CUST-1827"/>
    <s v="Ananya Rao"/>
    <s v="Ananya Rao"/>
    <s v="Corporate"/>
    <x v="2"/>
    <s v="North"/>
    <x v="0"/>
    <s v="Punjab"/>
    <s v="Ludhiana"/>
    <s v="Technology"/>
    <x v="2"/>
    <x v="12"/>
    <s v="Classic Machines 819"/>
    <s v="Same Day"/>
    <x v="1"/>
    <n v="3"/>
    <n v="231.95"/>
    <n v="0.25"/>
    <n v="0.25"/>
    <n v="521.88749999999993"/>
    <n v="521.89"/>
    <n v="444.52"/>
    <n v="77.37"/>
    <s v="Refunded"/>
    <s v="Cancelled"/>
    <x v="1"/>
    <s v="Valid"/>
    <n v="77.37"/>
    <n v="0.14825034130919024"/>
    <x v="4"/>
    <x v="0"/>
    <s v="Clean"/>
  </r>
  <r>
    <s v="ORD-2024-10248"/>
    <s v="07/25/2024"/>
    <d v="2024-07-25T00:00:00"/>
    <s v="01 Aug 2024"/>
    <d v="2024-08-01T00:00:00"/>
    <s v="Valid"/>
    <n v="7"/>
    <s v="Valid"/>
    <s v="CUST-6663"/>
    <s v="Rahul Verma"/>
    <s v="Rahul Verma"/>
    <s v="Corporate"/>
    <x v="2"/>
    <s v="North"/>
    <x v="0"/>
    <s v="Rajasthan"/>
    <s v="Jaipur"/>
    <s v="Technology"/>
    <x v="2"/>
    <x v="5"/>
    <s v="Smart Accessories 572"/>
    <s v="Second Class"/>
    <x v="0"/>
    <n v="8"/>
    <n v="2493.4"/>
    <n v="0.25"/>
    <n v="0.25"/>
    <n v="14960.400000000001"/>
    <n v="14960.4"/>
    <n v="12500.84"/>
    <n v="2459.56"/>
    <s v="Paid"/>
    <s v="Completed"/>
    <x v="0"/>
    <s v="Valid"/>
    <n v="2459.5599999999995"/>
    <n v="0.16440469506162933"/>
    <x v="0"/>
    <x v="0"/>
    <s v="Clean"/>
  </r>
  <r>
    <s v="ORD-2024-10249"/>
    <s v="06/02/2024"/>
    <d v="2024-06-02T00:00:00"/>
    <s v="07-06-2024"/>
    <d v="2024-06-07T00:00:00"/>
    <s v="Valid"/>
    <n v="5"/>
    <s v="Valid"/>
    <s v="CUST-6278"/>
    <s v="Rohan Mehta"/>
    <s v="Rohan Mehta"/>
    <s v="Home Office"/>
    <x v="3"/>
    <s v="East"/>
    <x v="1"/>
    <s v="Odisha"/>
    <s v="Bhubaneswar"/>
    <s v="Office Supplies"/>
    <x v="0"/>
    <x v="7"/>
    <s v="Basic Labels 432"/>
    <s v="Second Class"/>
    <x v="0"/>
    <n v="9"/>
    <n v="787.91"/>
    <n v="0.15"/>
    <n v="0.15"/>
    <n v="6027.5114999999996"/>
    <n v="6027.51"/>
    <n v="4883.82"/>
    <n v="1143.69"/>
    <s v="Paid"/>
    <s v="Completed"/>
    <x v="0"/>
    <s v="Valid"/>
    <n v="1143.6900000000005"/>
    <n v="0.18974497186774353"/>
    <x v="2"/>
    <x v="0"/>
    <s v="Clean"/>
  </r>
  <r>
    <s v="ORD-2025-10250"/>
    <s v="08/01/2025"/>
    <d v="2025-08-01T00:00:00"/>
    <s v="08/02/2025"/>
    <d v="2025-08-02T00:00:00"/>
    <s v="Valid"/>
    <n v="1"/>
    <s v="Valid"/>
    <s v="CUST-2305"/>
    <s v="Mira Das"/>
    <s v="Mira Das"/>
    <s v="Corporate"/>
    <x v="2"/>
    <s v="North"/>
    <x v="0"/>
    <s v="Rajasthan"/>
    <s v="Jaipur"/>
    <s v="Furniture"/>
    <x v="1"/>
    <x v="3"/>
    <s v="Classic Furnishings 378"/>
    <s v="First Class"/>
    <x v="2"/>
    <n v="4"/>
    <n v="2790.29"/>
    <n v="0.2"/>
    <n v="0.2"/>
    <n v="8928.9279999999999"/>
    <n v="8928.93"/>
    <n v="5634.38"/>
    <n v="3294.55"/>
    <s v="Paid"/>
    <s v="Completed"/>
    <x v="0"/>
    <s v="Valid"/>
    <n v="3294.55"/>
    <n v="0.36897486461980655"/>
    <x v="1"/>
    <x v="1"/>
    <s v="Clean"/>
  </r>
  <r>
    <s v="ORD-2024-10251"/>
    <s v="02/21/2024"/>
    <d v="2024-02-21T00:00:00"/>
    <s v="02/27/2024"/>
    <d v="2024-02-27T00:00:00"/>
    <s v="Valid"/>
    <n v="6"/>
    <s v="Valid"/>
    <s v="CUST-5351"/>
    <s v="Arjun Bose"/>
    <s v="Arjun Bose"/>
    <s v="Small Business"/>
    <x v="1"/>
    <s v="East"/>
    <x v="1"/>
    <s v="West Bengal"/>
    <s v="Kolkata"/>
    <s v="Furniture"/>
    <x v="1"/>
    <x v="3"/>
    <s v="Prime Furnishings 781"/>
    <s v="Standard Class"/>
    <x v="3"/>
    <n v="5"/>
    <n v="3373.86"/>
    <n v="0.15"/>
    <n v="0.15"/>
    <n v="14338.904999999999"/>
    <n v="14338.9"/>
    <n v="11897.65"/>
    <n v="2441.25"/>
    <s v="Pending"/>
    <s v="Returned"/>
    <x v="2"/>
    <s v="Valid"/>
    <n v="2441.25"/>
    <n v="0.17025358630941487"/>
    <x v="6"/>
    <x v="0"/>
    <s v="Clean"/>
  </r>
  <r>
    <s v="ORD-2025-10252"/>
    <s v="2025-04-06"/>
    <d v="2025-04-06T00:00:00"/>
    <s v="04/10/2025"/>
    <d v="2025-04-10T00:00:00"/>
    <s v="Valid"/>
    <n v="4"/>
    <s v="Valid"/>
    <s v="CUST-6268"/>
    <s v="Ananya Rao"/>
    <s v="Ananya Rao"/>
    <s v="Corporate"/>
    <x v="2"/>
    <s v="West"/>
    <x v="3"/>
    <s v="Gujarat"/>
    <s v="Ahmedabad"/>
    <s v="Furniture"/>
    <x v="1"/>
    <x v="1"/>
    <s v="Prime Tables 263"/>
    <s v="Second Class"/>
    <x v="0"/>
    <n v="6"/>
    <n v="1022.16"/>
    <n v="0"/>
    <n v="0"/>
    <n v="6132.96"/>
    <n v="6132.96"/>
    <n v="4881.1000000000004"/>
    <n v="1251.8599999999999"/>
    <s v="Paid"/>
    <s v="Completed"/>
    <x v="0"/>
    <s v="Valid"/>
    <n v="1251.8599999999997"/>
    <n v="0.20412003339333692"/>
    <x v="5"/>
    <x v="1"/>
    <s v="Clean"/>
  </r>
  <r>
    <s v="ORD-2025-10253"/>
    <s v="25-06-2025"/>
    <d v="2025-06-25T00:00:00"/>
    <s v="2025-06-28"/>
    <d v="2025-06-28T00:00:00"/>
    <s v="Valid"/>
    <n v="3"/>
    <s v="Valid"/>
    <s v="CUST-2103"/>
    <s v="Arjun Bose"/>
    <s v="Arjun Bose"/>
    <s v="Corporate"/>
    <x v="2"/>
    <s v="North"/>
    <x v="0"/>
    <s v="Haryana"/>
    <s v="Gurugram"/>
    <s v="Office Supplies"/>
    <x v="0"/>
    <x v="8"/>
    <s v="Basic Storage 269"/>
    <s v="First Class"/>
    <x v="2"/>
    <n v="2"/>
    <n v="1455.92"/>
    <n v="0.2"/>
    <n v="0.2"/>
    <n v="2329.4720000000002"/>
    <n v="2329.4699999999998"/>
    <n v="1603.62"/>
    <n v="725.85"/>
    <s v="Pending"/>
    <s v="Returned"/>
    <x v="2"/>
    <s v="Valid"/>
    <n v="725.84999999999991"/>
    <n v="0.31159421534150222"/>
    <x v="2"/>
    <x v="1"/>
    <s v="Clean"/>
  </r>
  <r>
    <s v="ORD-2024-10254"/>
    <s v="2024-09-12"/>
    <d v="2024-09-12T00:00:00"/>
    <s v="09/13/2024"/>
    <d v="2024-09-13T00:00:00"/>
    <s v="Valid"/>
    <n v="1"/>
    <s v="Valid"/>
    <s v="CUST-5394"/>
    <s v="Priya Menon"/>
    <s v="Priya Menon"/>
    <s v="Small Business"/>
    <x v="1"/>
    <s v="North"/>
    <x v="0"/>
    <s v="Rajasthan"/>
    <s v="Jaipur"/>
    <s v="Technology"/>
    <x v="2"/>
    <x v="11"/>
    <s v="Classic Phones 442"/>
    <s v="Same Day"/>
    <x v="1"/>
    <n v="6"/>
    <n v="832.79"/>
    <n v="0.05"/>
    <n v="0.05"/>
    <n v="4746.9029999999993"/>
    <n v="4746.8999999999996"/>
    <n v="2825.38"/>
    <n v="1472.89"/>
    <s v="Refunded"/>
    <s v="Cancelled"/>
    <x v="1"/>
    <s v="Valid"/>
    <n v="1921.5199999999995"/>
    <n v="0.40479445229868816"/>
    <x v="7"/>
    <x v="0"/>
    <s v="Clean"/>
  </r>
  <r>
    <s v="ORD-2025-10255"/>
    <s v="01/01/2025"/>
    <d v="2025-01-01T00:00:00"/>
    <s v="03-01-2025"/>
    <d v="2025-01-03T00:00:00"/>
    <s v="Valid"/>
    <n v="2"/>
    <s v="Valid"/>
    <s v="CUST-6853"/>
    <s v="Ananya Rao"/>
    <s v="Ananya Rao"/>
    <s v="Consumer"/>
    <x v="0"/>
    <s v="West"/>
    <x v="3"/>
    <s v="Madhya Pradesh"/>
    <s v="Indore"/>
    <s v="Technology"/>
    <x v="2"/>
    <x v="5"/>
    <s v="Elite Accessories 978"/>
    <s v="Same Day"/>
    <x v="1"/>
    <n v="7"/>
    <n v="1000.55"/>
    <n v="0.2"/>
    <n v="0.2"/>
    <n v="5603.08"/>
    <n v="5603.08"/>
    <n v="3132.52"/>
    <n v="2470.56"/>
    <s v="Paid"/>
    <s v="Returned"/>
    <x v="2"/>
    <s v="Valid"/>
    <n v="2470.56"/>
    <n v="0.44092891766671188"/>
    <x v="10"/>
    <x v="1"/>
    <s v="Clean"/>
  </r>
  <r>
    <s v="ORD-2025-10256"/>
    <s v="2025-02-04"/>
    <d v="2025-02-04T00:00:00"/>
    <s v="02/10/2025"/>
    <d v="2025-02-10T00:00:00"/>
    <s v="Valid"/>
    <n v="6"/>
    <s v="Valid"/>
    <s v="CUST-1549"/>
    <s v="Isha Nair"/>
    <s v="Isha Nair"/>
    <s v="Corporate"/>
    <x v="2"/>
    <s v="West"/>
    <x v="3"/>
    <s v="Maharashtra"/>
    <s v="Mumbai"/>
    <s v="Technology"/>
    <x v="2"/>
    <x v="11"/>
    <s v="Eco Phones 132"/>
    <s v="First Class"/>
    <x v="2"/>
    <n v="7"/>
    <n v="1830"/>
    <n v="0"/>
    <n v="0"/>
    <n v="12810"/>
    <n v="12810"/>
    <n v="9334.1200000000008"/>
    <n v="3475.88"/>
    <s v="Paid"/>
    <s v="Completed"/>
    <x v="0"/>
    <s v="Valid"/>
    <n v="3475.8799999999992"/>
    <n v="0.27134113973458229"/>
    <x v="6"/>
    <x v="1"/>
    <s v="Clean"/>
  </r>
  <r>
    <s v="ORD-2024-10257"/>
    <s v="2024-11-05"/>
    <d v="2024-11-05T00:00:00"/>
    <s v="03 Nov 2024"/>
    <d v="2024-11-03T00:00:00"/>
    <s v="Invalid Shipping Record"/>
    <n v="-2"/>
    <s v="Invalid Shipping Record"/>
    <s v="CUST-8411"/>
    <s v="Ananya Rao"/>
    <s v="Ananya Rao"/>
    <s v="Consumer"/>
    <x v="0"/>
    <s v="East"/>
    <x v="1"/>
    <s v="West Bengal"/>
    <s v="Kolkata"/>
    <s v="Furniture"/>
    <x v="1"/>
    <x v="1"/>
    <s v="Prime Tables 481"/>
    <s v="First Class"/>
    <x v="2"/>
    <n v="9"/>
    <n v="2260.61"/>
    <n v="0.05"/>
    <n v="0.05"/>
    <n v="19328.215500000002"/>
    <n v="19328.22"/>
    <n v="12039.5"/>
    <n v="7288.72"/>
    <s v="Paid"/>
    <s v="Completed"/>
    <x v="0"/>
    <s v="Valid"/>
    <n v="7288.7200000000012"/>
    <n v="0.37710258352614084"/>
    <x v="3"/>
    <x v="0"/>
    <s v="Invalid"/>
  </r>
  <r>
    <s v="ORD-2025-10258"/>
    <s v="2025-08-09"/>
    <d v="2025-08-09T00:00:00"/>
    <s v="2025-08-12"/>
    <d v="2025-08-12T00:00:00"/>
    <s v="Valid"/>
    <n v="3"/>
    <s v="Valid"/>
    <s v="CUST-5615"/>
    <s v="Diya Patel"/>
    <s v="Diya Patel"/>
    <s v="Corporate"/>
    <x v="2"/>
    <s v="South"/>
    <x v="2"/>
    <s v="Karnataka"/>
    <s v="Bengaluru"/>
    <s v="Technology"/>
    <x v="2"/>
    <x v="5"/>
    <s v="Smart Accessories 180"/>
    <s v="Second Class"/>
    <x v="0"/>
    <n v="2"/>
    <n v="3237.27"/>
    <n v="0"/>
    <n v="0"/>
    <n v="6474.54"/>
    <n v="6474.54"/>
    <n v="5095.91"/>
    <n v="1378.63"/>
    <s v="Paid"/>
    <s v="Cancelled"/>
    <x v="1"/>
    <s v="Valid"/>
    <n v="1378.63"/>
    <n v="0.21293095725719513"/>
    <x v="1"/>
    <x v="1"/>
    <s v="Clean"/>
  </r>
  <r>
    <s v="ORD-2024-10259"/>
    <s v="2024-12-30"/>
    <d v="2024-12-30T00:00:00"/>
    <s v="2025-01-04"/>
    <d v="2025-01-04T00:00:00"/>
    <s v="Valid"/>
    <n v="5"/>
    <s v="Valid"/>
    <s v="CUST-8467"/>
    <s v="Sneha Kapoor"/>
    <s v="Sneha Kapoor"/>
    <s v="Corporate"/>
    <x v="2"/>
    <s v="South"/>
    <x v="2"/>
    <s v="Tamil Nadu"/>
    <s v="Chennai"/>
    <s v="Furniture"/>
    <x v="1"/>
    <x v="1"/>
    <s v="Smart Tables 774"/>
    <s v="Same Day"/>
    <x v="1"/>
    <n v="2"/>
    <n v="3720.07"/>
    <n v="0.25"/>
    <n v="0.25"/>
    <n v="5580.1050000000005"/>
    <n v="5580.11"/>
    <n v="4307.01"/>
    <n v="1273.0999999999999"/>
    <s v="Paid"/>
    <s v="Completed"/>
    <x v="0"/>
    <s v="Valid"/>
    <n v="1273.0999999999995"/>
    <n v="0.22814982872186085"/>
    <x v="8"/>
    <x v="0"/>
    <s v="Clean"/>
  </r>
  <r>
    <s v="ORD-2024-10260"/>
    <s v="06/21/2024"/>
    <d v="2024-06-21T00:00:00"/>
    <s v="29 Jun 2024"/>
    <d v="2024-06-29T00:00:00"/>
    <s v="Valid"/>
    <n v="8"/>
    <s v="Valid"/>
    <s v="CUST-5174"/>
    <s v="Neha Gupta"/>
    <s v="Neha Gupta"/>
    <s v="Consumer"/>
    <x v="0"/>
    <s v="South"/>
    <x v="2"/>
    <s v="Tamil Nadu"/>
    <s v="Chennai"/>
    <s v="Technology"/>
    <x v="2"/>
    <x v="12"/>
    <s v="Prime Machines 793"/>
    <s v="Standard Class"/>
    <x v="3"/>
    <n v="8"/>
    <n v="2853.92"/>
    <n v="0.2"/>
    <n v="0.2"/>
    <n v="18265.088"/>
    <n v="18265.09"/>
    <n v="10437.14"/>
    <n v="7827.95"/>
    <s v="Paid"/>
    <s v="Completed"/>
    <x v="0"/>
    <s v="Valid"/>
    <n v="7827.9500000000007"/>
    <n v="0.428574447601895"/>
    <x v="2"/>
    <x v="0"/>
    <s v="Clean"/>
  </r>
  <r>
    <s v="ORD-2025-10261"/>
    <s v="2025-09-23"/>
    <d v="2025-09-23T00:00:00"/>
    <s v="09/27/2025"/>
    <d v="2025-09-27T00:00:00"/>
    <s v="Valid"/>
    <n v="4"/>
    <s v="Valid"/>
    <s v="CUST-3543"/>
    <s v="Aditi Sen"/>
    <s v="Aditi Sen"/>
    <s v="Corporate"/>
    <x v="2"/>
    <s v="East"/>
    <x v="1"/>
    <s v="West Bengal"/>
    <s v="Kolkata"/>
    <s v="Office Supplies"/>
    <x v="0"/>
    <x v="9"/>
    <s v="Elite Binders 827"/>
    <s v="Same Day"/>
    <x v="1"/>
    <n v="7"/>
    <n v="2897.12"/>
    <n v="0.25"/>
    <n v="0.25"/>
    <n v="15209.880000000001"/>
    <n v="15209.88"/>
    <n v="10891.15"/>
    <n v="4318.7299999999996"/>
    <s v="Failed"/>
    <s v="Returned"/>
    <x v="2"/>
    <s v="Valid"/>
    <n v="4318.7299999999996"/>
    <n v="0.28394241111698443"/>
    <x v="7"/>
    <x v="1"/>
    <s v="Clean"/>
  </r>
  <r>
    <s v="ORD-2025-10262"/>
    <s v="06/18/2025"/>
    <d v="2025-06-18T00:00:00"/>
    <s v="06/24/2025"/>
    <d v="2025-06-24T00:00:00"/>
    <s v="Valid"/>
    <n v="6"/>
    <s v="Valid"/>
    <s v="CUST-7623"/>
    <s v="Sneha Kapoor"/>
    <s v="Sneha Kapoor"/>
    <s v="Corporate"/>
    <x v="2"/>
    <s v="North"/>
    <x v="0"/>
    <s v="Rajasthan"/>
    <s v="Jaipur"/>
    <s v="Office Supplies"/>
    <x v="0"/>
    <x v="7"/>
    <s v="Prime Labels 326"/>
    <s v="Standard Class"/>
    <x v="3"/>
    <n v="3"/>
    <n v="686.74"/>
    <n v="0.2"/>
    <n v="0.2"/>
    <n v="1648.1760000000004"/>
    <n v="1648.18"/>
    <n v="987.91"/>
    <n v="660.27"/>
    <s v="Failed"/>
    <s v="Cancelled"/>
    <x v="1"/>
    <s v="Valid"/>
    <n v="660.2700000000001"/>
    <n v="0.40060648862742809"/>
    <x v="2"/>
    <x v="1"/>
    <s v="Clean"/>
  </r>
  <r>
    <s v="ORD-2025-10263"/>
    <s v="2025-05-26"/>
    <d v="2025-05-26T00:00:00"/>
    <s v="01 Jun 2025"/>
    <d v="2025-06-01T00:00:00"/>
    <s v="Valid"/>
    <n v="6"/>
    <s v="Valid"/>
    <s v="CUST-6153"/>
    <s v="Arjun Bose"/>
    <s v="Arjun Bose"/>
    <s v="Small Business"/>
    <x v="1"/>
    <s v="North"/>
    <x v="0"/>
    <s v="Delhi"/>
    <s v="New Delhi"/>
    <s v="Technology"/>
    <x v="2"/>
    <x v="11"/>
    <s v="Eco Phones 245"/>
    <s v="Same Day"/>
    <x v="1"/>
    <n v="4"/>
    <n v="3349.86"/>
    <n v="0"/>
    <n v="0"/>
    <n v="13399.44"/>
    <n v="13399.44"/>
    <n v="8581.35"/>
    <n v="4818.09"/>
    <s v="Pending"/>
    <s v="Returned"/>
    <x v="2"/>
    <s v="Valid"/>
    <n v="4818.09"/>
    <n v="0.3595739821962709"/>
    <x v="4"/>
    <x v="1"/>
    <s v="Clean"/>
  </r>
  <r>
    <s v="ORD-2025-10264"/>
    <s v="06 Aug 2025"/>
    <d v="2025-08-06T00:00:00"/>
    <s v="10-08-2025"/>
    <d v="2025-08-10T00:00:00"/>
    <s v="Valid"/>
    <n v="4"/>
    <s v="Valid"/>
    <s v="CUST-8265"/>
    <s v="Rohan Mehta"/>
    <s v="Rohan Mehta"/>
    <s v="Small Business"/>
    <x v="1"/>
    <s v="North"/>
    <x v="0"/>
    <s v="Delhi"/>
    <s v="New Delhi"/>
    <s v="Office Supplies"/>
    <x v="0"/>
    <x v="9"/>
    <s v="Smart Binders 905"/>
    <s v="Second Class"/>
    <x v="0"/>
    <n v="9"/>
    <n v="4042.45"/>
    <n v="0.1"/>
    <n v="0.1"/>
    <n v="32743.844999999998"/>
    <n v="32743.84"/>
    <n v="22452.05"/>
    <n v="10291.790000000001"/>
    <s v="Pending"/>
    <s v="Returned"/>
    <x v="2"/>
    <s v="Valid"/>
    <n v="10291.790000000001"/>
    <n v="0.31431220127019299"/>
    <x v="1"/>
    <x v="1"/>
    <s v="Clean"/>
  </r>
  <r>
    <s v="ORD-2024-10265"/>
    <s v="16-05-2024"/>
    <d v="2024-05-16T00:00:00"/>
    <s v="05/21/2024"/>
    <d v="2024-05-21T00:00:00"/>
    <s v="Valid"/>
    <n v="5"/>
    <s v="Valid"/>
    <s v="CUST-4750"/>
    <s v="Diya Patel"/>
    <s v="Diya Patel"/>
    <s v="Small Business"/>
    <x v="1"/>
    <s v="East"/>
    <x v="1"/>
    <s v="Bihar"/>
    <s v="Patna"/>
    <s v="Technology"/>
    <x v="2"/>
    <x v="6"/>
    <s v="Pro Copiers 599"/>
    <s v="Standard Class"/>
    <x v="3"/>
    <n v="4"/>
    <n v="1503.07"/>
    <n v="0"/>
    <n v="0"/>
    <n v="6012.28"/>
    <n v="6012.28"/>
    <n v="3927.64"/>
    <n v="2084.64"/>
    <s v="Paid"/>
    <s v="Completed"/>
    <x v="0"/>
    <s v="Valid"/>
    <n v="2084.64"/>
    <n v="0.34673035853286938"/>
    <x v="4"/>
    <x v="0"/>
    <s v="Clean"/>
  </r>
  <r>
    <s v="ORD-2024-10266"/>
    <s v="14 Nov 2024"/>
    <d v="2024-11-14T00:00:00"/>
    <s v="11/22/2024"/>
    <d v="2024-11-22T00:00:00"/>
    <s v="Valid"/>
    <n v="8"/>
    <s v="Valid"/>
    <s v="CUST-3974"/>
    <s v="Priya Menon"/>
    <s v="Priya Menon"/>
    <s v="Corporate"/>
    <x v="2"/>
    <s v="East"/>
    <x v="1"/>
    <s v="Bihar"/>
    <s v="Patna"/>
    <s v="Furniture"/>
    <x v="1"/>
    <x v="10"/>
    <s v="Basic Bookcases 570"/>
    <s v="Same Day"/>
    <x v="1"/>
    <n v="1"/>
    <n v="582.37"/>
    <n v="0.15"/>
    <n v="0.15"/>
    <n v="495.0145"/>
    <n v="495.01"/>
    <n v="285.13"/>
    <n v="209.88"/>
    <s v="Refunded"/>
    <s v="Cancelled"/>
    <x v="1"/>
    <s v="Valid"/>
    <n v="209.88"/>
    <n v="0.42398758016179322"/>
    <x v="3"/>
    <x v="0"/>
    <s v="Clean"/>
  </r>
  <r>
    <s v="ORD-2025-10267"/>
    <s v="2025-05-03"/>
    <d v="2025-05-03T00:00:00"/>
    <s v="2025-05-10"/>
    <d v="2025-05-10T00:00:00"/>
    <s v="Valid"/>
    <n v="7"/>
    <s v="Valid"/>
    <s v="CUST-7114"/>
    <s v="Neha Gupta"/>
    <s v="Neha Gupta"/>
    <s v="Home Office"/>
    <x v="3"/>
    <s v="West"/>
    <x v="3"/>
    <s v="Maharashtra"/>
    <s v="Mumbai"/>
    <s v="Office Supplies"/>
    <x v="0"/>
    <x v="8"/>
    <s v="Classic Storage 926"/>
    <s v="Second Class"/>
    <x v="0"/>
    <n v="3"/>
    <n v="4339.24"/>
    <n v="0"/>
    <n v="0"/>
    <n v="13017.72"/>
    <n v="13017.72"/>
    <n v="10170.57"/>
    <n v="2847.15"/>
    <s v="Paid"/>
    <s v="Completed"/>
    <x v="0"/>
    <s v="Valid"/>
    <n v="2847.1499999999996"/>
    <n v="0.21871341525244051"/>
    <x v="4"/>
    <x v="1"/>
    <s v="Clean"/>
  </r>
  <r>
    <s v="ORD-2025-10268"/>
    <s v="28 May 2025"/>
    <d v="2025-05-28T00:00:00"/>
    <s v="04-06-2025"/>
    <d v="2025-06-04T00:00:00"/>
    <s v="Valid"/>
    <n v="7"/>
    <s v="Valid"/>
    <s v="CUST-4431"/>
    <s v="Diya Patel"/>
    <s v="Diya Patel"/>
    <s v="Corporate"/>
    <x v="2"/>
    <s v="East"/>
    <x v="1"/>
    <s v="Jharkhand"/>
    <s v="Ranchi"/>
    <s v="Furniture"/>
    <x v="1"/>
    <x v="3"/>
    <s v="Basic Furnishings 372"/>
    <s v="First Class"/>
    <x v="2"/>
    <n v="4"/>
    <n v="261.8"/>
    <n v="0.25"/>
    <n v="0.25"/>
    <n v="785.40000000000009"/>
    <n v="785.4"/>
    <n v="557.22"/>
    <n v="228.18"/>
    <s v="Paid"/>
    <s v="Completed"/>
    <x v="0"/>
    <s v="Valid"/>
    <n v="228.17999999999995"/>
    <n v="0.29052711993888453"/>
    <x v="4"/>
    <x v="1"/>
    <s v="Clean"/>
  </r>
  <r>
    <s v="ORD-2025-10269"/>
    <s v="08/17/2025"/>
    <d v="2025-08-17T00:00:00"/>
    <s v="08/17/2025"/>
    <d v="2025-08-17T00:00:00"/>
    <s v="Valid"/>
    <n v="0"/>
    <s v="Valid"/>
    <s v="CUST-1488"/>
    <s v="Aarav Sharma"/>
    <s v="Aarav Sharma"/>
    <s v="Home Office"/>
    <x v="3"/>
    <s v="North"/>
    <x v="0"/>
    <s v="Punjab"/>
    <s v="Ludhiana"/>
    <s v="Technology"/>
    <x v="2"/>
    <x v="5"/>
    <s v="Prime Accessories 367"/>
    <s v="First Class"/>
    <x v="2"/>
    <n v="7"/>
    <n v="632.20000000000005"/>
    <n v="0.25"/>
    <n v="0.25"/>
    <n v="3319.05"/>
    <n v="3319.05"/>
    <n v="2124.6"/>
    <n v="1194.45"/>
    <s v="Paid"/>
    <s v="Completed"/>
    <x v="0"/>
    <s v="Valid"/>
    <n v="1194.4500000000003"/>
    <n v="0.35987707325891449"/>
    <x v="1"/>
    <x v="1"/>
    <s v="Clean"/>
  </r>
  <r>
    <s v="ORD-2025-10270"/>
    <s v="02/10/2025"/>
    <d v="2025-02-10T00:00:00"/>
    <s v="02/12/2025"/>
    <d v="2025-02-12T00:00:00"/>
    <s v="Valid"/>
    <n v="2"/>
    <s v="Valid"/>
    <s v="CUST-1586"/>
    <s v="Rahul Verma"/>
    <s v="Rahul Verma"/>
    <s v="Small Business"/>
    <x v="1"/>
    <s v="West"/>
    <x v="3"/>
    <s v="Rajasthan"/>
    <s v="Udaipur"/>
    <s v="Furniture"/>
    <x v="1"/>
    <x v="1"/>
    <s v="Max Tables 526"/>
    <s v="Same Day"/>
    <x v="1"/>
    <n v="1"/>
    <n v="1925.86"/>
    <n v="0"/>
    <n v="0"/>
    <n v="1925.86"/>
    <n v="1925.86"/>
    <n v="1321.89"/>
    <n v="603.97"/>
    <s v="Paid"/>
    <s v="Completed"/>
    <x v="0"/>
    <s v="Valid"/>
    <n v="603.9699999999998"/>
    <n v="0.31361054282242729"/>
    <x v="6"/>
    <x v="1"/>
    <s v="Clean"/>
  </r>
  <r>
    <s v="ORD-2024-10271"/>
    <s v="01/12/2024"/>
    <d v="2024-01-12T00:00:00"/>
    <s v="13-01-2024"/>
    <d v="2024-01-13T00:00:00"/>
    <s v="Valid"/>
    <n v="1"/>
    <s v="Valid"/>
    <s v="CUST-2487"/>
    <s v="Aditi Sen"/>
    <s v="Aditi Sen"/>
    <s v="Corporate"/>
    <x v="2"/>
    <s v="North"/>
    <x v="0"/>
    <s v="Uttar Pradesh"/>
    <s v="Noida"/>
    <s v="Technology"/>
    <x v="2"/>
    <x v="12"/>
    <s v="Prime Machines 794"/>
    <s v="Same Day"/>
    <x v="1"/>
    <n v="3"/>
    <n v="827.44"/>
    <n v="0"/>
    <n v="0"/>
    <n v="2482.3200000000002"/>
    <n v="2482.3200000000002"/>
    <n v="1520.21"/>
    <n v="962.11"/>
    <s v="Paid"/>
    <s v="Completed"/>
    <x v="0"/>
    <s v="Valid"/>
    <n v="962.11000000000013"/>
    <n v="0.38758500112797706"/>
    <x v="10"/>
    <x v="0"/>
    <s v="Clean"/>
  </r>
  <r>
    <s v="ORD-2024-10272"/>
    <s v="21 Dec 2024"/>
    <d v="2024-12-21T00:00:00"/>
    <s v="25 Dec 2024"/>
    <d v="2024-12-25T00:00:00"/>
    <s v="Valid"/>
    <n v="4"/>
    <s v="Valid"/>
    <s v="CUST-8009"/>
    <s v="Aditi Sen"/>
    <s v="Aditi Sen"/>
    <s v="Consumer"/>
    <x v="0"/>
    <s v="South"/>
    <x v="2"/>
    <s v="Telangana"/>
    <s v="Hyderabad"/>
    <s v="Office Supplies"/>
    <x v="0"/>
    <x v="9"/>
    <s v="Max Binders 927"/>
    <s v="Standard Class"/>
    <x v="3"/>
    <n v="7"/>
    <n v="1667.75"/>
    <n v="0"/>
    <n v="0"/>
    <n v="11674.25"/>
    <n v="11674.25"/>
    <n v="9621.19"/>
    <n v="2053.06"/>
    <s v="Failed"/>
    <s v="Cancelled"/>
    <x v="1"/>
    <s v="Valid"/>
    <n v="2053.0599999999995"/>
    <n v="0.17586226095894808"/>
    <x v="8"/>
    <x v="0"/>
    <s v="Clean"/>
  </r>
  <r>
    <s v="ORD-2024-10273"/>
    <s v="08/18/2024"/>
    <d v="2024-08-18T00:00:00"/>
    <s v="24 Aug 2024"/>
    <d v="2024-08-24T00:00:00"/>
    <s v="Valid"/>
    <n v="6"/>
    <s v="Valid"/>
    <s v="CUST-7389"/>
    <s v="Arjun Bose"/>
    <s v="Arjun Bose"/>
    <s v="Consumer"/>
    <x v="0"/>
    <s v="South"/>
    <x v="2"/>
    <s v="Andhra Pradesh"/>
    <s v="Vijayawada"/>
    <s v="Furniture"/>
    <x v="1"/>
    <x v="4"/>
    <s v="Eco Chairs 314"/>
    <s v="First Class"/>
    <x v="2"/>
    <n v="7"/>
    <n v="557.21"/>
    <n v="0.1"/>
    <n v="0.1"/>
    <n v="3510.4230000000002"/>
    <n v="3510.42"/>
    <n v="2191.5"/>
    <n v="1213.48"/>
    <s v="Paid"/>
    <s v="Completed"/>
    <x v="0"/>
    <s v="Valid"/>
    <n v="1318.92"/>
    <n v="0.37571540523748848"/>
    <x v="1"/>
    <x v="0"/>
    <s v="Clean"/>
  </r>
  <r>
    <s v="ORD-2025-10274"/>
    <s v="02/13/2025"/>
    <d v="2025-02-13T00:00:00"/>
    <s v="13 Feb 2025"/>
    <d v="2025-02-13T00:00:00"/>
    <s v="Valid"/>
    <n v="0"/>
    <s v="Valid"/>
    <s v="CUST-8249"/>
    <s v="Isha Nair"/>
    <s v="Isha Nair"/>
    <s v="Consumer"/>
    <x v="0"/>
    <s v="East"/>
    <x v="1"/>
    <s v="Bihar"/>
    <s v="Patna"/>
    <s v="Office Supplies"/>
    <x v="0"/>
    <x v="0"/>
    <s v="Basic Paper 657"/>
    <s v="Second Class"/>
    <x v="0"/>
    <n v="9"/>
    <n v="2521.63"/>
    <n v="0"/>
    <n v="0"/>
    <n v="22694.670000000002"/>
    <n v="22694.67"/>
    <n v="15405.36"/>
    <n v="7289.31"/>
    <s v="Paid"/>
    <s v="Returned"/>
    <x v="2"/>
    <s v="Valid"/>
    <n v="7289.3099999999977"/>
    <n v="0.32119039404406396"/>
    <x v="6"/>
    <x v="1"/>
    <s v="Clean"/>
  </r>
  <r>
    <s v="ORD-2024-10275"/>
    <s v="07-04-2024"/>
    <d v="2024-04-07T00:00:00"/>
    <s v="14-04-2024"/>
    <d v="2024-04-14T00:00:00"/>
    <s v="Valid"/>
    <n v="7"/>
    <s v="Valid"/>
    <s v="CUST-4202"/>
    <s v="Rohan Mehta"/>
    <s v="Rohan Mehta"/>
    <s v="Consumer"/>
    <x v="0"/>
    <s v="South"/>
    <x v="2"/>
    <s v="Kerala"/>
    <s v="Kochi"/>
    <s v="Technology"/>
    <x v="2"/>
    <x v="6"/>
    <s v="Pro Copiers 406"/>
    <s v="Standard Class"/>
    <x v="3"/>
    <n v="6"/>
    <n v="4246.71"/>
    <n v="0.15"/>
    <n v="0.15"/>
    <n v="21658.221000000001"/>
    <n v="21658.22"/>
    <n v="15490.69"/>
    <n v="6167.53"/>
    <s v="Failed"/>
    <s v="Returned"/>
    <x v="2"/>
    <s v="Valid"/>
    <n v="6167.5300000000007"/>
    <n v="0.28476623264671647"/>
    <x v="5"/>
    <x v="0"/>
    <s v="Clean"/>
  </r>
  <r>
    <s v="ORD-2024-10276"/>
    <s v="2024-02-15"/>
    <d v="2024-02-15T00:00:00"/>
    <s v="02/22/2024"/>
    <d v="2024-02-22T00:00:00"/>
    <s v="Valid"/>
    <n v="7"/>
    <s v="Valid"/>
    <s v="CUST-2875"/>
    <s v="Priya Menon"/>
    <s v="Priya Menon"/>
    <s v="Small Business"/>
    <x v="1"/>
    <s v="East"/>
    <x v="1"/>
    <s v="West Bengal"/>
    <s v="Kolkata"/>
    <s v="Furniture"/>
    <x v="1"/>
    <x v="3"/>
    <s v="Eco Furnishings 678"/>
    <s v="Same Day"/>
    <x v="1"/>
    <n v="1"/>
    <n v="980.51"/>
    <n v="0"/>
    <n v="0"/>
    <n v="980.51"/>
    <n v="980.51"/>
    <n v="660.92"/>
    <n v="319.58999999999997"/>
    <s v="Paid"/>
    <s v="Completed"/>
    <x v="0"/>
    <s v="Valid"/>
    <n v="319.59000000000003"/>
    <n v="0.32594262169687205"/>
    <x v="6"/>
    <x v="0"/>
    <s v="Clean"/>
  </r>
  <r>
    <s v="ORD-2024-10277"/>
    <s v="22-01-2024"/>
    <d v="2024-01-22T00:00:00"/>
    <s v="23-01-2024"/>
    <d v="2024-01-23T00:00:00"/>
    <s v="Valid"/>
    <n v="1"/>
    <s v="Valid"/>
    <s v="CUST-7039"/>
    <s v="Aarav Sharma"/>
    <s v="Aarav Sharma"/>
    <s v="Small Business"/>
    <x v="1"/>
    <m/>
    <x v="4"/>
    <s v="Assam"/>
    <s v="Guwahati"/>
    <s v="Furniture"/>
    <x v="1"/>
    <x v="4"/>
    <s v="Basic Chairs 141"/>
    <s v="Second Class"/>
    <x v="0"/>
    <n v="6"/>
    <n v="3391.53"/>
    <n v="-0.14000000000000001"/>
    <n v="-0.14000000000000001"/>
    <n v="23198.065200000005"/>
    <n v="15261.89"/>
    <n v="8413.5300000000007"/>
    <n v="6848.36"/>
    <s v="Paid"/>
    <s v="Completed"/>
    <x v="0"/>
    <s v="Invalid - Negative Discount"/>
    <n v="6848.3599999999988"/>
    <n v="0.29521255074324032"/>
    <x v="10"/>
    <x v="0"/>
    <s v="Clean"/>
  </r>
  <r>
    <s v="ORD-2025-10278"/>
    <s v="04 Jun 2025"/>
    <d v="2025-06-04T00:00:00"/>
    <s v="04 Jun 2025"/>
    <d v="2025-06-04T00:00:00"/>
    <s v="Valid"/>
    <n v="0"/>
    <s v="Valid"/>
    <s v="CUST-2819"/>
    <s v="Isha Nair"/>
    <s v="Isha Nair"/>
    <s v="Corporate"/>
    <x v="2"/>
    <s v="North"/>
    <x v="0"/>
    <s v="Haryana"/>
    <s v="Gurugram"/>
    <s v="Technology"/>
    <x v="2"/>
    <x v="5"/>
    <s v="Elite Accessories 291"/>
    <s v="Second Class"/>
    <x v="0"/>
    <n v="1"/>
    <n v="2133.73"/>
    <n v="0.15"/>
    <n v="0.15"/>
    <n v="1813.6704999999999"/>
    <n v="2008.39"/>
    <n v="1002.57"/>
    <n v="811.1"/>
    <s v="Pending"/>
    <s v="Cancelled"/>
    <x v="1"/>
    <s v="Valid"/>
    <n v="1005.82"/>
    <n v="0.55457703039223505"/>
    <x v="2"/>
    <x v="1"/>
    <s v="Clean"/>
  </r>
  <r>
    <s v="ORD-2025-10279"/>
    <s v="07-03-2025"/>
    <d v="2025-03-07T00:00:00"/>
    <s v="2025-03-14"/>
    <d v="2025-03-14T00:00:00"/>
    <s v="Valid"/>
    <n v="7"/>
    <s v="Valid"/>
    <s v="CUST-8242"/>
    <s v="Priya Menon"/>
    <s v="Priya Menon"/>
    <s v="Small Business"/>
    <x v="1"/>
    <s v="North"/>
    <x v="0"/>
    <s v="Delhi"/>
    <s v="New Delhi"/>
    <s v="Technology"/>
    <x v="2"/>
    <x v="5"/>
    <s v="Pro Accessories 207"/>
    <s v="Same Day"/>
    <x v="1"/>
    <n v="1"/>
    <n v="3979.64"/>
    <n v="0.05"/>
    <n v="0.05"/>
    <n v="3780.6579999999999"/>
    <n v="3780.66"/>
    <n v="2148.31"/>
    <n v="1632.35"/>
    <s v="Paid"/>
    <s v="Returned"/>
    <x v="2"/>
    <s v="Valid"/>
    <n v="1632.35"/>
    <n v="0.43176346551314609"/>
    <x v="11"/>
    <x v="1"/>
    <s v="Clean"/>
  </r>
  <r>
    <s v="ORD-2024-10280"/>
    <s v="04/09/2024"/>
    <d v="2024-04-09T00:00:00"/>
    <s v="10 Apr 2024"/>
    <d v="2024-04-10T00:00:00"/>
    <s v="Valid"/>
    <n v="1"/>
    <s v="Valid"/>
    <s v="CUST-4571"/>
    <s v="Rohan Mehta"/>
    <s v="Rohan Mehta"/>
    <s v="Small Business"/>
    <x v="1"/>
    <s v="West"/>
    <x v="3"/>
    <s v="Maharashtra"/>
    <s v="Mumbai"/>
    <s v="Office Supplies"/>
    <x v="0"/>
    <x v="8"/>
    <s v="Max Storage 564"/>
    <s v="First Class"/>
    <x v="2"/>
    <n v="1"/>
    <n v="4359.12"/>
    <n v="0.05"/>
    <n v="0.05"/>
    <n v="4141.1639999999998"/>
    <n v="4141.16"/>
    <n v="2754.17"/>
    <n v="1386.99"/>
    <s v="Paid"/>
    <s v="Completed"/>
    <x v="0"/>
    <s v="Valid"/>
    <n v="1386.9899999999998"/>
    <n v="0.33492757108870835"/>
    <x v="5"/>
    <x v="0"/>
    <s v="Clean"/>
  </r>
  <r>
    <s v="ORD-2024-10281"/>
    <s v="12/23/2024"/>
    <d v="2024-12-23T00:00:00"/>
    <s v="26-12-2024"/>
    <d v="2024-12-26T00:00:00"/>
    <s v="Valid"/>
    <n v="3"/>
    <s v="Valid"/>
    <s v="CUST-4098"/>
    <s v="Aditi Sen"/>
    <s v="Aditi Sen"/>
    <s v="Consumer"/>
    <x v="0"/>
    <s v="South"/>
    <x v="2"/>
    <s v="Karnataka"/>
    <s v="Bengaluru"/>
    <s v="Technology"/>
    <x v="2"/>
    <x v="6"/>
    <s v="Prime Copiers 961"/>
    <s v="Standard Class"/>
    <x v="3"/>
    <n v="9"/>
    <n v="993.67"/>
    <n v="0"/>
    <n v="0"/>
    <n v="8943.0299999999988"/>
    <n v="8943.0300000000007"/>
    <n v="5165.38"/>
    <n v="3777.65"/>
    <s v="Paid"/>
    <s v="Completed"/>
    <x v="0"/>
    <s v="Valid"/>
    <n v="3777.6500000000005"/>
    <n v="0.42241276167026176"/>
    <x v="8"/>
    <x v="0"/>
    <s v="Clean"/>
  </r>
  <r>
    <s v="ORD-2025-10282"/>
    <s v="25-07-2025"/>
    <d v="2025-07-25T00:00:00"/>
    <s v="07/27/2025"/>
    <d v="2025-07-27T00:00:00"/>
    <s v="Valid"/>
    <n v="2"/>
    <s v="Valid"/>
    <s v="CUST-2052"/>
    <s v="Kabir Singh"/>
    <s v="Kabir Singh"/>
    <s v="Consumer"/>
    <x v="0"/>
    <s v="East"/>
    <x v="1"/>
    <s v="Jharkhand"/>
    <s v="Ranchi"/>
    <s v="Office Supplies"/>
    <x v="0"/>
    <x v="9"/>
    <s v="Basic Binders 637"/>
    <s v="Second Class"/>
    <x v="0"/>
    <n v="6"/>
    <n v="3438.38"/>
    <n v="0.2"/>
    <n v="0.2"/>
    <n v="16504.223999999998"/>
    <n v="16504.22"/>
    <n v="11262.71"/>
    <n v="5241.51"/>
    <s v="Paid"/>
    <s v="Completed"/>
    <x v="0"/>
    <s v="Valid"/>
    <n v="5241.510000000002"/>
    <n v="0.31758597071876887"/>
    <x v="0"/>
    <x v="1"/>
    <s v="Clean"/>
  </r>
  <r>
    <s v="ORD-2024-10283"/>
    <s v="2024-10-01"/>
    <d v="2024-10-01T00:00:00"/>
    <s v="10/02/2024"/>
    <d v="2024-10-02T00:00:00"/>
    <s v="Valid"/>
    <n v="1"/>
    <s v="Valid"/>
    <s v="CUST-9445"/>
    <s v="Karan Malhotra"/>
    <s v="Karan Malhotra"/>
    <s v="Home Office"/>
    <x v="3"/>
    <s v="East"/>
    <x v="1"/>
    <s v="Assam"/>
    <s v="Guwahati"/>
    <s v="Furniture"/>
    <x v="1"/>
    <x v="1"/>
    <s v="Classic Tables 811"/>
    <s v="Second Class"/>
    <x v="0"/>
    <n v="2"/>
    <n v="2298"/>
    <n v="0"/>
    <n v="0"/>
    <n v="4596"/>
    <n v="4596"/>
    <n v="3220.33"/>
    <n v="1375.67"/>
    <s v="Paid"/>
    <s v="Completed"/>
    <x v="0"/>
    <s v="Valid"/>
    <n v="1375.67"/>
    <n v="0.29931897302001742"/>
    <x v="9"/>
    <x v="0"/>
    <s v="Clean"/>
  </r>
  <r>
    <s v="ORD-2025-10284"/>
    <s v="03/13/2025"/>
    <d v="2025-03-13T00:00:00"/>
    <s v="20-03-2025"/>
    <d v="2025-03-20T00:00:00"/>
    <s v="Valid"/>
    <n v="7"/>
    <s v="Valid"/>
    <s v="CUST-6568"/>
    <s v="Vikram Iyer"/>
    <s v="Vikram Iyer"/>
    <s v="Consumer"/>
    <x v="0"/>
    <s v="West"/>
    <x v="3"/>
    <s v="Maharashtra"/>
    <s v="Mumbai"/>
    <s v="Furniture"/>
    <x v="1"/>
    <x v="3"/>
    <s v="Classic Furnishings 819"/>
    <s v="First Class"/>
    <x v="2"/>
    <n v="1"/>
    <n v="1814.01"/>
    <n v="0"/>
    <n v="0"/>
    <n v="1814.01"/>
    <n v="1814.01"/>
    <n v="1033.47"/>
    <n v="780.54"/>
    <s v="Paid"/>
    <s v="Completed"/>
    <x v="0"/>
    <s v="Valid"/>
    <n v="780.54"/>
    <n v="0.43028428729720342"/>
    <x v="11"/>
    <x v="1"/>
    <s v="Clean"/>
  </r>
  <r>
    <s v="ORD-2024-10285"/>
    <s v="12/08/2024"/>
    <d v="2024-12-08T00:00:00"/>
    <s v="12/14/2024"/>
    <d v="2024-12-14T00:00:00"/>
    <s v="Valid"/>
    <n v="6"/>
    <s v="Valid"/>
    <s v="CUST-2076"/>
    <s v="Karan Malhotra"/>
    <s v="Karan Malhotra"/>
    <s v="Consumer"/>
    <x v="0"/>
    <s v="East"/>
    <x v="1"/>
    <s v="Odisha"/>
    <s v="Bhubaneswar"/>
    <s v="Furniture"/>
    <x v="1"/>
    <x v="1"/>
    <s v="Prime Tables 542"/>
    <s v="Same Day"/>
    <x v="1"/>
    <n v="3"/>
    <n v="1576.92"/>
    <n v="0"/>
    <n v="0"/>
    <n v="4730.76"/>
    <n v="4730.76"/>
    <n v="3139.73"/>
    <n v="1591.03"/>
    <s v="Paid"/>
    <s v="Returned"/>
    <x v="2"/>
    <s v="Valid"/>
    <n v="1591.0300000000002"/>
    <n v="0.33631594077907145"/>
    <x v="8"/>
    <x v="0"/>
    <s v="Clean"/>
  </r>
  <r>
    <s v="ORD-2025-10286"/>
    <s v="2025-08-15"/>
    <d v="2025-08-15T00:00:00"/>
    <s v="2025-08-20"/>
    <d v="2025-08-20T00:00:00"/>
    <s v="Valid"/>
    <n v="5"/>
    <s v="Valid"/>
    <s v="CUST-5610"/>
    <s v="Neha Gupta"/>
    <s v="Neha Gupta"/>
    <s v="Home Office"/>
    <x v="3"/>
    <s v="North"/>
    <x v="0"/>
    <s v="Rajasthan"/>
    <s v="Jaipur"/>
    <s v="Office Supplies"/>
    <x v="0"/>
    <x v="8"/>
    <s v="Basic Storage 771"/>
    <s v="Standard Class"/>
    <x v="3"/>
    <n v="9"/>
    <n v="4081.77"/>
    <n v="0"/>
    <n v="0"/>
    <n v="36735.93"/>
    <n v="36735.93"/>
    <n v="30820.84"/>
    <n v="5915.09"/>
    <s v="Paid"/>
    <s v="Completed"/>
    <x v="0"/>
    <s v="Valid"/>
    <n v="5915.09"/>
    <n v="0.16101647624001897"/>
    <x v="1"/>
    <x v="1"/>
    <s v="Clean"/>
  </r>
  <r>
    <s v="ORD-2024-10287"/>
    <s v="28-02-2024"/>
    <d v="2024-02-28T00:00:00"/>
    <s v="03/02/2024"/>
    <d v="2024-03-02T00:00:00"/>
    <s v="Valid"/>
    <n v="3"/>
    <s v="Valid"/>
    <s v="CUST-5823"/>
    <s v="Priya Menon"/>
    <s v="Priya Menon"/>
    <s v="Small Business"/>
    <x v="1"/>
    <s v="North"/>
    <x v="0"/>
    <s v="Delhi"/>
    <s v="New Delhi"/>
    <s v="Furniture"/>
    <x v="1"/>
    <x v="3"/>
    <s v="Pro Furnishings 848"/>
    <s v="First Class"/>
    <x v="2"/>
    <n v="7"/>
    <n v="701.8"/>
    <n v="0.1"/>
    <n v="0.1"/>
    <n v="4421.3399999999992"/>
    <n v="4421.34"/>
    <n v="2489.98"/>
    <n v="1931.36"/>
    <s v="Pending"/>
    <s v="Returned"/>
    <x v="2"/>
    <s v="Valid"/>
    <n v="1931.3600000000001"/>
    <n v="0.4368268443503554"/>
    <x v="6"/>
    <x v="0"/>
    <s v="Clean"/>
  </r>
  <r>
    <s v="ORD-2024-10288"/>
    <s v="09/05/2024"/>
    <d v="2024-09-05T00:00:00"/>
    <s v="07-09-2024"/>
    <d v="2024-09-07T00:00:00"/>
    <s v="Valid"/>
    <n v="2"/>
    <s v="Valid"/>
    <s v="CUST-7095"/>
    <s v="Neha Gupta"/>
    <s v="Neha Gupta"/>
    <s v="Small Business"/>
    <x v="1"/>
    <s v="South"/>
    <x v="2"/>
    <s v="Tamil Nadu"/>
    <s v="Chennai"/>
    <s v="Technology"/>
    <x v="2"/>
    <x v="6"/>
    <s v="Prime Copiers 924"/>
    <s v="Standard Class"/>
    <x v="3"/>
    <n v="3"/>
    <n v="2555.66"/>
    <n v="0.15"/>
    <n v="0.15"/>
    <n v="6516.9329999999991"/>
    <n v="6516.93"/>
    <n v="4511.54"/>
    <n v="2005.39"/>
    <s v="Paid"/>
    <s v="Cancelled"/>
    <x v="1"/>
    <s v="Valid"/>
    <n v="2005.3900000000003"/>
    <n v="0.3077199044397112"/>
    <x v="7"/>
    <x v="0"/>
    <s v="Clean"/>
  </r>
  <r>
    <s v="ORD-2024-10289"/>
    <s v="2024-06-24"/>
    <d v="2024-06-24T00:00:00"/>
    <s v="2024-06-24"/>
    <d v="2024-06-24T00:00:00"/>
    <s v="Valid"/>
    <n v="0"/>
    <s v="Valid"/>
    <s v="CUST-4805"/>
    <s v="Rohan Mehta"/>
    <s v="Rohan Mehta"/>
    <s v="Small Business"/>
    <x v="1"/>
    <s v="East"/>
    <x v="1"/>
    <s v="Bihar"/>
    <s v="Patna"/>
    <s v="Office Supplies"/>
    <x v="0"/>
    <x v="9"/>
    <s v="Classic Binders 721"/>
    <s v="Same Day"/>
    <x v="1"/>
    <n v="2"/>
    <n v="4359.8999999999996"/>
    <n v="0.15"/>
    <n v="0.15"/>
    <n v="7411.829999999999"/>
    <n v="7411.83"/>
    <n v="4904.63"/>
    <n v="2507.1999999999998"/>
    <s v="Paid"/>
    <s v="Completed"/>
    <x v="0"/>
    <s v="Valid"/>
    <n v="2507.1999999999998"/>
    <n v="0.33827003587508081"/>
    <x v="2"/>
    <x v="0"/>
    <s v="Clean"/>
  </r>
  <r>
    <s v="ORD-2025-10290"/>
    <s v="19-06-2025"/>
    <d v="2025-06-19T00:00:00"/>
    <s v="06/27/2025"/>
    <d v="2025-06-27T00:00:00"/>
    <s v="Valid"/>
    <n v="8"/>
    <s v="Valid"/>
    <s v="CUST-9114"/>
    <s v="Karan Malhotra"/>
    <s v="Karan Malhotra"/>
    <s v="Home Office"/>
    <x v="3"/>
    <s v="South"/>
    <x v="2"/>
    <s v="Tamil Nadu"/>
    <s v="Chennai"/>
    <s v="Furniture"/>
    <x v="1"/>
    <x v="10"/>
    <s v="Basic Bookcases 823"/>
    <s v="First Class"/>
    <x v="2"/>
    <n v="2"/>
    <n v="4346.6899999999996"/>
    <n v="0.05"/>
    <n v="0.05"/>
    <n v="8258.7109999999993"/>
    <n v="8258.7099999999991"/>
    <n v="7018.97"/>
    <n v="1239.74"/>
    <s v="Paid"/>
    <s v="Completed"/>
    <x v="0"/>
    <s v="Valid"/>
    <n v="1239.7399999999989"/>
    <n v="0.1501130140042434"/>
    <x v="2"/>
    <x v="1"/>
    <s v="Clean"/>
  </r>
  <r>
    <s v="ORD-2025-10291"/>
    <s v="22 Aug 2025"/>
    <d v="2025-08-22T00:00:00"/>
    <s v="2025-08-26"/>
    <d v="2025-08-26T00:00:00"/>
    <s v="Valid"/>
    <n v="4"/>
    <s v="Valid"/>
    <s v="CUST-8557"/>
    <s v="Diya Patel"/>
    <s v="Diya Patel"/>
    <s v="Home Office"/>
    <x v="3"/>
    <s v="East"/>
    <x v="1"/>
    <s v="Jharkhand"/>
    <s v="Ranchi"/>
    <s v="Furniture"/>
    <x v="1"/>
    <x v="1"/>
    <s v="Classic Tables 178"/>
    <s v="Standard Class"/>
    <x v="3"/>
    <n v="1"/>
    <n v="1842.63"/>
    <n v="0.1"/>
    <n v="0.1"/>
    <n v="1658.3670000000002"/>
    <n v="1658.37"/>
    <n v="971.12"/>
    <n v="687.25"/>
    <s v="Paid"/>
    <s v="Completed"/>
    <x v="0"/>
    <s v="Valid"/>
    <n v="687.24999999999989"/>
    <n v="0.41441369732996364"/>
    <x v="1"/>
    <x v="1"/>
    <s v="Clean"/>
  </r>
  <r>
    <s v="ORD-2024-10292"/>
    <s v="04/05/2024"/>
    <d v="2024-04-05T00:00:00"/>
    <s v="2024-04-10"/>
    <d v="2024-04-10T00:00:00"/>
    <s v="Valid"/>
    <n v="5"/>
    <s v="Valid"/>
    <s v="CUST-2860"/>
    <s v="Priya Menon"/>
    <s v="Priya Menon"/>
    <s v="Home Office"/>
    <x v="3"/>
    <s v="North"/>
    <x v="0"/>
    <s v="Rajasthan"/>
    <s v="Jaipur"/>
    <s v="Office Supplies"/>
    <x v="0"/>
    <x v="9"/>
    <s v="Eco Binders 153"/>
    <s v="Standard Class"/>
    <x v="3"/>
    <n v="4"/>
    <n v="3228.66"/>
    <n v="0.25"/>
    <n v="0.25"/>
    <n v="9685.98"/>
    <n v="9685.98"/>
    <n v="7730.04"/>
    <n v="1955.94"/>
    <s v="Paid"/>
    <s v="Completed"/>
    <x v="0"/>
    <s v="Valid"/>
    <n v="1955.9399999999996"/>
    <n v="0.20193516815025425"/>
    <x v="5"/>
    <x v="0"/>
    <s v="Clean"/>
  </r>
  <r>
    <s v="ORD-2025-10293"/>
    <s v="28 Feb 2025"/>
    <d v="2025-02-28T00:00:00"/>
    <s v="03-03-2025"/>
    <d v="2025-03-03T00:00:00"/>
    <s v="Valid"/>
    <n v="3"/>
    <s v="Valid"/>
    <s v="CUST-7837"/>
    <s v="Kabir Singh"/>
    <s v="Kabir Singh"/>
    <s v="Home Office"/>
    <x v="3"/>
    <s v="North"/>
    <x v="0"/>
    <s v="Haryana"/>
    <s v="Gurugram"/>
    <s v="Office Supplies"/>
    <x v="0"/>
    <x v="2"/>
    <s v="Classic Art 183"/>
    <s v="Same Day"/>
    <x v="1"/>
    <n v="9"/>
    <n v="3748.95"/>
    <n v="0"/>
    <n v="0"/>
    <n v="33740.549999999996"/>
    <n v="33740.550000000003"/>
    <n v="24621.89"/>
    <n v="9118.66"/>
    <s v="Pending"/>
    <s v="Cancelled"/>
    <x v="1"/>
    <s v="Valid"/>
    <n v="9118.6600000000035"/>
    <n v="0.27025819081194602"/>
    <x v="6"/>
    <x v="1"/>
    <s v="Clean"/>
  </r>
  <r>
    <s v="ORD-2024-10294"/>
    <s v="03/07/2024"/>
    <d v="2024-03-07T00:00:00"/>
    <s v="11-03-2024"/>
    <d v="2024-03-11T00:00:00"/>
    <s v="Valid"/>
    <n v="4"/>
    <s v="Valid"/>
    <s v="CUST-7010"/>
    <s v="Arjun Bose"/>
    <s v="Arjun Bose"/>
    <s v="Home Office"/>
    <x v="3"/>
    <s v="South"/>
    <x v="2"/>
    <s v="Telangana"/>
    <s v="Hyderabad"/>
    <s v="Technology"/>
    <x v="2"/>
    <x v="11"/>
    <s v="Pro Phones 455"/>
    <s v="First Class"/>
    <x v="2"/>
    <n v="2"/>
    <n v="4401.51"/>
    <n v="0.65"/>
    <n v="0.65"/>
    <n v="3081.0569999999998"/>
    <n v="8362.8700000000008"/>
    <n v="6541.04"/>
    <n v="1821.83"/>
    <s v="Paid"/>
    <s v="Completed"/>
    <x v="0"/>
    <s v="Valid"/>
    <n v="1821.8300000000008"/>
    <n v="0.59130032323322834"/>
    <x v="11"/>
    <x v="0"/>
    <s v="Clean"/>
  </r>
  <r>
    <s v="ORD-2025-10295"/>
    <s v="16 Jul 2025"/>
    <d v="2025-07-16T00:00:00"/>
    <s v="07/22/2025"/>
    <d v="2025-07-22T00:00:00"/>
    <s v="Valid"/>
    <n v="6"/>
    <s v="Valid"/>
    <s v="CUST-4755"/>
    <s v="Priya Menon"/>
    <s v="Priya Menon"/>
    <s v="Consumer"/>
    <x v="0"/>
    <s v="East"/>
    <x v="1"/>
    <s v="Odisha"/>
    <s v="Bhubaneswar"/>
    <s v="Technology"/>
    <x v="2"/>
    <x v="11"/>
    <s v="Basic Phones 326"/>
    <s v="Second Class"/>
    <x v="0"/>
    <n v="6"/>
    <n v="4159.33"/>
    <n v="0.25"/>
    <n v="0.25"/>
    <n v="18716.985000000001"/>
    <n v="18716.990000000002"/>
    <n v="12282.43"/>
    <n v="6434.56"/>
    <s v="Paid"/>
    <s v="Returned"/>
    <x v="2"/>
    <s v="Valid"/>
    <n v="6434.5600000000013"/>
    <n v="0.34378186444023978"/>
    <x v="0"/>
    <x v="1"/>
    <s v="Clean"/>
  </r>
  <r>
    <s v="ORD-2025-10296"/>
    <s v="25 Jun 2025"/>
    <d v="2025-06-25T00:00:00"/>
    <s v="28 Jun 2025"/>
    <d v="2025-06-28T00:00:00"/>
    <s v="Valid"/>
    <n v="3"/>
    <s v="Valid"/>
    <s v="CUST-6778"/>
    <s v="Aditi Sen"/>
    <s v="Aditi Sen"/>
    <s v="Small Business"/>
    <x v="1"/>
    <s v="East"/>
    <x v="1"/>
    <s v="Assam"/>
    <s v="Guwahati"/>
    <s v="Office Supplies"/>
    <x v="0"/>
    <x v="9"/>
    <s v="Max Binders 587"/>
    <s v="Standard Class"/>
    <x v="3"/>
    <n v="3"/>
    <n v="3476.05"/>
    <n v="0.1"/>
    <n v="0.1"/>
    <n v="9385.3350000000009"/>
    <n v="9385.34"/>
    <n v="5828.54"/>
    <n v="3556.8"/>
    <s v="Paid"/>
    <s v="Completed"/>
    <x v="0"/>
    <s v="Valid"/>
    <n v="3556.8"/>
    <n v="0.37897421882117155"/>
    <x v="2"/>
    <x v="1"/>
    <s v="Clean"/>
  </r>
  <r>
    <s v="ORD-2025-10297"/>
    <s v="24 May 2025"/>
    <d v="2025-05-24T00:00:00"/>
    <s v="05/26/2025"/>
    <d v="2025-05-26T00:00:00"/>
    <s v="Valid"/>
    <n v="2"/>
    <s v="Valid"/>
    <s v="CUST-7629"/>
    <s v="Aditi Sen"/>
    <s v="Aditi Sen"/>
    <s v="Home Office"/>
    <x v="3"/>
    <s v="North"/>
    <x v="0"/>
    <s v="Haryana"/>
    <s v="Gurugram"/>
    <s v="Furniture"/>
    <x v="1"/>
    <x v="3"/>
    <s v="Basic Furnishings 617"/>
    <s v="Same Day"/>
    <x v="1"/>
    <n v="6"/>
    <n v="3495.41"/>
    <n v="0.15"/>
    <n v="0.15"/>
    <n v="17826.591"/>
    <n v="17826.59"/>
    <n v="10855.35"/>
    <n v="6971.24"/>
    <s v="Paid"/>
    <s v="Completed"/>
    <x v="0"/>
    <s v="Valid"/>
    <n v="6971.24"/>
    <n v="0.39105850355797134"/>
    <x v="4"/>
    <x v="1"/>
    <s v="Clean"/>
  </r>
  <r>
    <s v="ORD-2024-10298"/>
    <s v="2024-10-29"/>
    <d v="2024-10-29T00:00:00"/>
    <s v="06-11-2024"/>
    <d v="2024-11-06T00:00:00"/>
    <s v="Valid"/>
    <n v="8"/>
    <s v="Valid"/>
    <s v="CUST-6724"/>
    <s v="Sneha Kapoor"/>
    <s v="Sneha Kapoor"/>
    <s v="Corporate"/>
    <x v="2"/>
    <s v="South"/>
    <x v="2"/>
    <s v="Tamil Nadu"/>
    <s v="Chennai"/>
    <s v="Technology"/>
    <x v="2"/>
    <x v="6"/>
    <s v="Prime Copiers 669"/>
    <s v="Same Day"/>
    <x v="1"/>
    <n v="6"/>
    <n v="1169.92"/>
    <n v="0.15"/>
    <n v="0.15"/>
    <n v="5966.5920000000006"/>
    <n v="5966.59"/>
    <n v="3994.72"/>
    <n v="1971.87"/>
    <s v="Paid"/>
    <s v="Completed"/>
    <x v="0"/>
    <s v="Valid"/>
    <n v="1971.8700000000003"/>
    <n v="0.3304851412665723"/>
    <x v="9"/>
    <x v="0"/>
    <s v="Clean"/>
  </r>
  <r>
    <s v="ORD-2025-10299"/>
    <s v="23-01-2025"/>
    <d v="2025-01-23T00:00:00"/>
    <s v="2025-01-26"/>
    <d v="2025-01-26T00:00:00"/>
    <s v="Valid"/>
    <n v="3"/>
    <s v="Valid"/>
    <s v="CUST-2141"/>
    <s v="Isha Nair"/>
    <s v="Isha Nair"/>
    <s v="Consumer"/>
    <x v="0"/>
    <s v="South"/>
    <x v="2"/>
    <s v="Kerala"/>
    <s v="Kochi"/>
    <s v="Technology"/>
    <x v="2"/>
    <x v="6"/>
    <s v="Eco Copiers 894"/>
    <s v="First Class"/>
    <x v="2"/>
    <n v="7"/>
    <n v="348.49"/>
    <n v="0.2"/>
    <n v="0.2"/>
    <n v="1951.5440000000003"/>
    <n v="1951.54"/>
    <n v="1609.95"/>
    <n v="341.59"/>
    <s v="Failed"/>
    <s v="Returned"/>
    <x v="2"/>
    <s v="Valid"/>
    <n v="341.58999999999992"/>
    <n v="0.17503576655202233"/>
    <x v="10"/>
    <x v="1"/>
    <s v="Clean"/>
  </r>
  <r>
    <s v="ORD-2024-10300"/>
    <s v="06-11-2024"/>
    <d v="2024-11-06T00:00:00"/>
    <s v="2024-11-12"/>
    <d v="2024-11-12T00:00:00"/>
    <s v="Valid"/>
    <n v="6"/>
    <s v="Valid"/>
    <s v="CUST-7264"/>
    <s v="Rahul Verma"/>
    <s v="Rahul Verma"/>
    <s v="Small Business"/>
    <x v="1"/>
    <s v="West"/>
    <x v="3"/>
    <s v="Gujarat"/>
    <s v="Ahmedabad"/>
    <s v="Technology"/>
    <x v="2"/>
    <x v="5"/>
    <s v="Max Accessories 145"/>
    <s v="Standard Class"/>
    <x v="3"/>
    <n v="7"/>
    <n v="1719.05"/>
    <n v="0.1"/>
    <n v="0.1"/>
    <n v="10830.015000000001"/>
    <n v="10830.02"/>
    <n v="7055.31"/>
    <n v="3774.71"/>
    <s v="Paid"/>
    <s v="Completed"/>
    <x v="0"/>
    <s v="Valid"/>
    <n v="3774.71"/>
    <n v="0.34854153018255279"/>
    <x v="3"/>
    <x v="0"/>
    <s v="Clean"/>
  </r>
  <r>
    <s v="ORD-2024-10301"/>
    <s v="15-04-2024"/>
    <d v="2024-04-15T00:00:00"/>
    <s v="04/23/2024"/>
    <d v="2024-04-23T00:00:00"/>
    <s v="Valid"/>
    <n v="8"/>
    <s v="Valid"/>
    <s v="CUST-2668"/>
    <s v="Diya Patel"/>
    <s v="Diya Patel"/>
    <s v="Small Business"/>
    <x v="1"/>
    <s v="North"/>
    <x v="0"/>
    <s v="Punjab"/>
    <s v="Ludhiana"/>
    <s v="Technology"/>
    <x v="2"/>
    <x v="5"/>
    <s v="Classic Accessories 126"/>
    <s v="Second Class"/>
    <x v="0"/>
    <n v="9"/>
    <n v="3893.74"/>
    <n v="0.1"/>
    <n v="0.1"/>
    <n v="31539.293999999998"/>
    <n v="31539.29"/>
    <n v="22100.14"/>
    <n v="9439.15"/>
    <s v="Paid"/>
    <s v="Completed"/>
    <x v="0"/>
    <s v="Valid"/>
    <n v="9439.1500000000015"/>
    <n v="0.29928222236046254"/>
    <x v="5"/>
    <x v="0"/>
    <s v="Clean"/>
  </r>
  <r>
    <s v="ORD-2025-10302"/>
    <s v="28 May 2025"/>
    <d v="2025-05-28T00:00:00"/>
    <s v="01-06-2025"/>
    <d v="2025-06-01T00:00:00"/>
    <s v="Valid"/>
    <n v="4"/>
    <s v="Valid"/>
    <s v="CUST-5599"/>
    <s v="Isha Nair"/>
    <s v="Isha Nair"/>
    <s v="Home Office"/>
    <x v="3"/>
    <s v="East"/>
    <x v="1"/>
    <s v="Bihar"/>
    <s v="Patna"/>
    <s v="Technology"/>
    <x v="2"/>
    <x v="11"/>
    <s v="Elite Phones 202"/>
    <s v="Same Day"/>
    <x v="1"/>
    <n v="4"/>
    <n v="1654.11"/>
    <n v="0.05"/>
    <n v="0.05"/>
    <n v="6285.6179999999995"/>
    <n v="6285.62"/>
    <n v="3705.38"/>
    <n v="2580.2399999999998"/>
    <s v="Paid"/>
    <s v="Completed"/>
    <x v="0"/>
    <s v="Valid"/>
    <n v="2580.2399999999998"/>
    <n v="0.41049901537128092"/>
    <x v="4"/>
    <x v="1"/>
    <s v="Clean"/>
  </r>
  <r>
    <s v="ORD-2025-10303"/>
    <s v="04-06-2025"/>
    <d v="2025-06-04T00:00:00"/>
    <s v="2025-06-12"/>
    <d v="2025-06-12T00:00:00"/>
    <s v="Valid"/>
    <n v="8"/>
    <s v="Valid"/>
    <s v="CUST-1623"/>
    <s v="Neha Gupta"/>
    <s v="Neha Gupta"/>
    <s v="Consumer"/>
    <x v="0"/>
    <s v="West"/>
    <x v="3"/>
    <s v="Goa"/>
    <s v="Panaji"/>
    <s v="Office Supplies"/>
    <x v="0"/>
    <x v="8"/>
    <s v="Elite Storage 535"/>
    <s v="Same Day"/>
    <x v="1"/>
    <n v="2"/>
    <n v="2703.28"/>
    <n v="0.25"/>
    <n v="0.25"/>
    <n v="4054.92"/>
    <n v="4054.92"/>
    <n v="2424.83"/>
    <n v="1630.09"/>
    <s v="Paid"/>
    <s v="Completed"/>
    <x v="0"/>
    <s v="Valid"/>
    <n v="1630.0900000000001"/>
    <n v="0.40200299882611745"/>
    <x v="2"/>
    <x v="1"/>
    <s v="Clean"/>
  </r>
  <r>
    <s v="ORD-2024-10304"/>
    <s v="23 Jun 2024"/>
    <d v="2024-06-23T00:00:00"/>
    <s v="28-06-2024"/>
    <d v="2024-06-28T00:00:00"/>
    <s v="Valid"/>
    <n v="5"/>
    <s v="Valid"/>
    <s v="CUST-9035"/>
    <s v="Diya Patel"/>
    <s v="Diya Patel"/>
    <s v="Home Office"/>
    <x v="3"/>
    <s v="West"/>
    <x v="3"/>
    <s v="Gujarat"/>
    <s v="Ahmedabad"/>
    <s v="Furniture"/>
    <x v="1"/>
    <x v="4"/>
    <s v="Elite Chairs 107"/>
    <s v="Standard Class"/>
    <x v="3"/>
    <n v="2"/>
    <n v="1313.14"/>
    <n v="0.1"/>
    <n v="0.1"/>
    <n v="2363.652"/>
    <n v="2363.65"/>
    <n v="1876.1"/>
    <n v="487.55"/>
    <s v="Pending"/>
    <s v="Returned"/>
    <x v="2"/>
    <s v="Valid"/>
    <n v="487.55000000000018"/>
    <n v="0.20626978929216322"/>
    <x v="2"/>
    <x v="0"/>
    <s v="Clean"/>
  </r>
  <r>
    <s v="ORD-2024-10305"/>
    <s v="03/06/2024"/>
    <d v="2024-03-06T00:00:00"/>
    <s v="2024-03-13"/>
    <d v="2024-03-13T00:00:00"/>
    <s v="Valid"/>
    <n v="7"/>
    <s v="Valid"/>
    <s v="CUST-6286"/>
    <s v="Karan Malhotra"/>
    <s v="Karan Malhotra"/>
    <s v="Consumer"/>
    <x v="0"/>
    <s v="North"/>
    <x v="0"/>
    <s v="Punjab"/>
    <s v="Ludhiana"/>
    <s v="Furniture"/>
    <x v="1"/>
    <x v="3"/>
    <s v="Pro Furnishings 991"/>
    <s v="Standard Class"/>
    <x v="3"/>
    <n v="6"/>
    <n v="2403.0500000000002"/>
    <n v="0.1"/>
    <n v="0.1"/>
    <n v="12976.470000000001"/>
    <n v="12976.47"/>
    <n v="10019.98"/>
    <n v="2956.49"/>
    <s v="Paid"/>
    <s v="Completed"/>
    <x v="0"/>
    <s v="Valid"/>
    <n v="2956.49"/>
    <n v="0.22783468847845365"/>
    <x v="11"/>
    <x v="0"/>
    <s v="Clean"/>
  </r>
  <r>
    <s v="ORD-2024-10306"/>
    <s v="01 May 2024"/>
    <d v="2024-05-01T00:00:00"/>
    <s v="05/02/2024"/>
    <d v="2024-05-02T00:00:00"/>
    <s v="Valid"/>
    <n v="1"/>
    <s v="Valid"/>
    <s v="CUST-7246"/>
    <s v="Ananya Rao"/>
    <s v="Ananya Rao"/>
    <s v="Consumer"/>
    <x v="0"/>
    <s v="East"/>
    <x v="1"/>
    <s v="Assam"/>
    <s v="Guwahati"/>
    <s v="Furniture"/>
    <x v="1"/>
    <x v="4"/>
    <s v="Eco Chairs 105"/>
    <s v="First Class"/>
    <x v="2"/>
    <n v="4"/>
    <n v="4156.0600000000004"/>
    <n v="0.55000000000000004"/>
    <n v="0.55000000000000004"/>
    <n v="7480.9080000000004"/>
    <n v="13299.39"/>
    <n v="9851.91"/>
    <n v="3447.48"/>
    <s v="Paid"/>
    <s v="Cancelled"/>
    <x v="1"/>
    <s v="Valid"/>
    <n v="3447.4799999999996"/>
    <n v="0.46083710693942492"/>
    <x v="4"/>
    <x v="0"/>
    <s v="Clean"/>
  </r>
  <r>
    <s v="ORD-2025-10307"/>
    <s v="20 Feb 2025"/>
    <d v="2025-02-20T00:00:00"/>
    <s v="2025-02-23"/>
    <d v="2025-02-23T00:00:00"/>
    <s v="Valid"/>
    <n v="3"/>
    <s v="Valid"/>
    <s v="CUST-2589"/>
    <s v="Aarav Sharma"/>
    <s v="Aarav Sharma"/>
    <s v="Consumer"/>
    <x v="0"/>
    <s v="North"/>
    <x v="0"/>
    <s v="Rajasthan"/>
    <s v="Jaipur"/>
    <s v="Technology"/>
    <x v="2"/>
    <x v="11"/>
    <s v="Pro Phones 530"/>
    <s v="Second Class"/>
    <x v="0"/>
    <n v="4"/>
    <n v="3673.11"/>
    <n v="0"/>
    <n v="0"/>
    <n v="14692.44"/>
    <n v="14692.44"/>
    <n v="10082.19"/>
    <n v="4610.25"/>
    <s v="Paid"/>
    <s v="Completed"/>
    <x v="0"/>
    <s v="Valid"/>
    <n v="4610.25"/>
    <n v="0.31378382351740075"/>
    <x v="6"/>
    <x v="1"/>
    <s v="Clean"/>
  </r>
  <r>
    <s v="ORD-2025-10308"/>
    <s v="2025-07-12"/>
    <d v="2025-07-12T00:00:00"/>
    <s v="19 Jul 2025"/>
    <d v="2025-07-19T00:00:00"/>
    <s v="Valid"/>
    <n v="7"/>
    <s v="Valid"/>
    <s v="CUST-4153"/>
    <s v="Ananya Rao"/>
    <s v="Ananya Rao"/>
    <s v="Corporate"/>
    <x v="2"/>
    <s v="North"/>
    <x v="0"/>
    <s v="Uttar Pradesh"/>
    <s v="Noida"/>
    <s v="Furniture"/>
    <x v="1"/>
    <x v="1"/>
    <s v="Basic Tables 911"/>
    <s v="First Class"/>
    <x v="2"/>
    <n v="9"/>
    <n v="4093.04"/>
    <n v="0.2"/>
    <n v="0.2"/>
    <n v="29469.888000000003"/>
    <n v="29469.89"/>
    <n v="18935.509999999998"/>
    <n v="10534.38"/>
    <s v="Pending"/>
    <s v="Cancelled"/>
    <x v="1"/>
    <s v="Valid"/>
    <n v="10534.380000000001"/>
    <n v="0.35746250545641706"/>
    <x v="0"/>
    <x v="1"/>
    <s v="Clean"/>
  </r>
  <r>
    <s v="ORD-2025-10309"/>
    <s v="2025-06-13"/>
    <d v="2025-06-13T00:00:00"/>
    <s v="2025-06-19"/>
    <d v="2025-06-19T00:00:00"/>
    <s v="Valid"/>
    <n v="6"/>
    <s v="Valid"/>
    <s v="CUST-6727"/>
    <s v="Rohan Mehta"/>
    <s v="Rohan Mehta"/>
    <s v="Consumer"/>
    <x v="0"/>
    <s v="North"/>
    <x v="0"/>
    <s v="Rajasthan"/>
    <s v="Jaipur"/>
    <s v="Furniture"/>
    <x v="1"/>
    <x v="1"/>
    <s v="Classic Tables 224"/>
    <s v="First Class"/>
    <x v="2"/>
    <n v="4"/>
    <n v="731.57"/>
    <n v="0.2"/>
    <n v="0.2"/>
    <n v="2341.0240000000003"/>
    <n v="2341.02"/>
    <n v="1565.49"/>
    <n v="775.53"/>
    <s v="Paid"/>
    <s v="Completed"/>
    <x v="0"/>
    <s v="Valid"/>
    <n v="775.53"/>
    <n v="0.3312781073581475"/>
    <x v="2"/>
    <x v="1"/>
    <s v="Clean"/>
  </r>
  <r>
    <s v="ORD-2024-10310"/>
    <s v="07/20/2024"/>
    <d v="2024-07-20T00:00:00"/>
    <s v="2024-07-22"/>
    <d v="2024-07-22T00:00:00"/>
    <s v="Valid"/>
    <n v="2"/>
    <s v="Valid"/>
    <s v="CUST-8860"/>
    <s v="Ananya Rao"/>
    <s v="Ananya Rao"/>
    <s v="Consumer"/>
    <x v="0"/>
    <s v="South"/>
    <x v="2"/>
    <s v="Tamil Nadu"/>
    <s v="Chennai"/>
    <s v="Furniture"/>
    <x v="1"/>
    <x v="1"/>
    <s v="Prime Tables 214"/>
    <s v="First Class"/>
    <x v="2"/>
    <n v="7"/>
    <n v="2060.73"/>
    <n v="0.1"/>
    <n v="0.1"/>
    <n v="12982.599"/>
    <n v="12982.6"/>
    <n v="7246.36"/>
    <n v="5736.24"/>
    <s v="Paid"/>
    <s v="Cancelled"/>
    <x v="1"/>
    <s v="Valid"/>
    <n v="5736.2400000000007"/>
    <n v="0.44184065147510143"/>
    <x v="0"/>
    <x v="0"/>
    <s v="Clean"/>
  </r>
  <r>
    <s v="ORD-2024-10311"/>
    <s v="04-07-2024"/>
    <d v="2024-07-04T00:00:00"/>
    <s v="08-07-2024"/>
    <d v="2024-07-08T00:00:00"/>
    <s v="Valid"/>
    <n v="4"/>
    <s v="Valid"/>
    <s v="CUST-3784"/>
    <s v="Rohan Mehta"/>
    <s v="Rohan Mehta"/>
    <s v="Small Business"/>
    <x v="1"/>
    <s v="South"/>
    <x v="2"/>
    <s v="Tamil Nadu"/>
    <s v="Chennai"/>
    <s v="Technology"/>
    <x v="2"/>
    <x v="12"/>
    <s v="Max Machines 988"/>
    <s v="First Class"/>
    <x v="2"/>
    <n v="8"/>
    <n v="2034.25"/>
    <n v="0"/>
    <n v="0"/>
    <n v="16274"/>
    <n v="16274"/>
    <n v="9424.25"/>
    <n v="6849.75"/>
    <s v="Paid"/>
    <s v="Completed"/>
    <x v="0"/>
    <s v="Valid"/>
    <n v="6849.75"/>
    <n v="0.42090143787636719"/>
    <x v="0"/>
    <x v="0"/>
    <s v="Clean"/>
  </r>
  <r>
    <s v="ORD-2024-10312"/>
    <s v="27-04-2024"/>
    <d v="2024-04-27T00:00:00"/>
    <s v="02-05-2024"/>
    <d v="2024-05-02T00:00:00"/>
    <s v="Valid"/>
    <n v="5"/>
    <s v="Valid"/>
    <s v="CUST-3545"/>
    <s v="Mira Das"/>
    <s v="Mira Das"/>
    <s v="Corporate"/>
    <x v="2"/>
    <s v="South"/>
    <x v="2"/>
    <s v="Karnataka"/>
    <s v="Bengaluru"/>
    <s v="Office Supplies"/>
    <x v="0"/>
    <x v="9"/>
    <s v="Max Binders 425"/>
    <s v="Second Class"/>
    <x v="0"/>
    <n v="5"/>
    <n v="554.04"/>
    <n v="0.1"/>
    <n v="0.1"/>
    <n v="2493.1799999999998"/>
    <n v="2493.1799999999998"/>
    <n v="1764"/>
    <n v="729.18"/>
    <s v="Paid"/>
    <s v="Completed"/>
    <x v="0"/>
    <s v="Valid"/>
    <n v="729.17999999999984"/>
    <n v="0.29246985777200196"/>
    <x v="5"/>
    <x v="0"/>
    <s v="Clean"/>
  </r>
  <r>
    <s v="ORD-2024-10313"/>
    <s v="07/31/2024"/>
    <d v="2024-07-31T00:00:00"/>
    <s v="04-08-2024"/>
    <d v="2024-08-04T00:00:00"/>
    <s v="Valid"/>
    <n v="4"/>
    <s v="Valid"/>
    <s v="CUST-4851"/>
    <s v="Karan Malhotra"/>
    <s v="Karan Malhotra"/>
    <s v="Small Business"/>
    <x v="1"/>
    <s v="East"/>
    <x v="1"/>
    <s v="Assam"/>
    <s v="Guwahati"/>
    <s v="Technology"/>
    <x v="2"/>
    <x v="11"/>
    <s v="Elite Phones 679"/>
    <s v="Standard Class"/>
    <x v="3"/>
    <n v="8"/>
    <n v="2614.7399999999998"/>
    <m/>
    <n v="0"/>
    <n v="20917.919999999998"/>
    <n v="15688.44"/>
    <n v="10047.33"/>
    <n v="5641.11"/>
    <s v="Paid"/>
    <s v="Cancelled"/>
    <x v="1"/>
    <s v="Valid"/>
    <n v="5641.1100000000006"/>
    <n v="0.26967834277977931"/>
    <x v="0"/>
    <x v="0"/>
    <s v="Clean"/>
  </r>
  <r>
    <s v="ORD-2025-10314"/>
    <s v="2025-05-30"/>
    <d v="2025-05-30T00:00:00"/>
    <s v="31-05-2025"/>
    <d v="2025-05-31T00:00:00"/>
    <s v="Valid"/>
    <n v="1"/>
    <s v="Valid"/>
    <s v="CUST-4770"/>
    <s v="Rahul Verma"/>
    <s v="Rahul Verma"/>
    <s v="Corporate"/>
    <x v="2"/>
    <s v="North"/>
    <x v="0"/>
    <s v="Uttar Pradesh"/>
    <s v="Noida"/>
    <s v="Technology"/>
    <x v="2"/>
    <x v="11"/>
    <s v="Pro Phones 764"/>
    <s v="First Class"/>
    <x v="2"/>
    <n v="8"/>
    <n v="2081.4299999999998"/>
    <n v="0.25"/>
    <n v="0.25"/>
    <n v="12488.579999999998"/>
    <n v="12488.58"/>
    <n v="10717.4"/>
    <n v="1771.18"/>
    <s v="Refunded"/>
    <s v="Cancelled"/>
    <x v="1"/>
    <s v="Valid"/>
    <n v="1771.1800000000003"/>
    <n v="0.14182397037933861"/>
    <x v="4"/>
    <x v="1"/>
    <s v="Clean"/>
  </r>
  <r>
    <s v="ORD-2025-10315"/>
    <s v="05/18/2025"/>
    <d v="2025-05-18T00:00:00"/>
    <s v="20 May 2025"/>
    <d v="2025-05-20T00:00:00"/>
    <s v="Valid"/>
    <n v="2"/>
    <s v="Valid"/>
    <s v="CUST-1945"/>
    <s v="Isha Nair"/>
    <s v="Isha Nair"/>
    <s v="Corporate"/>
    <x v="2"/>
    <s v="West"/>
    <x v="3"/>
    <s v="Madhya Pradesh"/>
    <s v="Indore"/>
    <s v="Office Supplies"/>
    <x v="0"/>
    <x v="7"/>
    <s v="Elite Labels 544"/>
    <s v="Standard Class"/>
    <x v="3"/>
    <n v="9"/>
    <n v="847.76"/>
    <n v="0.15"/>
    <n v="0.15"/>
    <n v="6485.3639999999996"/>
    <n v="6485.36"/>
    <n v="5376.17"/>
    <n v="1109.19"/>
    <s v="Failed"/>
    <s v="Returned"/>
    <x v="2"/>
    <s v="Valid"/>
    <n v="1109.1899999999996"/>
    <n v="0.17102972169333899"/>
    <x v="4"/>
    <x v="1"/>
    <s v="Clean"/>
  </r>
  <r>
    <s v="ORD-2024-10316"/>
    <s v="2024-07-02"/>
    <d v="2024-07-02T00:00:00"/>
    <s v="2024-07-08"/>
    <d v="2024-07-08T00:00:00"/>
    <s v="Valid"/>
    <n v="6"/>
    <s v="Valid"/>
    <s v="CUST-7565"/>
    <s v="Rohan Mehta"/>
    <s v="Rohan Mehta"/>
    <s v="Consumer"/>
    <x v="0"/>
    <s v="North"/>
    <x v="0"/>
    <s v="Delhi"/>
    <s v="New Delhi"/>
    <s v="Office Supplies"/>
    <x v="0"/>
    <x v="0"/>
    <s v="Smart Paper 817"/>
    <s v="Standard Class"/>
    <x v="3"/>
    <n v="9"/>
    <n v="3450.4"/>
    <n v="0.05"/>
    <n v="0.05"/>
    <n v="29500.920000000002"/>
    <n v="29500.92"/>
    <n v="17989.68"/>
    <n v="11511.24"/>
    <s v="Pending"/>
    <s v="Returned"/>
    <x v="2"/>
    <s v="Valid"/>
    <n v="11511.239999999998"/>
    <n v="0.39019935649464482"/>
    <x v="0"/>
    <x v="0"/>
    <s v="Clean"/>
  </r>
  <r>
    <s v="ORD-2024-10317"/>
    <s v="16-02-2024"/>
    <d v="2024-02-16T00:00:00"/>
    <s v="02/18/2024"/>
    <d v="2024-02-18T00:00:00"/>
    <s v="Valid"/>
    <n v="2"/>
    <s v="Valid"/>
    <s v="CUST-9913"/>
    <s v="Karan Malhotra"/>
    <s v="Karan Malhotra"/>
    <s v="Corporate"/>
    <x v="2"/>
    <s v="North"/>
    <x v="0"/>
    <s v="Punjab"/>
    <s v="Ludhiana"/>
    <s v="Office Supplies"/>
    <x v="0"/>
    <x v="7"/>
    <s v="Classic Labels 466"/>
    <s v="Standard Class"/>
    <x v="3"/>
    <n v="2"/>
    <n v="1947.53"/>
    <n v="0.2"/>
    <n v="0.2"/>
    <n v="3116.0480000000002"/>
    <n v="3116.05"/>
    <n v="1956.63"/>
    <n v="1159.42"/>
    <s v="Paid"/>
    <s v="Cancelled"/>
    <x v="1"/>
    <s v="Valid"/>
    <n v="1159.42"/>
    <n v="0.37208027604196081"/>
    <x v="6"/>
    <x v="0"/>
    <s v="Clean"/>
  </r>
  <r>
    <s v="ORD-2025-10318"/>
    <s v="29-08-2025"/>
    <d v="2025-08-29T00:00:00"/>
    <s v="04 Sep 2025"/>
    <d v="2025-09-04T00:00:00"/>
    <s v="Valid"/>
    <n v="6"/>
    <s v="Valid"/>
    <s v="CUST-7992"/>
    <s v="Neha Gupta"/>
    <s v="Neha Gupta"/>
    <s v="Corporate"/>
    <x v="2"/>
    <s v="South"/>
    <x v="2"/>
    <s v="Kerala"/>
    <s v="Kochi"/>
    <s v="Furniture"/>
    <x v="1"/>
    <x v="1"/>
    <s v="Pro Tables 778"/>
    <s v="First Class"/>
    <x v="2"/>
    <n v="9"/>
    <n v="2996.97"/>
    <n v="0.15"/>
    <n v="0.15"/>
    <n v="22926.820499999998"/>
    <n v="22926.82"/>
    <n v="14621.59"/>
    <n v="8305.23"/>
    <s v="Paid"/>
    <s v="Completed"/>
    <x v="0"/>
    <s v="Valid"/>
    <n v="8305.23"/>
    <n v="0.36224953215819877"/>
    <x v="1"/>
    <x v="1"/>
    <s v="Clean"/>
  </r>
  <r>
    <s v="ORD-2024-10319"/>
    <s v="25 Apr 2024"/>
    <d v="2024-04-25T00:00:00"/>
    <s v="30-04-2024"/>
    <d v="2024-04-30T00:00:00"/>
    <s v="Valid"/>
    <n v="5"/>
    <s v="Valid"/>
    <s v="CUST-8877"/>
    <s v="Mira Das"/>
    <s v="Mira Das"/>
    <s v="Small Business"/>
    <x v="1"/>
    <s v="South"/>
    <x v="2"/>
    <s v="Karnataka"/>
    <s v="Bengaluru"/>
    <s v="Technology"/>
    <x v="2"/>
    <x v="11"/>
    <s v="Basic Phones 789"/>
    <s v="Standard Class"/>
    <x v="3"/>
    <n v="3"/>
    <n v="4149.46"/>
    <n v="0.1"/>
    <n v="0.1"/>
    <n v="11203.542000000001"/>
    <n v="11203.54"/>
    <n v="8452.93"/>
    <n v="2750.61"/>
    <s v="Paid"/>
    <s v="Completed"/>
    <x v="0"/>
    <s v="Valid"/>
    <n v="2750.6100000000006"/>
    <n v="0.24551253523216143"/>
    <x v="5"/>
    <x v="0"/>
    <s v="Clean"/>
  </r>
  <r>
    <s v="ORD-2024-10320"/>
    <s v="21 Aug 2024"/>
    <d v="2024-08-21T00:00:00"/>
    <s v="08/25/2024"/>
    <d v="2024-08-25T00:00:00"/>
    <s v="Valid"/>
    <n v="4"/>
    <s v="Valid"/>
    <s v="CUST-4589"/>
    <s v="Diya Patel"/>
    <s v="Diya Patel"/>
    <s v="Consumer"/>
    <x v="0"/>
    <s v="West"/>
    <x v="3"/>
    <s v="Gujarat"/>
    <s v="Ahmedabad"/>
    <s v="Office Supplies"/>
    <x v="0"/>
    <x v="9"/>
    <s v="Prime Binders 554"/>
    <s v="First Class"/>
    <x v="2"/>
    <n v="1"/>
    <n v="270.27999999999997"/>
    <n v="0"/>
    <n v="0"/>
    <n v="270.27999999999997"/>
    <n v="270.27999999999997"/>
    <n v="156.34"/>
    <n v="113.94"/>
    <s v="Paid"/>
    <s v="Completed"/>
    <x v="0"/>
    <s v="Valid"/>
    <n v="113.93999999999997"/>
    <n v="0.42156282373834536"/>
    <x v="1"/>
    <x v="0"/>
    <s v="Clean"/>
  </r>
  <r>
    <s v="ORD-2024-10321"/>
    <s v="12/04/2024"/>
    <d v="2024-12-04T00:00:00"/>
    <s v="12/06/2024"/>
    <d v="2024-12-06T00:00:00"/>
    <s v="Valid"/>
    <n v="2"/>
    <s v="Valid"/>
    <s v="CUST-4667"/>
    <s v="Aarav Sharma"/>
    <s v="Aarav Sharma"/>
    <s v="Home Office"/>
    <x v="3"/>
    <s v="East"/>
    <x v="1"/>
    <s v="West Bengal"/>
    <s v="Kolkata"/>
    <s v="Office Supplies"/>
    <x v="0"/>
    <x v="2"/>
    <s v="Classic Art 299"/>
    <s v="Second Class"/>
    <x v="0"/>
    <n v="3"/>
    <n v="876.14"/>
    <s v="70%"/>
    <s v="70%"/>
    <n v="788.52600000000018"/>
    <n v="2628.42"/>
    <n v="1541.54"/>
    <n v="1086.8800000000001"/>
    <s v="Pending"/>
    <s v="Returned"/>
    <x v="2"/>
    <s v="Invalid - Discount Above Range"/>
    <n v="1086.8800000000001"/>
    <n v="1.3783692611277243"/>
    <x v="8"/>
    <x v="0"/>
    <s v="Clean"/>
  </r>
  <r>
    <s v="ORD-2024-10322"/>
    <s v="06/23/2024"/>
    <d v="2024-06-23T00:00:00"/>
    <s v="30 Jun 2024"/>
    <d v="2024-06-30T00:00:00"/>
    <s v="Valid"/>
    <n v="7"/>
    <s v="Valid"/>
    <s v="CUST-7821"/>
    <s v="Neha Gupta"/>
    <s v="Neha Gupta"/>
    <s v="Small Business"/>
    <x v="1"/>
    <s v="West"/>
    <x v="3"/>
    <s v="Goa"/>
    <s v="Panaji"/>
    <s v="Technology"/>
    <x v="2"/>
    <x v="5"/>
    <s v="Eco Accessories 220"/>
    <s v="Same Day"/>
    <x v="1"/>
    <n v="4"/>
    <n v="674.82"/>
    <n v="0"/>
    <n v="0"/>
    <n v="2699.28"/>
    <n v="2699.28"/>
    <n v="1759.76"/>
    <n v="939.52"/>
    <s v="Failed"/>
    <s v="Cancelled"/>
    <x v="1"/>
    <s v="Valid"/>
    <n v="939.52000000000021"/>
    <n v="0.34806318722029583"/>
    <x v="2"/>
    <x v="0"/>
    <s v="Clean"/>
  </r>
  <r>
    <s v="ORD-2024-10323"/>
    <s v="2024-11-12"/>
    <d v="2024-11-12T00:00:00"/>
    <s v="12-11-2024"/>
    <d v="2024-11-12T00:00:00"/>
    <s v="Valid"/>
    <n v="0"/>
    <s v="Valid"/>
    <s v="CUST-8579"/>
    <s v="Isha Nair"/>
    <s v="Isha Nair"/>
    <s v="Consumer"/>
    <x v="0"/>
    <s v="North"/>
    <x v="0"/>
    <s v="Uttar Pradesh"/>
    <s v="Noida"/>
    <s v="Technology"/>
    <x v="2"/>
    <x v="11"/>
    <s v="Max Phones 422"/>
    <s v="Second Class"/>
    <x v="0"/>
    <n v="6"/>
    <n v="1369.48"/>
    <n v="0.15"/>
    <n v="0.15"/>
    <n v="6984.3480000000009"/>
    <n v="6984.35"/>
    <n v="4023.63"/>
    <n v="2960.72"/>
    <s v="Paid"/>
    <s v="Completed"/>
    <x v="0"/>
    <s v="Valid"/>
    <n v="2960.7200000000003"/>
    <n v="0.42390785797042185"/>
    <x v="3"/>
    <x v="0"/>
    <s v="Clean"/>
  </r>
  <r>
    <s v="ORD-2024-10324"/>
    <s v="25-02-2024"/>
    <d v="2024-02-25T00:00:00"/>
    <s v="29 Feb 2024"/>
    <d v="2024-02-29T00:00:00"/>
    <s v="Valid"/>
    <n v="4"/>
    <s v="Valid"/>
    <s v="CUST-6909"/>
    <s v="Isha Nair"/>
    <s v="Isha Nair"/>
    <s v="Small Business"/>
    <x v="1"/>
    <s v="West"/>
    <x v="3"/>
    <s v="Goa"/>
    <s v="Panaji"/>
    <s v="Furniture"/>
    <x v="1"/>
    <x v="3"/>
    <s v="Eco Furnishings 897"/>
    <s v="Standard Class"/>
    <x v="3"/>
    <n v="9"/>
    <n v="1331.46"/>
    <n v="0.15"/>
    <n v="0.15"/>
    <n v="10185.669"/>
    <n v="10185.67"/>
    <n v="6479.31"/>
    <n v="3706.36"/>
    <s v="Paid"/>
    <s v="Completed"/>
    <x v="0"/>
    <s v="Valid"/>
    <n v="3706.3599999999997"/>
    <n v="0.36387987868052651"/>
    <x v="6"/>
    <x v="0"/>
    <s v="Clean"/>
  </r>
  <r>
    <s v="ORD-2025-10325"/>
    <s v="31 Jul 2025"/>
    <d v="2025-07-31T00:00:00"/>
    <s v="02-08-2025"/>
    <d v="2025-08-02T00:00:00"/>
    <s v="Valid"/>
    <n v="2"/>
    <s v="Valid"/>
    <s v="CUST-7212"/>
    <s v="Rohan Mehta"/>
    <s v="Rohan Mehta"/>
    <s v="Home Office"/>
    <x v="3"/>
    <s v="South"/>
    <x v="2"/>
    <s v="Andhra Pradesh"/>
    <s v="Vijayawada"/>
    <s v="Office Supplies"/>
    <x v="0"/>
    <x v="7"/>
    <s v="Basic Labels 102"/>
    <s v="Same Day"/>
    <x v="1"/>
    <n v="1"/>
    <n v="1947.88"/>
    <n v="0.15"/>
    <n v="0.15"/>
    <n v="1655.6980000000001"/>
    <n v="1655.7"/>
    <n v="1354.8"/>
    <n v="300.89999999999998"/>
    <s v="Paid"/>
    <s v="Returned"/>
    <x v="2"/>
    <s v="Valid"/>
    <n v="300.90000000000009"/>
    <n v="0.18173604123457301"/>
    <x v="0"/>
    <x v="1"/>
    <s v="Clean"/>
  </r>
  <r>
    <s v="ORD-2025-10326"/>
    <s v="09/16/2025"/>
    <d v="2025-09-16T00:00:00"/>
    <s v="2025-09-22"/>
    <d v="2025-09-22T00:00:00"/>
    <s v="Valid"/>
    <n v="6"/>
    <s v="Valid"/>
    <s v="CUST-7980"/>
    <s v="Sneha Kapoor"/>
    <s v="Sneha Kapoor"/>
    <s v="Home Office"/>
    <x v="3"/>
    <s v="East"/>
    <x v="1"/>
    <s v="West Bengal"/>
    <s v="Kolkata"/>
    <s v="Technology"/>
    <x v="2"/>
    <x v="6"/>
    <s v="Prime Copiers 170"/>
    <s v="Second Class"/>
    <x v="0"/>
    <n v="5"/>
    <n v="3671.2"/>
    <n v="0.15"/>
    <n v="0.15"/>
    <n v="15602.6"/>
    <n v="15602.6"/>
    <n v="11908.52"/>
    <n v="3694.08"/>
    <s v="Paid"/>
    <s v="Completed"/>
    <x v="0"/>
    <s v="Valid"/>
    <n v="3694.08"/>
    <n v="0.236760539910015"/>
    <x v="7"/>
    <x v="1"/>
    <s v="Clean"/>
  </r>
  <r>
    <s v="ORD-2025-10327"/>
    <s v="2025-07-22"/>
    <d v="2025-07-22T00:00:00"/>
    <s v="07/22/2025"/>
    <d v="2025-07-22T00:00:00"/>
    <s v="Valid"/>
    <n v="0"/>
    <s v="Valid"/>
    <s v="CUST-1966"/>
    <s v="Sneha Kapoor"/>
    <s v="Sneha Kapoor"/>
    <s v="Corporate"/>
    <x v="2"/>
    <s v="East"/>
    <x v="1"/>
    <s v="Jharkhand"/>
    <s v="Ranchi"/>
    <s v="Furniture"/>
    <x v="1"/>
    <x v="3"/>
    <s v="Smart Furnishings 533"/>
    <s v="Same Day"/>
    <x v="1"/>
    <n v="5"/>
    <n v="3187.05"/>
    <n v="0.05"/>
    <n v="0.05"/>
    <n v="15138.487499999999"/>
    <n v="15138.49"/>
    <n v="11235.72"/>
    <n v="3902.77"/>
    <s v="Paid"/>
    <s v="Completed"/>
    <x v="0"/>
    <s v="Valid"/>
    <n v="3902.7700000000004"/>
    <n v="0.2578044867428137"/>
    <x v="0"/>
    <x v="1"/>
    <s v="Clean"/>
  </r>
  <r>
    <s v="ORD-2024-10328"/>
    <s v="2024-07-24"/>
    <d v="2024-07-24T00:00:00"/>
    <s v="27-07-2024"/>
    <d v="2024-07-27T00:00:00"/>
    <s v="Valid"/>
    <n v="3"/>
    <s v="Valid"/>
    <s v="CUST-6163"/>
    <s v="Isha Nair"/>
    <s v="Isha Nair"/>
    <s v="Consumer"/>
    <x v="0"/>
    <s v="West"/>
    <x v="3"/>
    <s v="Rajasthan"/>
    <s v="Udaipur"/>
    <s v="Technology"/>
    <x v="2"/>
    <x v="5"/>
    <s v="Classic Accessories 489"/>
    <s v="Second Class"/>
    <x v="0"/>
    <n v="3"/>
    <n v="1834.55"/>
    <n v="0.2"/>
    <n v="0.2"/>
    <n v="4402.92"/>
    <n v="4402.92"/>
    <n v="2993.94"/>
    <n v="1408.98"/>
    <s v="Pending"/>
    <s v="Cancelled"/>
    <x v="1"/>
    <s v="Valid"/>
    <n v="1408.98"/>
    <n v="0.32001035676323897"/>
    <x v="0"/>
    <x v="0"/>
    <s v="Clean"/>
  </r>
  <r>
    <s v="ORD-2025-10329"/>
    <s v="2025-05-29"/>
    <d v="2025-05-29T00:00:00"/>
    <s v="04 Jun 2025"/>
    <d v="2025-06-04T00:00:00"/>
    <s v="Valid"/>
    <n v="6"/>
    <s v="Valid"/>
    <s v="CUST-7239"/>
    <s v="Diya Patel"/>
    <s v="Diya Patel"/>
    <s v="Consumer"/>
    <x v="0"/>
    <s v="West"/>
    <x v="3"/>
    <s v="Maharashtra"/>
    <s v="Mumbai"/>
    <s v="Office Supplies"/>
    <x v="0"/>
    <x v="8"/>
    <s v="Smart Storage 439"/>
    <s v="First Class"/>
    <x v="2"/>
    <n v="6"/>
    <n v="3100.68"/>
    <n v="0"/>
    <n v="0"/>
    <n v="18604.079999999998"/>
    <n v="18604.080000000002"/>
    <n v="15834.3"/>
    <n v="2769.78"/>
    <s v="Paid"/>
    <s v="Completed"/>
    <x v="0"/>
    <s v="Valid"/>
    <n v="2769.7800000000025"/>
    <n v="0.1488802456235408"/>
    <x v="4"/>
    <x v="1"/>
    <s v="Clean"/>
  </r>
  <r>
    <s v="ORD-2025-10330"/>
    <s v="12 May 2025"/>
    <d v="2025-05-12T00:00:00"/>
    <s v="2025-05-18"/>
    <d v="2025-05-18T00:00:00"/>
    <s v="Valid"/>
    <n v="6"/>
    <s v="Valid"/>
    <s v="CUST-9718"/>
    <s v="Neha Gupta"/>
    <s v="Neha Gupta"/>
    <s v="Small Business"/>
    <x v="1"/>
    <s v="West"/>
    <x v="3"/>
    <s v="Maharashtra"/>
    <s v="Mumbai"/>
    <s v="Office Supplies"/>
    <x v="0"/>
    <x v="8"/>
    <s v="Prime Storage 232"/>
    <s v="Standard Class"/>
    <x v="3"/>
    <n v="4"/>
    <n v="4053.03"/>
    <n v="0.05"/>
    <n v="0.05"/>
    <n v="15401.513999999999"/>
    <n v="15401.51"/>
    <n v="8650.42"/>
    <n v="6751.09"/>
    <s v="Paid"/>
    <s v="Completed"/>
    <x v="0"/>
    <s v="Valid"/>
    <n v="6751.09"/>
    <n v="0.43833937364859066"/>
    <x v="4"/>
    <x v="1"/>
    <s v="Clean"/>
  </r>
  <r>
    <s v="ORD-2024-10331"/>
    <s v="05/16/2024"/>
    <d v="2024-05-16T00:00:00"/>
    <s v="05/24/2024"/>
    <d v="2024-05-24T00:00:00"/>
    <s v="Valid"/>
    <n v="8"/>
    <s v="Valid"/>
    <s v="CUST-1116"/>
    <s v="Arjun Bose"/>
    <s v="Arjun Bose"/>
    <s v="Home Office"/>
    <x v="3"/>
    <s v="North"/>
    <x v="0"/>
    <s v="Punjab"/>
    <s v="Ludhiana"/>
    <s v="Technology"/>
    <x v="2"/>
    <x v="5"/>
    <s v="Prime Accessories 335"/>
    <s v="Same Day"/>
    <x v="1"/>
    <n v="1"/>
    <n v="783.09"/>
    <n v="0"/>
    <n v="0"/>
    <n v="783.09"/>
    <n v="783.09"/>
    <n v="503.89"/>
    <n v="279.2"/>
    <s v="Failed"/>
    <s v="Cancelled"/>
    <x v="1"/>
    <s v="Valid"/>
    <n v="279.20000000000005"/>
    <n v="0.3565362857398256"/>
    <x v="4"/>
    <x v="0"/>
    <s v="Clean"/>
  </r>
  <r>
    <s v="ORD-2024-10332"/>
    <s v="04-12-2024"/>
    <d v="2024-12-04T00:00:00"/>
    <s v="2024-12-06"/>
    <d v="2024-12-06T00:00:00"/>
    <s v="Valid"/>
    <n v="2"/>
    <s v="Valid"/>
    <s v="CUST-9346"/>
    <s v="Sneha Kapoor"/>
    <s v="Sneha Kapoor"/>
    <s v="Home Office"/>
    <x v="3"/>
    <s v="East"/>
    <x v="1"/>
    <s v="Odisha"/>
    <s v="Bhubaneswar"/>
    <s v="Office Supplies"/>
    <x v="0"/>
    <x v="9"/>
    <s v="Smart Binders 939"/>
    <s v="Second Class"/>
    <x v="0"/>
    <n v="4"/>
    <n v="2685.66"/>
    <n v="0"/>
    <n v="0"/>
    <n v="10742.64"/>
    <n v="10742.64"/>
    <n v="6477.37"/>
    <n v="4265.2700000000004"/>
    <s v="Paid"/>
    <s v="Returned"/>
    <x v="2"/>
    <s v="Valid"/>
    <n v="4265.2699999999995"/>
    <n v="0.39704113700170535"/>
    <x v="8"/>
    <x v="0"/>
    <s v="Clean"/>
  </r>
  <r>
    <s v="ORD-2025-10333"/>
    <s v="27 May 2025"/>
    <d v="2025-05-27T00:00:00"/>
    <s v="2025-05-28"/>
    <d v="2025-05-28T00:00:00"/>
    <s v="Valid"/>
    <n v="1"/>
    <s v="Valid"/>
    <s v="CUST-5332"/>
    <s v="Aarav Sharma"/>
    <s v="Aarav Sharma"/>
    <s v="Consumer"/>
    <x v="0"/>
    <s v="South"/>
    <x v="2"/>
    <s v="Andhra Pradesh"/>
    <s v="Vijayawada"/>
    <s v="Technology"/>
    <x v="2"/>
    <x v="12"/>
    <s v="Basic Machines 601"/>
    <s v="Second Class"/>
    <x v="0"/>
    <n v="2"/>
    <n v="3911.96"/>
    <n v="0"/>
    <n v="0"/>
    <n v="7823.92"/>
    <n v="7823.92"/>
    <n v="6034.63"/>
    <n v="1789.29"/>
    <s v="Paid"/>
    <s v="Completed"/>
    <x v="0"/>
    <s v="Valid"/>
    <n v="1789.29"/>
    <n v="0.22869482305545047"/>
    <x v="4"/>
    <x v="1"/>
    <s v="Clean"/>
  </r>
  <r>
    <s v="ORD-2025-10334"/>
    <s v="22 Jun 2025"/>
    <d v="2025-06-22T00:00:00"/>
    <s v="2025-06-27"/>
    <d v="2025-06-27T00:00:00"/>
    <s v="Valid"/>
    <n v="5"/>
    <s v="Valid"/>
    <s v="CUST-8081"/>
    <s v="Rohan Mehta"/>
    <s v="Rohan Mehta"/>
    <s v="Home Office"/>
    <x v="3"/>
    <m/>
    <x v="4"/>
    <s v="Delhi"/>
    <s v="New Delhi"/>
    <s v="Technology"/>
    <x v="2"/>
    <x v="11"/>
    <s v="Pro Phones 968"/>
    <s v="First Class"/>
    <x v="2"/>
    <n v="2"/>
    <n v="1468.05"/>
    <n v="0"/>
    <n v="0"/>
    <n v="2936.1"/>
    <n v="2936.1"/>
    <n v="1923.1"/>
    <n v="1013"/>
    <s v="Paid"/>
    <s v="Completed"/>
    <x v="0"/>
    <s v="Valid"/>
    <n v="1013"/>
    <n v="0.34501549674738602"/>
    <x v="2"/>
    <x v="1"/>
    <s v="Clean"/>
  </r>
  <r>
    <s v="ORD-2024-10335"/>
    <s v="12 Sep 2024"/>
    <d v="2024-09-12T00:00:00"/>
    <s v="17-09-2024"/>
    <d v="2024-09-17T00:00:00"/>
    <s v="Valid"/>
    <n v="5"/>
    <s v="Valid"/>
    <s v="CUST-3062"/>
    <s v="Ananya Rao"/>
    <s v="Ananya Rao"/>
    <s v="Consumer"/>
    <x v="0"/>
    <s v="East"/>
    <x v="1"/>
    <s v="Jharkhand"/>
    <s v="Ranchi"/>
    <s v="Office Supplies"/>
    <x v="0"/>
    <x v="8"/>
    <s v="Pro Storage 563"/>
    <s v="First Class"/>
    <x v="2"/>
    <n v="9"/>
    <n v="1921.47"/>
    <n v="0.25"/>
    <n v="0.25"/>
    <n v="12969.922500000001"/>
    <n v="12969.92"/>
    <n v="9398.4599999999991"/>
    <n v="3571.46"/>
    <s v="Paid"/>
    <s v="Completed"/>
    <x v="0"/>
    <s v="Valid"/>
    <n v="3571.4600000000009"/>
    <n v="0.27536479111575268"/>
    <x v="7"/>
    <x v="0"/>
    <s v="Clean"/>
  </r>
  <r>
    <s v="ORD-2025-10336"/>
    <s v="06/16/2025"/>
    <d v="2025-06-16T00:00:00"/>
    <s v="18 Jun 2025"/>
    <d v="2025-06-18T00:00:00"/>
    <s v="Valid"/>
    <n v="2"/>
    <s v="Valid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n v="0.1"/>
    <n v="11581.299000000001"/>
    <n v="11581.3"/>
    <n v="6829.43"/>
    <n v="4751.87"/>
    <s v="Paid"/>
    <s v="Completed"/>
    <x v="0"/>
    <s v="Valid"/>
    <n v="4751.869999999999"/>
    <n v="0.41030544155711707"/>
    <x v="2"/>
    <x v="1"/>
    <s v="Clean"/>
  </r>
  <r>
    <s v="ORD-2024-10337"/>
    <s v="17-03-2024"/>
    <d v="2024-03-17T00:00:00"/>
    <s v="03/21/2024"/>
    <d v="2024-03-21T00:00:00"/>
    <s v="Valid"/>
    <n v="4"/>
    <s v="Valid"/>
    <s v="CUST-2103"/>
    <s v="Aarav Sharma"/>
    <s v="Aarav Sharma"/>
    <s v="Consumer"/>
    <x v="0"/>
    <s v="North"/>
    <x v="0"/>
    <s v="Rajasthan"/>
    <s v="Jaipur"/>
    <s v="Technology"/>
    <x v="2"/>
    <x v="6"/>
    <s v="Pro Copiers 999"/>
    <s v="First Class"/>
    <x v="2"/>
    <n v="8"/>
    <n v="1992.57"/>
    <n v="0"/>
    <n v="0"/>
    <n v="15940.56"/>
    <n v="15940.56"/>
    <n v="12347.15"/>
    <n v="3593.41"/>
    <s v="Paid"/>
    <s v="Completed"/>
    <x v="0"/>
    <s v="Valid"/>
    <n v="3593.41"/>
    <n v="0.2254255810335396"/>
    <x v="11"/>
    <x v="0"/>
    <s v="Clean"/>
  </r>
  <r>
    <s v="ORD-2024-10338"/>
    <s v="12 Aug 2024"/>
    <d v="2024-08-12T00:00:00"/>
    <s v="18 Aug 2024"/>
    <d v="2024-08-18T00:00:00"/>
    <s v="Valid"/>
    <n v="6"/>
    <s v="Valid"/>
    <s v="CUST-4599"/>
    <s v="Ananya Rao"/>
    <s v="Ananya Rao"/>
    <s v="Consumer"/>
    <x v="0"/>
    <s v="East"/>
    <x v="1"/>
    <s v="Assam"/>
    <s v="Guwahati"/>
    <s v="Office Supplies"/>
    <x v="0"/>
    <x v="7"/>
    <s v="Classic Labels 206"/>
    <s v="Same Day"/>
    <x v="1"/>
    <n v="6"/>
    <n v="1181.74"/>
    <n v="0"/>
    <n v="0"/>
    <n v="7090.4400000000005"/>
    <n v="7090.44"/>
    <n v="5672.27"/>
    <n v="1262.8699999999999"/>
    <s v="Paid"/>
    <s v="Completed"/>
    <x v="0"/>
    <s v="Valid"/>
    <n v="1418.1699999999992"/>
    <n v="0.20001156486762445"/>
    <x v="1"/>
    <x v="0"/>
    <s v="Clean"/>
  </r>
  <r>
    <s v="ORD-2024-10339"/>
    <s v="08-12-2024"/>
    <d v="2024-12-08T00:00:00"/>
    <s v="12/08/2024"/>
    <d v="2024-12-08T00:00:00"/>
    <s v="Valid"/>
    <n v="0"/>
    <s v="Valid"/>
    <s v="CUST-3066"/>
    <s v="Arjun Bose"/>
    <s v="Arjun Bose"/>
    <s v="Small Business"/>
    <x v="1"/>
    <s v="South"/>
    <x v="2"/>
    <s v="Andhra Pradesh"/>
    <s v="Vijayawada"/>
    <s v="Technology"/>
    <x v="2"/>
    <x v="5"/>
    <s v="Eco Accessories 315"/>
    <s v="First Class"/>
    <x v="2"/>
    <n v="8"/>
    <n v="4402.3599999999997"/>
    <n v="0.25"/>
    <n v="0.25"/>
    <n v="26414.159999999996"/>
    <n v="26414.16"/>
    <n v="21822.53"/>
    <n v="4591.63"/>
    <s v="Paid"/>
    <s v="Completed"/>
    <x v="0"/>
    <s v="Valid"/>
    <n v="4591.630000000001"/>
    <n v="0.17383214154832111"/>
    <x v="8"/>
    <x v="0"/>
    <s v="Clean"/>
  </r>
  <r>
    <s v="ORD-2025-10340"/>
    <s v="20-02-2025"/>
    <d v="2025-02-20T00:00:00"/>
    <s v="22-02-2025"/>
    <d v="2025-02-22T00:00:00"/>
    <s v="Valid"/>
    <n v="2"/>
    <s v="Valid"/>
    <s v="CUST-2752"/>
    <s v="Neha Gupta"/>
    <s v="Neha Gupta"/>
    <s v="Corporate"/>
    <x v="2"/>
    <s v="East"/>
    <x v="1"/>
    <s v="Jharkhand"/>
    <s v="Ranchi"/>
    <s v="Furniture"/>
    <x v="1"/>
    <x v="10"/>
    <s v="Elite Bookcases 988"/>
    <s v="Standard Class"/>
    <x v="3"/>
    <n v="8"/>
    <n v="3265.76"/>
    <n v="0.2"/>
    <n v="0.2"/>
    <n v="20900.864000000001"/>
    <n v="20900.86"/>
    <n v="12513.14"/>
    <n v="8387.7199999999993"/>
    <s v="Paid"/>
    <s v="Completed"/>
    <x v="0"/>
    <s v="Valid"/>
    <n v="8387.7200000000012"/>
    <n v="0.4013097257606193"/>
    <x v="6"/>
    <x v="1"/>
    <s v="Clean"/>
  </r>
  <r>
    <s v="ORD-2024-10341"/>
    <s v="21 Jan 2024"/>
    <d v="2024-01-21T00:00:00"/>
    <s v="01/29/2024"/>
    <d v="2024-01-29T00:00:00"/>
    <s v="Valid"/>
    <n v="8"/>
    <s v="Valid"/>
    <s v="CUST-6291"/>
    <s v="Neha Gupta"/>
    <s v="Neha Gupta"/>
    <s v="Consumer"/>
    <x v="0"/>
    <s v="South"/>
    <x v="2"/>
    <s v="Karnataka"/>
    <s v="Bengaluru"/>
    <s v="Office Supplies"/>
    <x v="0"/>
    <x v="9"/>
    <s v="Smart Binders 414"/>
    <s v="Standard Class"/>
    <x v="3"/>
    <n v="5"/>
    <n v="4058.08"/>
    <n v="0.1"/>
    <n v="0.1"/>
    <n v="18261.36"/>
    <n v="18261.36"/>
    <n v="11399.94"/>
    <n v="6861.42"/>
    <s v="Paid"/>
    <s v="Completed"/>
    <x v="0"/>
    <s v="Valid"/>
    <n v="6861.42"/>
    <n v="0.3757343374206521"/>
    <x v="10"/>
    <x v="0"/>
    <s v="Clean"/>
  </r>
  <r>
    <s v="ORD-2025-10342"/>
    <s v="08 Sep 2025"/>
    <d v="2025-09-08T00:00:00"/>
    <s v="2025-09-09"/>
    <d v="2025-09-09T00:00:00"/>
    <s v="Valid"/>
    <n v="1"/>
    <s v="Valid"/>
    <s v="CUST-9969"/>
    <s v="Rohan Mehta"/>
    <s v="Rohan Mehta"/>
    <s v="Home Office"/>
    <x v="3"/>
    <s v="West"/>
    <x v="3"/>
    <s v="Gujarat"/>
    <s v="Ahmedabad"/>
    <s v="Furniture"/>
    <x v="1"/>
    <x v="4"/>
    <s v="Eco Chairs 552"/>
    <s v="Second Class"/>
    <x v="0"/>
    <n v="2"/>
    <n v="3960.33"/>
    <n v="0.05"/>
    <n v="0.05"/>
    <n v="7524.6269999999995"/>
    <n v="7524.63"/>
    <n v="6229.6"/>
    <n v="1295.03"/>
    <s v="Paid"/>
    <s v="Completed"/>
    <x v="0"/>
    <s v="Valid"/>
    <n v="1295.0299999999997"/>
    <n v="0.17210554091252628"/>
    <x v="7"/>
    <x v="1"/>
    <s v="Clean"/>
  </r>
  <r>
    <s v="ORD-2025-10343"/>
    <s v="24-07-2025"/>
    <d v="2025-07-24T00:00:00"/>
    <s v="01-08-2025"/>
    <d v="2025-08-01T00:00:00"/>
    <s v="Valid"/>
    <n v="8"/>
    <s v="Valid"/>
    <s v="CUST-3335"/>
    <s v="Kabir Singh"/>
    <s v="Kabir Singh"/>
    <s v="Small Business"/>
    <x v="1"/>
    <s v="East"/>
    <x v="1"/>
    <s v="Jharkhand"/>
    <s v="Ranchi"/>
    <s v="Office Supplies"/>
    <x v="0"/>
    <x v="9"/>
    <s v="Smart Binders 574"/>
    <s v="First Class"/>
    <x v="2"/>
    <n v="8"/>
    <n v="1528.92"/>
    <n v="0"/>
    <n v="0"/>
    <n v="12231.36"/>
    <n v="12231.36"/>
    <n v="8766.9"/>
    <n v="3464.46"/>
    <s v="Paid"/>
    <s v="Completed"/>
    <x v="0"/>
    <s v="Valid"/>
    <n v="3464.4600000000009"/>
    <n v="0.28324405462679547"/>
    <x v="0"/>
    <x v="1"/>
    <s v="Clean"/>
  </r>
  <r>
    <s v="ORD-2025-10344"/>
    <s v="10/03/2025"/>
    <d v="2025-10-03T00:00:00"/>
    <s v="08 Oct 2025"/>
    <d v="2025-10-08T00:00:00"/>
    <s v="Valid"/>
    <n v="5"/>
    <s v="Valid"/>
    <s v="CUST-7358"/>
    <s v="Aarav Sharma"/>
    <s v="Aarav Sharma"/>
    <s v="Corporate"/>
    <x v="2"/>
    <s v="West"/>
    <x v="3"/>
    <s v="Madhya Pradesh"/>
    <s v="Indore"/>
    <s v="Technology"/>
    <x v="2"/>
    <x v="12"/>
    <s v="Pro Machines 444"/>
    <s v="Same Day"/>
    <x v="1"/>
    <n v="9"/>
    <n v="3837"/>
    <n v="0.1"/>
    <n v="0.1"/>
    <n v="31079.7"/>
    <n v="31079.7"/>
    <n v="17758.25"/>
    <n v="13321.45"/>
    <s v="Paid"/>
    <s v="Completed"/>
    <x v="0"/>
    <s v="Valid"/>
    <n v="13321.45"/>
    <n v="0.4286222196481948"/>
    <x v="9"/>
    <x v="1"/>
    <s v="Clean"/>
  </r>
  <r>
    <s v="ORD-2024-10345"/>
    <s v="11-03-2024"/>
    <d v="2024-03-11T00:00:00"/>
    <s v="11-03-2024"/>
    <d v="2024-03-11T00:00:00"/>
    <s v="Valid"/>
    <n v="0"/>
    <s v="Valid"/>
    <s v="CUST-8025"/>
    <s v="Priya Menon"/>
    <s v="Priya Menon"/>
    <s v="Consumer"/>
    <x v="0"/>
    <s v="North"/>
    <x v="0"/>
    <s v="Punjab"/>
    <s v="Ludhiana"/>
    <s v="Furniture"/>
    <x v="1"/>
    <x v="10"/>
    <s v="Elite Bookcases 184"/>
    <s v="Same Day"/>
    <x v="1"/>
    <n v="9"/>
    <n v="3456.38"/>
    <n v="0"/>
    <n v="0"/>
    <n v="31107.420000000002"/>
    <n v="31107.42"/>
    <n v="20146.66"/>
    <n v="10960.76"/>
    <s v="Pending"/>
    <s v="Returned"/>
    <x v="2"/>
    <s v="Valid"/>
    <n v="10960.759999999998"/>
    <n v="0.35235194689884269"/>
    <x v="11"/>
    <x v="0"/>
    <s v="Clean"/>
  </r>
  <r>
    <s v="ORD-2024-10346"/>
    <s v="2024-09-14"/>
    <d v="2024-09-14T00:00:00"/>
    <s v="2024-09-22"/>
    <d v="2024-09-22T00:00:00"/>
    <s v="Valid"/>
    <n v="8"/>
    <s v="Valid"/>
    <s v="CUST-4634"/>
    <s v="Karan Malhotra"/>
    <s v="Karan Malhotra"/>
    <s v="Consumer"/>
    <x v="0"/>
    <s v="West"/>
    <x v="3"/>
    <s v="Madhya Pradesh"/>
    <s v="Indore"/>
    <s v="Furniture"/>
    <x v="1"/>
    <x v="3"/>
    <s v="Elite Furnishings 138"/>
    <s v="Second Class"/>
    <x v="0"/>
    <n v="2"/>
    <n v="2765.3"/>
    <n v="0"/>
    <n v="0"/>
    <n v="5530.6"/>
    <n v="5530.6"/>
    <n v="4453.1099999999997"/>
    <n v="1077.49"/>
    <s v="Paid"/>
    <s v="Completed"/>
    <x v="0"/>
    <s v="Valid"/>
    <n v="1077.4900000000007"/>
    <n v="0.19482334647235391"/>
    <x v="7"/>
    <x v="0"/>
    <s v="Clean"/>
  </r>
  <r>
    <s v="ORD-2025-10347"/>
    <s v="2025-07-22"/>
    <d v="2025-07-22T00:00:00"/>
    <s v="28-07-2025"/>
    <d v="2025-07-28T00:00:00"/>
    <s v="Valid"/>
    <n v="6"/>
    <s v="Valid"/>
    <s v="CUST-3400"/>
    <s v="Rahul Verma"/>
    <s v="Rahul Verma"/>
    <s v="Corporate"/>
    <x v="2"/>
    <s v="South"/>
    <x v="2"/>
    <s v="Kerala"/>
    <s v="Kochi"/>
    <s v="Furniture"/>
    <x v="1"/>
    <x v="4"/>
    <s v="Eco Chairs 369"/>
    <s v="Second Class"/>
    <x v="0"/>
    <n v="6"/>
    <n v="1607.46"/>
    <n v="0.2"/>
    <n v="0.2"/>
    <n v="7715.8080000000009"/>
    <n v="7715.81"/>
    <n v="4258.42"/>
    <n v="3457.39"/>
    <s v="Paid"/>
    <s v="Completed"/>
    <x v="0"/>
    <s v="Valid"/>
    <n v="3457.3900000000003"/>
    <n v="0.44809176174420101"/>
    <x v="0"/>
    <x v="1"/>
    <s v="Clean"/>
  </r>
  <r>
    <s v="ORD-2024-10348"/>
    <s v="01-12-2024"/>
    <d v="2024-12-01T00:00:00"/>
    <s v="12/08/2024"/>
    <d v="2024-12-08T00:00:00"/>
    <s v="Valid"/>
    <n v="7"/>
    <s v="Valid"/>
    <s v="CUST-1172"/>
    <s v="Aarav Sharma"/>
    <s v="Aarav Sharma"/>
    <s v="Small Business"/>
    <x v="1"/>
    <s v="West"/>
    <x v="3"/>
    <s v="Goa"/>
    <s v="Panaji"/>
    <s v="Furniture"/>
    <x v="1"/>
    <x v="4"/>
    <s v="Max Chairs 487"/>
    <s v="Second Class"/>
    <x v="0"/>
    <n v="5"/>
    <n v="2981.49"/>
    <n v="0.2"/>
    <n v="0.2"/>
    <n v="11925.96"/>
    <n v="11925.96"/>
    <n v="10103.51"/>
    <n v="1822.45"/>
    <s v="Refunded"/>
    <s v="Returned"/>
    <x v="2"/>
    <s v="Valid"/>
    <n v="1822.4499999999989"/>
    <n v="0.15281369382422874"/>
    <x v="8"/>
    <x v="0"/>
    <s v="Clean"/>
  </r>
  <r>
    <s v="ORD-2024-10349"/>
    <s v="06/02/2024"/>
    <d v="2024-06-02T00:00:00"/>
    <s v="06/07/2024"/>
    <d v="2024-06-07T00:00:00"/>
    <s v="Valid"/>
    <n v="5"/>
    <s v="Valid"/>
    <s v="CUST-9517"/>
    <s v="Aarav Sharma"/>
    <s v="Aarav Sharma"/>
    <s v="Corporate"/>
    <x v="2"/>
    <s v="South"/>
    <x v="2"/>
    <s v="Karnataka"/>
    <s v="Bengaluru"/>
    <s v="Technology"/>
    <x v="2"/>
    <x v="11"/>
    <s v="Classic Phones 989"/>
    <s v="Same Day"/>
    <x v="1"/>
    <n v="9"/>
    <n v="2860.26"/>
    <n v="0.25"/>
    <n v="0.25"/>
    <n v="19306.755000000005"/>
    <n v="19306.759999999998"/>
    <n v="14442.38"/>
    <n v="4864.38"/>
    <s v="Paid"/>
    <s v="Completed"/>
    <x v="0"/>
    <s v="Valid"/>
    <n v="4864.3799999999992"/>
    <n v="0.25195223122684252"/>
    <x v="2"/>
    <x v="0"/>
    <s v="Clean"/>
  </r>
  <r>
    <s v="ORD-2025-10350"/>
    <s v="27-09-2025"/>
    <d v="2025-09-27T00:00:00"/>
    <s v="09/29/2025"/>
    <d v="2025-09-29T00:00:00"/>
    <s v="Valid"/>
    <n v="2"/>
    <s v="Valid"/>
    <s v="CUST-6697"/>
    <s v="Kabir Singh"/>
    <s v="Kabir Singh"/>
    <s v="Home Office"/>
    <x v="3"/>
    <s v="East"/>
    <x v="1"/>
    <s v="Jharkhand"/>
    <s v="Ranchi"/>
    <s v="Furniture"/>
    <x v="1"/>
    <x v="3"/>
    <s v="Max Furnishings 628"/>
    <s v="Second Class"/>
    <x v="0"/>
    <n v="9"/>
    <n v="2867.55"/>
    <n v="0.25"/>
    <n v="0.25"/>
    <n v="19355.962500000001"/>
    <n v="19355.96"/>
    <n v="15012.45"/>
    <n v="4017.4"/>
    <s v="Paid"/>
    <s v="Completed"/>
    <x v="0"/>
    <s v="Valid"/>
    <n v="4343.5099999999984"/>
    <n v="0.22440165401229714"/>
    <x v="7"/>
    <x v="1"/>
    <s v="Clean"/>
  </r>
  <r>
    <s v="ORD-2024-10351"/>
    <s v="07-01-2024"/>
    <d v="2024-01-07T00:00:00"/>
    <s v="14 Jan 2024"/>
    <d v="2024-01-14T00:00:00"/>
    <s v="Valid"/>
    <n v="7"/>
    <s v="Valid"/>
    <s v="CUST-7644"/>
    <s v="Sneha Kapoor"/>
    <s v="Sneha Kapoor"/>
    <s v="Small Business"/>
    <x v="1"/>
    <s v="East"/>
    <x v="1"/>
    <s v="Jharkhand"/>
    <s v="Ranchi"/>
    <s v="Furniture"/>
    <x v="1"/>
    <x v="3"/>
    <s v="Elite Furnishings 279"/>
    <s v="Second Class"/>
    <x v="0"/>
    <n v="4"/>
    <n v="3309.54"/>
    <n v="0.1"/>
    <n v="0.1"/>
    <n v="11914.344000000001"/>
    <n v="11914.34"/>
    <n v="9771.24"/>
    <n v="2143.1"/>
    <s v="Refunded"/>
    <s v="Returned"/>
    <x v="2"/>
    <s v="Valid"/>
    <n v="2143.1000000000004"/>
    <n v="0.17987561883390307"/>
    <x v="10"/>
    <x v="0"/>
    <s v="Clean"/>
  </r>
  <r>
    <s v="ORD-2025-10352"/>
    <s v="23-05-2025"/>
    <d v="2025-05-23T00:00:00"/>
    <s v="27 May 2025"/>
    <d v="2025-05-27T00:00:00"/>
    <s v="Valid"/>
    <n v="4"/>
    <s v="Valid"/>
    <s v="CUST-9963"/>
    <s v="Vikram Iyer"/>
    <s v="Vikram Iyer"/>
    <s v="Small Business"/>
    <x v="1"/>
    <s v="South"/>
    <x v="2"/>
    <s v="Telangana"/>
    <s v="Hyderabad"/>
    <s v="Office Supplies"/>
    <x v="0"/>
    <x v="8"/>
    <s v="Pro Storage 847"/>
    <s v="First Class"/>
    <x v="2"/>
    <n v="6"/>
    <n v="719.44"/>
    <n v="0.25"/>
    <n v="0.25"/>
    <n v="3237.4800000000005"/>
    <n v="3237.48"/>
    <n v="2118.34"/>
    <n v="1119.1400000000001"/>
    <s v="Pending"/>
    <s v="Cancelled"/>
    <x v="1"/>
    <s v="Valid"/>
    <n v="1119.1399999999999"/>
    <n v="0.34568244437031265"/>
    <x v="4"/>
    <x v="1"/>
    <s v="Clean"/>
  </r>
  <r>
    <s v="ORD-2025-10353"/>
    <s v="15 Aug 2025"/>
    <d v="2025-08-15T00:00:00"/>
    <s v="08/17/2025"/>
    <d v="2025-08-17T00:00:00"/>
    <s v="Valid"/>
    <n v="2"/>
    <s v="Valid"/>
    <s v="CUST-6382"/>
    <s v="Diya Patel"/>
    <s v="Diya Patel"/>
    <s v="Small Business"/>
    <x v="1"/>
    <s v="East"/>
    <x v="1"/>
    <s v="Assam"/>
    <s v="Guwahati"/>
    <s v="Technology"/>
    <x v="2"/>
    <x v="6"/>
    <s v="Elite Copiers 706"/>
    <s v="First Class"/>
    <x v="2"/>
    <n v="5"/>
    <n v="2862.6"/>
    <n v="0.25"/>
    <n v="0.25"/>
    <n v="10734.75"/>
    <n v="10734.75"/>
    <n v="6475.73"/>
    <n v="4259.0200000000004"/>
    <s v="Paid"/>
    <s v="Completed"/>
    <x v="0"/>
    <s v="Valid"/>
    <n v="4259.0200000000004"/>
    <n v="0.39675073942103917"/>
    <x v="1"/>
    <x v="1"/>
    <s v="Clean"/>
  </r>
  <r>
    <s v="ORD-2025-10354"/>
    <s v="21-02-2025"/>
    <d v="2025-02-21T00:00:00"/>
    <s v="27-02-2025"/>
    <d v="2025-02-27T00:00:00"/>
    <s v="Valid"/>
    <n v="6"/>
    <s v="Valid"/>
    <s v="CUST-3253"/>
    <s v="Ananya Rao"/>
    <s v="Ananya Rao"/>
    <s v="Consumer"/>
    <x v="0"/>
    <s v="North"/>
    <x v="0"/>
    <s v="Rajasthan"/>
    <s v="Jaipur"/>
    <s v="Office Supplies"/>
    <x v="0"/>
    <x v="2"/>
    <s v="Prime Art 978"/>
    <s v="Same Day"/>
    <x v="1"/>
    <n v="9"/>
    <n v="1431.67"/>
    <n v="0.2"/>
    <n v="0.2"/>
    <n v="10308.024000000001"/>
    <n v="10308.02"/>
    <n v="5822.31"/>
    <n v="4485.71"/>
    <s v="Paid"/>
    <s v="Completed"/>
    <x v="0"/>
    <s v="Valid"/>
    <n v="4485.71"/>
    <n v="0.43516681761703307"/>
    <x v="6"/>
    <x v="1"/>
    <s v="Clean"/>
  </r>
  <r>
    <s v="ORD-2024-10355"/>
    <s v="27 Dec 2024"/>
    <d v="2024-12-27T00:00:00"/>
    <s v="2024-12-31"/>
    <d v="2024-12-31T00:00:00"/>
    <s v="Valid"/>
    <n v="4"/>
    <s v="Valid"/>
    <s v="CUST-1058"/>
    <s v="Kabir Singh"/>
    <s v="Kabir Singh"/>
    <s v="Corporate"/>
    <x v="2"/>
    <s v="North"/>
    <x v="0"/>
    <s v="Punjab"/>
    <s v="Ludhiana"/>
    <s v="Furniture"/>
    <x v="1"/>
    <x v="3"/>
    <s v="Classic Furnishings 498"/>
    <s v="Standard Class"/>
    <x v="3"/>
    <n v="6"/>
    <n v="3346.78"/>
    <n v="-0.06"/>
    <n v="-0.06"/>
    <n v="21285.520800000002"/>
    <n v="20080.68"/>
    <n v="12908.84"/>
    <n v="7171.84"/>
    <s v="Pending"/>
    <s v="Cancelled"/>
    <x v="1"/>
    <s v="Invalid - Negative Discount"/>
    <n v="7171.84"/>
    <n v="0.33693514325475182"/>
    <x v="8"/>
    <x v="0"/>
    <s v="Clean"/>
  </r>
  <r>
    <s v="ORD-2024-10356"/>
    <s v="12-05-2024"/>
    <d v="2024-05-12T00:00:00"/>
    <s v="2024-05-09"/>
    <d v="2024-05-09T00:00:00"/>
    <s v="Invalid Shipping Record"/>
    <n v="-3"/>
    <s v="Invalid Shipping Record"/>
    <s v="CUST-6414"/>
    <s v="Priya Menon"/>
    <s v="Priya Menon"/>
    <s v="Corporate"/>
    <x v="2"/>
    <s v="West"/>
    <x v="3"/>
    <s v="Rajasthan"/>
    <s v="Udaipur"/>
    <s v="Furniture"/>
    <x v="1"/>
    <x v="1"/>
    <s v="Max Tables 829"/>
    <s v="Standard Class"/>
    <x v="3"/>
    <n v="5"/>
    <n v="3203.48"/>
    <n v="0"/>
    <n v="0"/>
    <n v="16017.4"/>
    <n v="16017.4"/>
    <n v="9557.7999999999993"/>
    <n v="6459.6"/>
    <s v="Pending"/>
    <s v="Cancelled"/>
    <x v="1"/>
    <s v="Valid"/>
    <n v="6459.6"/>
    <n v="0.40328642601171227"/>
    <x v="4"/>
    <x v="0"/>
    <s v="Invalid"/>
  </r>
  <r>
    <s v="ORD-2025-10357"/>
    <s v="27 Jun 2025"/>
    <d v="2025-06-27T00:00:00"/>
    <s v="29 Jun 2025"/>
    <d v="2025-06-29T00:00:00"/>
    <s v="Valid"/>
    <n v="2"/>
    <s v="Valid"/>
    <s v="CUST-9268"/>
    <s v="Rohan Mehta"/>
    <s v="Rohan Mehta"/>
    <s v="Home Office"/>
    <x v="3"/>
    <s v="South"/>
    <x v="2"/>
    <s v="Telangana"/>
    <s v="Hyderabad"/>
    <s v="Furniture"/>
    <x v="1"/>
    <x v="4"/>
    <s v="Eco Chairs 346"/>
    <s v="First Class"/>
    <x v="2"/>
    <n v="5"/>
    <n v="621.70000000000005"/>
    <n v="0.2"/>
    <n v="0.2"/>
    <n v="2486.8000000000002"/>
    <n v="2486.8000000000002"/>
    <n v="2131.73"/>
    <n v="355.07"/>
    <s v="Pending"/>
    <s v="Returned"/>
    <x v="2"/>
    <s v="Valid"/>
    <n v="355.07000000000016"/>
    <n v="0.1427818883705968"/>
    <x v="2"/>
    <x v="1"/>
    <s v="Clean"/>
  </r>
  <r>
    <s v="ORD-2025-10358"/>
    <s v="2025-01-21"/>
    <d v="2025-01-21T00:00:00"/>
    <s v="01/29/2025"/>
    <d v="2025-01-29T00:00:00"/>
    <s v="Valid"/>
    <n v="8"/>
    <s v="Valid"/>
    <s v="CUST-1363"/>
    <s v="Mira Das"/>
    <s v="Mira Das"/>
    <s v="Home Office"/>
    <x v="3"/>
    <s v="South"/>
    <x v="2"/>
    <s v="Andhra Pradesh"/>
    <s v="Vijayawada"/>
    <s v="Technology"/>
    <x v="2"/>
    <x v="12"/>
    <s v="Max Machines 770"/>
    <s v="Second Class"/>
    <x v="0"/>
    <n v="8"/>
    <n v="546.13"/>
    <n v="0"/>
    <n v="0"/>
    <n v="4369.04"/>
    <n v="4369.04"/>
    <n v="3716.88"/>
    <n v="652.16"/>
    <s v="Paid"/>
    <s v="Cancelled"/>
    <x v="1"/>
    <s v="Valid"/>
    <n v="652.15999999999985"/>
    <n v="0.14926848918755603"/>
    <x v="10"/>
    <x v="1"/>
    <s v="Clean"/>
  </r>
  <r>
    <s v="ORD-2025-10359"/>
    <s v="08/09/2025"/>
    <d v="2025-08-09T00:00:00"/>
    <s v="2025-08-07"/>
    <d v="2025-08-07T00:00:00"/>
    <s v="Invalid Shipping Record"/>
    <n v="-2"/>
    <s v="Invalid Shipping Record"/>
    <s v="CUST-2477"/>
    <s v="Vikram Iyer"/>
    <s v="Vikram Iyer"/>
    <s v="Home Office"/>
    <x v="3"/>
    <s v="West"/>
    <x v="3"/>
    <s v="Gujarat"/>
    <s v="Ahmedabad"/>
    <s v="Furniture"/>
    <x v="1"/>
    <x v="10"/>
    <s v="Smart Bookcases 134"/>
    <s v="Second Class"/>
    <x v="0"/>
    <n v="5"/>
    <n v="1253.92"/>
    <n v="0.05"/>
    <n v="0.05"/>
    <n v="5956.12"/>
    <n v="5956.12"/>
    <n v="4379.18"/>
    <n v="1576.94"/>
    <s v="Pending"/>
    <s v="Returned"/>
    <x v="2"/>
    <s v="Valid"/>
    <n v="1576.9399999999996"/>
    <n v="0.26475960860425907"/>
    <x v="1"/>
    <x v="1"/>
    <s v="Invalid"/>
  </r>
  <r>
    <s v="ORD-2024-10360"/>
    <s v="21 Aug 2024"/>
    <d v="2024-08-21T00:00:00"/>
    <s v="22-08-2024"/>
    <d v="2024-08-22T00:00:00"/>
    <s v="Valid"/>
    <n v="1"/>
    <s v="Valid"/>
    <s v="CUST-9571"/>
    <s v="Isha Nair"/>
    <s v="Isha Nair"/>
    <s v="Consumer"/>
    <x v="0"/>
    <s v="South"/>
    <x v="2"/>
    <s v="Tamil Nadu"/>
    <s v="Chennai"/>
    <s v="Technology"/>
    <x v="2"/>
    <x v="11"/>
    <s v="Classic Phones 586"/>
    <s v="Same Day"/>
    <x v="1"/>
    <n v="9"/>
    <n v="616.96"/>
    <n v="0.1"/>
    <n v="0.1"/>
    <n v="4997.3760000000002"/>
    <n v="4997.38"/>
    <n v="2971.39"/>
    <n v="2025.99"/>
    <s v="Paid"/>
    <s v="Completed"/>
    <x v="0"/>
    <s v="Valid"/>
    <n v="2025.9900000000002"/>
    <n v="0.40541075956662059"/>
    <x v="1"/>
    <x v="0"/>
    <s v="Clean"/>
  </r>
  <r>
    <s v="ORD-2024-10361"/>
    <s v="17 Jun 2024"/>
    <d v="2024-06-17T00:00:00"/>
    <s v="2024-06-20"/>
    <d v="2024-06-20T00:00:00"/>
    <s v="Valid"/>
    <n v="3"/>
    <s v="Valid"/>
    <s v="CUST-3690"/>
    <s v="Sneha Kapoor"/>
    <s v="Sneha Kapoor"/>
    <s v="Small Business"/>
    <x v="1"/>
    <s v="West"/>
    <x v="3"/>
    <s v="Gujarat"/>
    <s v="Ahmedabad"/>
    <s v="Furniture"/>
    <x v="1"/>
    <x v="3"/>
    <s v="Elite Furnishings 634"/>
    <s v="Standard Class"/>
    <x v="3"/>
    <n v="7"/>
    <n v="3155.25"/>
    <n v="0.2"/>
    <n v="0.2"/>
    <n v="17669.400000000001"/>
    <n v="17669.400000000001"/>
    <n v="13718.77"/>
    <n v="3950.63"/>
    <s v="Refunded"/>
    <s v="Cancelled"/>
    <x v="1"/>
    <s v="Valid"/>
    <n v="3950.630000000001"/>
    <n v="0.2235859734908939"/>
    <x v="2"/>
    <x v="0"/>
    <s v="Clean"/>
  </r>
  <r>
    <s v="ORD-2025-10362"/>
    <s v="01-04-2025"/>
    <d v="2025-04-01T00:00:00"/>
    <s v="2025-04-02"/>
    <d v="2025-04-02T00:00:00"/>
    <s v="Valid"/>
    <n v="1"/>
    <s v="Valid"/>
    <s v="CUST-2909"/>
    <s v="Rohan Mehta"/>
    <s v="Rohan Mehta"/>
    <s v="Corporate"/>
    <x v="2"/>
    <s v="East"/>
    <x v="1"/>
    <s v="Odisha"/>
    <s v="Bhubaneswar"/>
    <s v="Furniture"/>
    <x v="1"/>
    <x v="4"/>
    <s v="Basic Chairs 113"/>
    <s v="Second Class"/>
    <x v="0"/>
    <n v="9"/>
    <n v="4165.58"/>
    <n v="0.05"/>
    <n v="0.05"/>
    <n v="35615.709000000003"/>
    <n v="35615.71"/>
    <n v="20389.71"/>
    <n v="15226"/>
    <s v="Pending"/>
    <s v="Returned"/>
    <x v="2"/>
    <s v="Valid"/>
    <n v="15226"/>
    <n v="0.42750798531063916"/>
    <x v="5"/>
    <x v="1"/>
    <s v="Clean"/>
  </r>
  <r>
    <s v="ORD-2024-10363"/>
    <s v="23 Aug 2024"/>
    <d v="2024-08-23T00:00:00"/>
    <s v="25-08-2024"/>
    <d v="2024-08-25T00:00:00"/>
    <s v="Valid"/>
    <n v="2"/>
    <s v="Valid"/>
    <s v="CUST-6755"/>
    <s v="Vikram Iyer"/>
    <s v="Vikram Iyer"/>
    <s v="Consumer"/>
    <x v="0"/>
    <s v="West"/>
    <x v="3"/>
    <s v="Goa"/>
    <s v="Panaji"/>
    <s v="Technology"/>
    <x v="2"/>
    <x v="12"/>
    <s v="Elite Machines 216"/>
    <s v="Same Day"/>
    <x v="1"/>
    <n v="4"/>
    <n v="491.16"/>
    <n v="0.05"/>
    <n v="0.05"/>
    <n v="1866.4079999999999"/>
    <n v="1866.41"/>
    <n v="1576.49"/>
    <n v="289.92"/>
    <s v="Paid"/>
    <s v="Completed"/>
    <x v="0"/>
    <s v="Valid"/>
    <n v="289.92000000000007"/>
    <n v="0.15533581081949932"/>
    <x v="1"/>
    <x v="0"/>
    <s v="Clean"/>
  </r>
  <r>
    <s v="ORD-2025-10364"/>
    <s v="07/07/2025"/>
    <d v="2025-07-07T00:00:00"/>
    <s v="07/12/2025"/>
    <d v="2025-07-12T00:00:00"/>
    <s v="Valid"/>
    <n v="5"/>
    <s v="Valid"/>
    <s v="CUST-1832"/>
    <s v="Diya Patel"/>
    <s v="Diya Patel"/>
    <s v="Corporate"/>
    <x v="2"/>
    <s v="East"/>
    <x v="1"/>
    <s v="West Bengal"/>
    <s v="Kolkata"/>
    <s v="Furniture"/>
    <x v="1"/>
    <x v="1"/>
    <s v="Smart Tables 943"/>
    <s v="Second Class"/>
    <x v="0"/>
    <n v="5"/>
    <n v="1831.37"/>
    <n v="0.25"/>
    <n v="0.25"/>
    <n v="6867.6374999999989"/>
    <n v="6867.64"/>
    <n v="5205.3599999999997"/>
    <n v="1662.28"/>
    <s v="Paid"/>
    <s v="Completed"/>
    <x v="0"/>
    <s v="Valid"/>
    <n v="1662.2800000000007"/>
    <n v="0.24204539042720308"/>
    <x v="0"/>
    <x v="1"/>
    <s v="Clean"/>
  </r>
  <r>
    <s v="ORD-2025-10365"/>
    <s v="03/21/2025"/>
    <d v="2025-03-21T00:00:00"/>
    <s v="2025-03-24"/>
    <d v="2025-03-24T00:00:00"/>
    <s v="Valid"/>
    <n v="3"/>
    <s v="Valid"/>
    <s v="CUST-4452"/>
    <s v="Aarav Sharma"/>
    <s v="Aarav Sharma"/>
    <s v="Small Business"/>
    <x v="1"/>
    <s v="South"/>
    <x v="2"/>
    <s v="Andhra Pradesh"/>
    <s v="Vijayawada"/>
    <s v="Furniture"/>
    <x v="1"/>
    <x v="4"/>
    <s v="Prime Chairs 101"/>
    <s v="Second Class"/>
    <x v="0"/>
    <n v="5"/>
    <n v="1239.1500000000001"/>
    <n v="0"/>
    <n v="0"/>
    <n v="6195.75"/>
    <n v="6195.75"/>
    <n v="3967.02"/>
    <n v="2228.73"/>
    <s v="Paid"/>
    <s v="Completed"/>
    <x v="0"/>
    <s v="Valid"/>
    <n v="2228.73"/>
    <n v="0.35971916232901585"/>
    <x v="11"/>
    <x v="1"/>
    <s v="Clean"/>
  </r>
  <r>
    <s v="ORD-2024-10366"/>
    <s v="15-06-2024"/>
    <d v="2024-06-15T00:00:00"/>
    <s v="21-06-2024"/>
    <d v="2024-06-21T00:00:00"/>
    <s v="Valid"/>
    <n v="6"/>
    <s v="Valid"/>
    <s v="CUST-2203"/>
    <s v="Aditi Sen"/>
    <s v="Aditi Sen"/>
    <s v="Corporate"/>
    <x v="2"/>
    <s v="West"/>
    <x v="3"/>
    <s v="Goa"/>
    <s v="Panaji"/>
    <s v="Technology"/>
    <x v="2"/>
    <x v="5"/>
    <s v="Basic Accessories 774"/>
    <s v="First Class"/>
    <x v="2"/>
    <n v="8"/>
    <n v="1706.4"/>
    <m/>
    <n v="0"/>
    <n v="13651.2"/>
    <n v="12968.64"/>
    <n v="10119.61"/>
    <n v="2849.03"/>
    <s v="Paid"/>
    <s v="Completed"/>
    <x v="0"/>
    <s v="Valid"/>
    <n v="2849.0299999999988"/>
    <n v="0.20870179910923572"/>
    <x v="2"/>
    <x v="0"/>
    <s v="Clean"/>
  </r>
  <r>
    <s v="ORD-2025-10367"/>
    <s v="2025-01-16"/>
    <d v="2025-01-16T00:00:00"/>
    <s v="2025-01-22"/>
    <d v="2025-01-22T00:00:00"/>
    <s v="Valid"/>
    <n v="6"/>
    <s v="Valid"/>
    <s v="CUST-5397"/>
    <s v="Sneha Kapoor"/>
    <s v="Sneha Kapoor"/>
    <s v="Corporate"/>
    <x v="2"/>
    <s v="North"/>
    <x v="0"/>
    <s v="Rajasthan"/>
    <s v="Jaipur"/>
    <s v="Furniture"/>
    <x v="1"/>
    <x v="1"/>
    <s v="Max Tables 478"/>
    <s v="Same Day"/>
    <x v="1"/>
    <n v="2"/>
    <n v="4418.28"/>
    <n v="0"/>
    <n v="0"/>
    <n v="8836.56"/>
    <n v="8836.56"/>
    <n v="5867.75"/>
    <n v="2968.81"/>
    <s v="Paid"/>
    <s v="Completed"/>
    <x v="0"/>
    <s v="Valid"/>
    <n v="2968.8099999999995"/>
    <n v="0.33596897435201023"/>
    <x v="10"/>
    <x v="1"/>
    <s v="Clean"/>
  </r>
  <r>
    <s v="ORD-2024-10368"/>
    <s v="2024-03-15"/>
    <d v="2024-03-15T00:00:00"/>
    <s v="03/16/2024"/>
    <d v="2024-03-16T00:00:00"/>
    <s v="Valid"/>
    <n v="1"/>
    <s v="Valid"/>
    <s v="CUST-4696"/>
    <s v="Rohan Mehta"/>
    <s v="Rohan Mehta"/>
    <s v="Consumer"/>
    <x v="0"/>
    <s v="North"/>
    <x v="0"/>
    <s v="Delhi"/>
    <s v="New Delhi"/>
    <s v="Office Supplies"/>
    <x v="0"/>
    <x v="2"/>
    <s v="Eco Art 646"/>
    <s v="Standard Class"/>
    <x v="3"/>
    <n v="6"/>
    <n v="3815.09"/>
    <n v="0.15"/>
    <n v="0.15"/>
    <n v="19456.958999999999"/>
    <n v="19456.96"/>
    <n v="14520.06"/>
    <n v="4936.8999999999996"/>
    <s v="Failed"/>
    <s v="Cancelled"/>
    <x v="1"/>
    <s v="Valid"/>
    <n v="4936.8999999999996"/>
    <n v="0.25373440936993286"/>
    <x v="11"/>
    <x v="0"/>
    <s v="Clean"/>
  </r>
  <r>
    <s v="ORD-2025-10369"/>
    <s v="06-07-2025"/>
    <d v="2025-07-06T00:00:00"/>
    <s v="06-07-2025"/>
    <d v="2025-07-06T00:00:00"/>
    <s v="Valid"/>
    <n v="0"/>
    <s v="Valid"/>
    <s v="CUST-8246"/>
    <s v="Aarav Sharma"/>
    <s v="Aarav Sharma"/>
    <s v="Home Office"/>
    <x v="3"/>
    <s v="North"/>
    <x v="0"/>
    <s v="Rajasthan"/>
    <s v="Jaipur"/>
    <s v="Technology"/>
    <x v="2"/>
    <x v="5"/>
    <s v="Prime Accessories 962"/>
    <s v="Same Day"/>
    <x v="1"/>
    <n v="9"/>
    <n v="243.19"/>
    <n v="0.05"/>
    <n v="0.05"/>
    <n v="2079.2745"/>
    <n v="2079.27"/>
    <n v="1512.17"/>
    <n v="567.1"/>
    <s v="Refunded"/>
    <s v="Returned"/>
    <x v="2"/>
    <s v="Valid"/>
    <n v="567.09999999999991"/>
    <n v="0.27273936173410479"/>
    <x v="0"/>
    <x v="1"/>
    <s v="Clean"/>
  </r>
  <r>
    <s v="ORD-2025-10370"/>
    <s v="23-01-2025"/>
    <d v="2025-01-23T00:00:00"/>
    <s v="01/30/2025"/>
    <d v="2025-01-30T00:00:00"/>
    <s v="Valid"/>
    <n v="7"/>
    <s v="Valid"/>
    <s v="CUST-5672"/>
    <s v="Priya Menon"/>
    <s v="Priya Menon"/>
    <s v="Consumer"/>
    <x v="0"/>
    <s v="North"/>
    <x v="0"/>
    <s v="Delhi"/>
    <s v="New Delhi"/>
    <s v="Office Supplies"/>
    <x v="0"/>
    <x v="7"/>
    <s v="Eco Labels 646"/>
    <s v="Standard Class"/>
    <x v="3"/>
    <n v="9"/>
    <n v="1169.3699999999999"/>
    <n v="0.15"/>
    <n v="0.15"/>
    <n v="8945.6804999999986"/>
    <n v="8945.68"/>
    <n v="6740.35"/>
    <n v="2205.33"/>
    <s v="Paid"/>
    <s v="Completed"/>
    <x v="0"/>
    <s v="Valid"/>
    <n v="2205.33"/>
    <n v="0.2465245656828455"/>
    <x v="10"/>
    <x v="1"/>
    <s v="Clean"/>
  </r>
  <r>
    <s v="ORD-2024-10371"/>
    <s v="08/15/2024"/>
    <d v="2024-08-15T00:00:00"/>
    <s v="21 Aug 2024"/>
    <d v="2024-08-21T00:00:00"/>
    <s v="Valid"/>
    <n v="6"/>
    <s v="Valid"/>
    <s v="CUST-8521"/>
    <s v="Ananya Rao"/>
    <s v="Ananya Rao"/>
    <s v="Small Business"/>
    <x v="1"/>
    <s v="West"/>
    <x v="3"/>
    <s v="Rajasthan"/>
    <s v="Udaipur"/>
    <s v="Technology"/>
    <x v="2"/>
    <x v="6"/>
    <s v="Classic Copiers 505"/>
    <s v="First Class"/>
    <x v="2"/>
    <n v="7"/>
    <n v="2333.81"/>
    <n v="0.2"/>
    <n v="0.2"/>
    <n v="13069.336000000001"/>
    <n v="13069.34"/>
    <n v="8768.59"/>
    <n v="4300.75"/>
    <s v="Paid"/>
    <s v="Completed"/>
    <x v="0"/>
    <s v="Valid"/>
    <n v="4300.75"/>
    <n v="0.32907180594331648"/>
    <x v="1"/>
    <x v="0"/>
    <s v="Clean"/>
  </r>
  <r>
    <s v="ORD-2024-10372"/>
    <s v="22-01-2024"/>
    <d v="2024-01-22T00:00:00"/>
    <s v="2024-01-24"/>
    <d v="2024-01-24T00:00:00"/>
    <s v="Valid"/>
    <n v="2"/>
    <s v="Valid"/>
    <s v="CUST-2204"/>
    <s v="Diya Patel"/>
    <s v="Diya Patel"/>
    <s v="Home Office"/>
    <x v="3"/>
    <s v="West"/>
    <x v="3"/>
    <s v="Maharashtra"/>
    <s v="Mumbai"/>
    <s v="Office Supplies"/>
    <x v="0"/>
    <x v="2"/>
    <s v="Pro Art 906"/>
    <s v="Standard Class"/>
    <x v="3"/>
    <n v="6"/>
    <n v="1026.06"/>
    <m/>
    <n v="0"/>
    <n v="6156.36"/>
    <n v="4617.2700000000004"/>
    <n v="2981.94"/>
    <n v="1635.33"/>
    <s v="Refunded"/>
    <s v="Cancelled"/>
    <x v="1"/>
    <s v="Valid"/>
    <n v="1635.3300000000004"/>
    <n v="0.26563261407714955"/>
    <x v="10"/>
    <x v="0"/>
    <s v="Clean"/>
  </r>
  <r>
    <s v="ORD-2025-10373"/>
    <s v="2025-08-16"/>
    <d v="2025-08-16T00:00:00"/>
    <s v="2025-08-18"/>
    <d v="2025-08-18T00:00:00"/>
    <s v="Valid"/>
    <n v="2"/>
    <s v="Valid"/>
    <s v="CUST-4399"/>
    <s v="Kabir Singh"/>
    <s v="Kabir Singh"/>
    <s v="Consumer"/>
    <x v="0"/>
    <s v="East"/>
    <x v="1"/>
    <s v="Jharkhand"/>
    <s v="Ranchi"/>
    <s v="Furniture"/>
    <x v="1"/>
    <x v="4"/>
    <s v="Max Chairs 181"/>
    <s v="Same Day"/>
    <x v="1"/>
    <n v="5"/>
    <n v="1530.36"/>
    <n v="0"/>
    <n v="0"/>
    <n v="7651.7999999999993"/>
    <n v="7651.8"/>
    <n v="5171.78"/>
    <n v="2480.02"/>
    <s v="Paid"/>
    <s v="Completed"/>
    <x v="0"/>
    <s v="Valid"/>
    <n v="2480.0200000000004"/>
    <n v="0.3241093598891765"/>
    <x v="1"/>
    <x v="1"/>
    <s v="Clean"/>
  </r>
  <r>
    <s v="ORD-2025-10374"/>
    <s v="2025-04-13"/>
    <d v="2025-04-13T00:00:00"/>
    <s v="2025-04-13"/>
    <d v="2025-04-13T00:00:00"/>
    <s v="Valid"/>
    <n v="0"/>
    <s v="Valid"/>
    <s v="CUST-8566"/>
    <s v="Sneha Kapoor"/>
    <s v="Sneha Kapoor"/>
    <s v="Small Business"/>
    <x v="1"/>
    <s v="North"/>
    <x v="0"/>
    <s v="Uttar Pradesh"/>
    <s v="Noida"/>
    <s v="Office Supplies"/>
    <x v="0"/>
    <x v="8"/>
    <s v="Prime Storage 951"/>
    <s v="Second Class"/>
    <x v="0"/>
    <n v="9"/>
    <n v="1118.68"/>
    <n v="0"/>
    <n v="0"/>
    <n v="10068.120000000001"/>
    <n v="10068.120000000001"/>
    <n v="8595.3700000000008"/>
    <n v="1472.75"/>
    <s v="Paid"/>
    <s v="Completed"/>
    <x v="0"/>
    <s v="Valid"/>
    <n v="1472.75"/>
    <n v="0.14627855051389932"/>
    <x v="5"/>
    <x v="1"/>
    <s v="Clean"/>
  </r>
  <r>
    <s v="ORD-2025-10375"/>
    <s v="2025-02-27"/>
    <d v="2025-02-27T00:00:00"/>
    <s v="28-02-2025"/>
    <d v="2025-02-28T00:00:00"/>
    <s v="Valid"/>
    <n v="1"/>
    <s v="Valid"/>
    <s v="CUST-2358"/>
    <s v="Aditi Sen"/>
    <s v="Aditi Sen"/>
    <s v="Small Business"/>
    <x v="1"/>
    <s v="North"/>
    <x v="0"/>
    <s v="Uttar Pradesh"/>
    <s v="Noida"/>
    <s v="Office Supplies"/>
    <x v="0"/>
    <x v="7"/>
    <s v="Smart Labels 668"/>
    <s v="Standard Class"/>
    <x v="3"/>
    <n v="6"/>
    <n v="2393.25"/>
    <n v="0"/>
    <n v="0"/>
    <n v="14359.5"/>
    <n v="14359.5"/>
    <n v="8117.71"/>
    <n v="6241.79"/>
    <s v="Paid"/>
    <s v="Completed"/>
    <x v="0"/>
    <s v="Valid"/>
    <n v="6241.79"/>
    <n v="0.43468017688638183"/>
    <x v="6"/>
    <x v="1"/>
    <s v="Clean"/>
  </r>
  <r>
    <s v="ORD-2024-10376"/>
    <s v="31-12-2024"/>
    <d v="2024-12-31T00:00:00"/>
    <s v="04 Jan 2025"/>
    <d v="2025-01-04T00:00:00"/>
    <s v="Valid"/>
    <n v="4"/>
    <s v="Valid"/>
    <s v="CUST-2810"/>
    <s v="Vikram Iyer"/>
    <s v="Vikram Iyer"/>
    <s v="Consumer"/>
    <x v="0"/>
    <s v="North"/>
    <x v="0"/>
    <s v="Delhi"/>
    <s v="New Delhi"/>
    <s v="Furniture"/>
    <x v="1"/>
    <x v="4"/>
    <s v="Pro Chairs 364"/>
    <s v="Same Day"/>
    <x v="1"/>
    <n v="3"/>
    <n v="1166.6099999999999"/>
    <n v="0.25"/>
    <n v="0.25"/>
    <n v="2624.8724999999999"/>
    <n v="2624.87"/>
    <n v="2253.88"/>
    <n v="370.99"/>
    <s v="Paid"/>
    <s v="Completed"/>
    <x v="0"/>
    <s v="Valid"/>
    <n v="370.98999999999978"/>
    <n v="0.14133638871983298"/>
    <x v="8"/>
    <x v="0"/>
    <s v="Clean"/>
  </r>
  <r>
    <s v="ORD-2024-10377"/>
    <s v="29-12-2024"/>
    <d v="2024-12-29T00:00:00"/>
    <s v="2024-12-31"/>
    <d v="2024-12-31T00:00:00"/>
    <s v="Valid"/>
    <n v="2"/>
    <s v="Valid"/>
    <s v="CUST-5166"/>
    <s v="Isha Nair"/>
    <s v="Isha Nair"/>
    <s v="Small Business"/>
    <x v="1"/>
    <s v="East"/>
    <x v="1"/>
    <s v="Bihar"/>
    <s v="Patna"/>
    <s v="Furniture"/>
    <x v="1"/>
    <x v="4"/>
    <s v="Basic Chairs 248"/>
    <s v="First Class"/>
    <x v="2"/>
    <n v="6"/>
    <n v="1844.78"/>
    <n v="0.2"/>
    <n v="0.2"/>
    <n v="8854.9440000000013"/>
    <n v="8854.94"/>
    <n v="7433.95"/>
    <n v="1420.99"/>
    <s v="Paid"/>
    <s v="Completed"/>
    <x v="0"/>
    <s v="Valid"/>
    <n v="1420.9900000000007"/>
    <n v="0.1604741938514801"/>
    <x v="8"/>
    <x v="0"/>
    <s v="Clean"/>
  </r>
  <r>
    <s v="ORD-2025-10378"/>
    <s v="24 May 2025"/>
    <d v="2025-05-24T00:00:00"/>
    <s v="30-05-2025"/>
    <d v="2025-05-30T00:00:00"/>
    <s v="Valid"/>
    <n v="6"/>
    <s v="Valid"/>
    <s v="CUST-4875"/>
    <s v="Kabir Singh"/>
    <s v="Kabir Singh"/>
    <s v="Small Business"/>
    <x v="1"/>
    <s v="East"/>
    <x v="1"/>
    <s v="Odisha"/>
    <s v="Bhubaneswar"/>
    <s v="Office Supplies"/>
    <x v="0"/>
    <x v="8"/>
    <s v="Basic Storage 360"/>
    <s v="Same Day"/>
    <x v="1"/>
    <n v="1"/>
    <n v="2564.7399999999998"/>
    <n v="0"/>
    <n v="0"/>
    <n v="2564.7399999999998"/>
    <n v="2564.7399999999998"/>
    <n v="1754.58"/>
    <n v="810.16"/>
    <s v="Paid"/>
    <s v="Completed"/>
    <x v="0"/>
    <s v="Valid"/>
    <n v="810.15999999999985"/>
    <n v="0.31588387126960232"/>
    <x v="4"/>
    <x v="1"/>
    <s v="Clean"/>
  </r>
  <r>
    <s v="ORD-2025-10379"/>
    <s v="22-05-2025"/>
    <d v="2025-05-22T00:00:00"/>
    <s v="22-05-2025"/>
    <d v="2025-05-22T00:00:00"/>
    <s v="Valid"/>
    <n v="0"/>
    <s v="Valid"/>
    <s v="CUST-3154"/>
    <s v="Mira Das"/>
    <s v="Mira Das"/>
    <s v="Consumer"/>
    <x v="0"/>
    <s v="West"/>
    <x v="3"/>
    <s v="Goa"/>
    <s v="Panaji"/>
    <s v="Technology"/>
    <x v="2"/>
    <x v="5"/>
    <s v="Basic Accessories 988"/>
    <s v="Standard Class"/>
    <x v="3"/>
    <n v="2"/>
    <n v="3910.61"/>
    <n v="0"/>
    <n v="0"/>
    <n v="7821.22"/>
    <n v="7821.22"/>
    <n v="4994.46"/>
    <n v="2826.76"/>
    <s v="Paid"/>
    <s v="Completed"/>
    <x v="0"/>
    <s v="Valid"/>
    <n v="2826.76"/>
    <n v="0.36142187535959863"/>
    <x v="4"/>
    <x v="1"/>
    <s v="Clean"/>
  </r>
  <r>
    <s v="ORD-2024-10380"/>
    <s v="09/19/2024"/>
    <d v="2024-09-19T00:00:00"/>
    <s v="23 Sep 2024"/>
    <d v="2024-09-23T00:00:00"/>
    <s v="Valid"/>
    <n v="4"/>
    <s v="Valid"/>
    <s v="CUST-6405"/>
    <s v="Mira Das"/>
    <s v="Mira Das"/>
    <s v="Small Business"/>
    <x v="1"/>
    <s v="South"/>
    <x v="2"/>
    <s v="Kerala"/>
    <s v="Kochi"/>
    <s v="Office Supplies"/>
    <x v="0"/>
    <x v="0"/>
    <s v="Max Paper 334"/>
    <s v="Standard Class"/>
    <x v="3"/>
    <n v="7"/>
    <n v="1136.68"/>
    <m/>
    <n v="0"/>
    <n v="7956.76"/>
    <n v="7956.76"/>
    <n v="4799.54"/>
    <n v="3157.22"/>
    <s v="Paid"/>
    <s v="Completed"/>
    <x v="0"/>
    <s v="Valid"/>
    <n v="3157.2200000000003"/>
    <n v="0.39679718880549369"/>
    <x v="7"/>
    <x v="0"/>
    <s v="Clean"/>
  </r>
  <r>
    <s v="ORD-2024-10381"/>
    <s v="07 Apr 2024"/>
    <d v="2024-04-07T00:00:00"/>
    <s v="14-04-2024"/>
    <d v="2024-04-14T00:00:00"/>
    <s v="Valid"/>
    <n v="7"/>
    <s v="Valid"/>
    <s v="CUST-5779"/>
    <s v="Vikram Iyer"/>
    <s v="Vikram Iyer"/>
    <s v="Consumer"/>
    <x v="0"/>
    <s v="West"/>
    <x v="3"/>
    <s v="Maharashtra"/>
    <s v="Mumbai"/>
    <s v="Furniture"/>
    <x v="1"/>
    <x v="10"/>
    <s v="Prime Bookcases 952"/>
    <s v="Same Day"/>
    <x v="1"/>
    <n v="5"/>
    <n v="2235.85"/>
    <n v="0.25"/>
    <n v="0.25"/>
    <n v="8384.4375"/>
    <n v="8384.44"/>
    <n v="4765.96"/>
    <n v="3618.48"/>
    <s v="Paid"/>
    <s v="Returned"/>
    <x v="2"/>
    <s v="Valid"/>
    <n v="3618.4800000000005"/>
    <n v="0.43157099089831613"/>
    <x v="5"/>
    <x v="0"/>
    <s v="Clean"/>
  </r>
  <r>
    <s v="ORD-2025-10382"/>
    <s v="2025-09-19"/>
    <d v="2025-09-19T00:00:00"/>
    <s v="23-09-2025"/>
    <d v="2025-09-23T00:00:00"/>
    <s v="Valid"/>
    <n v="4"/>
    <s v="Valid"/>
    <s v="CUST-9943"/>
    <s v="Arjun Bose"/>
    <s v="Arjun Bose"/>
    <s v="Home Office"/>
    <x v="3"/>
    <s v="North"/>
    <x v="0"/>
    <s v="Delhi"/>
    <s v="New Delhi"/>
    <s v="Office Supplies"/>
    <x v="0"/>
    <x v="9"/>
    <s v="Prime Binders 523"/>
    <s v="Standard Class"/>
    <x v="3"/>
    <n v="4"/>
    <n v="4387.1499999999996"/>
    <n v="0.05"/>
    <n v="0.05"/>
    <n v="16671.169999999998"/>
    <n v="16671.169999999998"/>
    <n v="10833.19"/>
    <n v="5837.98"/>
    <s v="Failed"/>
    <s v="Cancelled"/>
    <x v="1"/>
    <s v="Valid"/>
    <n v="5837.9799999999977"/>
    <n v="0.35018418023450054"/>
    <x v="7"/>
    <x v="1"/>
    <s v="Clean"/>
  </r>
  <r>
    <s v="ORD-2025-10383"/>
    <s v="04 Mar 2025"/>
    <d v="2025-03-04T00:00:00"/>
    <s v="03/08/2025"/>
    <d v="2025-03-08T00:00:00"/>
    <s v="Valid"/>
    <n v="4"/>
    <s v="Valid"/>
    <s v="CUST-7098"/>
    <s v="Arjun Bose"/>
    <s v="Arjun Bose"/>
    <s v="Small Business"/>
    <x v="1"/>
    <s v="East"/>
    <x v="1"/>
    <s v="Bihar"/>
    <s v="Patna"/>
    <s v="Technology"/>
    <x v="2"/>
    <x v="11"/>
    <s v="Pro Phones 538"/>
    <s v="First Class"/>
    <x v="2"/>
    <n v="3"/>
    <n v="4361.8500000000004"/>
    <n v="0.2"/>
    <n v="0.2"/>
    <n v="10468.440000000002"/>
    <n v="10468.44"/>
    <n v="8399.8700000000008"/>
    <n v="2068.5700000000002"/>
    <s v="Paid"/>
    <s v="Completed"/>
    <x v="0"/>
    <s v="Valid"/>
    <n v="2068.5699999999997"/>
    <n v="0.19760059760575591"/>
    <x v="11"/>
    <x v="1"/>
    <s v="Clean"/>
  </r>
  <r>
    <s v="ORD-2025-10384"/>
    <s v="28 Jun 2025"/>
    <d v="2025-06-28T00:00:00"/>
    <s v="05 Jul 2025"/>
    <d v="2025-07-05T00:00:00"/>
    <s v="Valid"/>
    <n v="7"/>
    <s v="Valid"/>
    <s v="CUST-7438"/>
    <s v="Vikram Iyer"/>
    <s v="Vikram Iyer"/>
    <s v="Corporate"/>
    <x v="2"/>
    <s v="East"/>
    <x v="1"/>
    <s v="West Bengal"/>
    <s v="Kolkata"/>
    <s v="Office Supplies"/>
    <x v="0"/>
    <x v="2"/>
    <s v="Basic Art 608"/>
    <s v="First Class"/>
    <x v="2"/>
    <n v="2"/>
    <n v="2242.75"/>
    <n v="0"/>
    <n v="0"/>
    <n v="4485.5"/>
    <n v="4485.5"/>
    <n v="3131.86"/>
    <n v="1353.64"/>
    <s v="Paid"/>
    <s v="Cancelled"/>
    <x v="1"/>
    <s v="Valid"/>
    <n v="1353.6399999999999"/>
    <n v="0.30178129528480657"/>
    <x v="2"/>
    <x v="1"/>
    <s v="Clean"/>
  </r>
  <r>
    <s v="ORD-2024-10385"/>
    <s v="15-03-2024"/>
    <d v="2024-03-15T00:00:00"/>
    <s v="2024-03-20"/>
    <d v="2024-03-20T00:00:00"/>
    <s v="Valid"/>
    <n v="5"/>
    <s v="Valid"/>
    <s v="CUST-8432"/>
    <s v="Rohan Mehta"/>
    <s v="Rohan Mehta"/>
    <s v="Consumer"/>
    <x v="0"/>
    <s v="East"/>
    <x v="1"/>
    <s v="Jharkhand"/>
    <s v="Ranchi"/>
    <s v="Technology"/>
    <x v="2"/>
    <x v="6"/>
    <s v="Prime Copiers 820"/>
    <s v="Standard Class"/>
    <x v="3"/>
    <n v="2"/>
    <n v="1881.4"/>
    <n v="0.25"/>
    <n v="0.25"/>
    <n v="2822.1000000000004"/>
    <n v="2822.1"/>
    <n v="1624.57"/>
    <n v="1197.53"/>
    <s v="Paid"/>
    <s v="Returned"/>
    <x v="2"/>
    <s v="Valid"/>
    <n v="1197.53"/>
    <n v="0.42434003047376062"/>
    <x v="11"/>
    <x v="0"/>
    <s v="Clean"/>
  </r>
  <r>
    <s v="ORD-2025-10386"/>
    <s v="2025-06-24"/>
    <d v="2025-06-24T00:00:00"/>
    <s v="30 Jun 2025"/>
    <d v="2025-06-30T00:00:00"/>
    <s v="Valid"/>
    <n v="6"/>
    <s v="Valid"/>
    <s v="CUST-2834"/>
    <s v="Arjun Bose"/>
    <s v="Arjun Bose"/>
    <s v="Consumer"/>
    <x v="0"/>
    <s v="North"/>
    <x v="0"/>
    <s v="Haryana"/>
    <s v="Gurugram"/>
    <s v="Office Supplies"/>
    <x v="0"/>
    <x v="7"/>
    <s v="Classic Labels 670"/>
    <s v="Standard Class"/>
    <x v="3"/>
    <n v="6"/>
    <n v="365.76"/>
    <n v="0.1"/>
    <n v="0.1"/>
    <n v="1975.104"/>
    <n v="1975.1"/>
    <n v="1115.3499999999999"/>
    <n v="859.75"/>
    <s v="Paid"/>
    <s v="Completed"/>
    <x v="0"/>
    <s v="Valid"/>
    <n v="859.75"/>
    <n v="0.43529353391011305"/>
    <x v="2"/>
    <x v="1"/>
    <s v="Clean"/>
  </r>
  <r>
    <s v="ORD-2025-10387"/>
    <s v="02/12/2025"/>
    <d v="2025-02-12T00:00:00"/>
    <s v="14-02-2025"/>
    <d v="2025-02-14T00:00:00"/>
    <s v="Valid"/>
    <n v="2"/>
    <s v="Valid"/>
    <s v="CUST-4222"/>
    <s v="Sneha Kapoor"/>
    <s v="Sneha Kapoor"/>
    <s v="Consumer"/>
    <x v="0"/>
    <s v="West"/>
    <x v="3"/>
    <s v="Maharashtra"/>
    <s v="Mumbai"/>
    <s v="Furniture"/>
    <x v="1"/>
    <x v="3"/>
    <s v="Prime Furnishings 597"/>
    <s v="Second Class"/>
    <x v="0"/>
    <n v="8"/>
    <n v="2786.66"/>
    <n v="0.1"/>
    <n v="0.1"/>
    <n v="20063.952000000001"/>
    <n v="20063.95"/>
    <n v="14363.38"/>
    <n v="5700.57"/>
    <s v="Paid"/>
    <s v="Completed"/>
    <x v="0"/>
    <s v="Valid"/>
    <n v="5700.5700000000015"/>
    <n v="0.28411999789473186"/>
    <x v="6"/>
    <x v="1"/>
    <s v="Clean"/>
  </r>
  <r>
    <s v="ORD-2025-10388"/>
    <s v="10-08-2025"/>
    <d v="2025-08-10T00:00:00"/>
    <s v="08/13/2025"/>
    <d v="2025-08-13T00:00:00"/>
    <s v="Valid"/>
    <n v="3"/>
    <s v="Valid"/>
    <s v="CUST-1053"/>
    <s v="Priya Menon"/>
    <s v="Priya Menon"/>
    <s v="Small Business"/>
    <x v="1"/>
    <s v="West"/>
    <x v="3"/>
    <s v="Madhya Pradesh"/>
    <s v="Indore"/>
    <s v="Furniture"/>
    <x v="1"/>
    <x v="4"/>
    <s v="Prime Chairs 196"/>
    <s v="Standard Class"/>
    <x v="3"/>
    <n v="5"/>
    <n v="352.86"/>
    <n v="0"/>
    <n v="0"/>
    <n v="1764.3000000000002"/>
    <n v="1764.3"/>
    <n v="1332.49"/>
    <n v="431.81"/>
    <s v="Pending"/>
    <s v="Cancelled"/>
    <x v="1"/>
    <s v="Valid"/>
    <n v="431.80999999999995"/>
    <n v="0.24474862551720222"/>
    <x v="1"/>
    <x v="1"/>
    <s v="Clean"/>
  </r>
  <r>
    <s v="ORD-2024-10389"/>
    <s v="2024-05-13"/>
    <d v="2024-05-13T00:00:00"/>
    <s v="18 May 2024"/>
    <d v="2024-05-18T00:00:00"/>
    <s v="Valid"/>
    <n v="5"/>
    <s v="Valid"/>
    <s v="CUST-1457"/>
    <s v="Isha Nair"/>
    <s v="Isha Nair"/>
    <s v="Small Business"/>
    <x v="1"/>
    <s v="West"/>
    <x v="3"/>
    <s v="Gujarat"/>
    <s v="Ahmedabad"/>
    <s v="Furniture"/>
    <x v="1"/>
    <x v="4"/>
    <s v="Elite Chairs 639"/>
    <s v="Standard Class"/>
    <x v="3"/>
    <n v="3"/>
    <n v="3128.59"/>
    <n v="0"/>
    <n v="0"/>
    <n v="9385.77"/>
    <n v="9385.77"/>
    <n v="6872.44"/>
    <n v="2783.66"/>
    <s v="Paid"/>
    <s v="Completed"/>
    <x v="0"/>
    <s v="Valid"/>
    <n v="2513.3300000000008"/>
    <n v="0.26778090662779941"/>
    <x v="4"/>
    <x v="0"/>
    <s v="Clean"/>
  </r>
  <r>
    <s v="ORD-2024-10390"/>
    <s v="05 Apr 2024"/>
    <d v="2024-04-05T00:00:00"/>
    <s v="13 Apr 2024"/>
    <d v="2024-04-13T00:00:00"/>
    <s v="Valid"/>
    <n v="8"/>
    <s v="Valid"/>
    <s v="CUST-3930"/>
    <s v="Diya Patel"/>
    <s v="Diya Patel"/>
    <s v="Corporate"/>
    <x v="2"/>
    <s v="West"/>
    <x v="3"/>
    <s v="Gujarat"/>
    <s v="Ahmedabad"/>
    <s v="Technology"/>
    <x v="2"/>
    <x v="12"/>
    <s v="Elite Machines 563"/>
    <s v="Second Class"/>
    <x v="0"/>
    <n v="5"/>
    <n v="1937.54"/>
    <n v="0.2"/>
    <n v="0.2"/>
    <n v="7750.1600000000008"/>
    <n v="7750.16"/>
    <n v="5434.3"/>
    <n v="2315.86"/>
    <s v="Pending"/>
    <s v="Cancelled"/>
    <x v="1"/>
    <s v="Valid"/>
    <n v="2315.8599999999997"/>
    <n v="0.29881447608823553"/>
    <x v="5"/>
    <x v="0"/>
    <s v="Clean"/>
  </r>
  <r>
    <s v="ORD-2024-10391"/>
    <s v="06 Nov 2024"/>
    <d v="2024-11-06T00:00:00"/>
    <s v="11-11-2024"/>
    <d v="2024-11-11T00:00:00"/>
    <s v="Valid"/>
    <n v="5"/>
    <s v="Valid"/>
    <s v="CUST-7853"/>
    <s v="Isha Nair"/>
    <s v="Isha Nair"/>
    <s v="Consumer"/>
    <x v="0"/>
    <s v="West"/>
    <x v="3"/>
    <s v="Gujarat"/>
    <s v="Ahmedabad"/>
    <s v="Furniture"/>
    <x v="1"/>
    <x v="3"/>
    <s v="Pro Furnishings 281"/>
    <s v="Standard Class"/>
    <x v="3"/>
    <n v="4"/>
    <n v="1917.26"/>
    <n v="0.2"/>
    <n v="0.2"/>
    <n v="6135.232"/>
    <n v="6135.23"/>
    <n v="3439.79"/>
    <n v="2695.44"/>
    <s v="Paid"/>
    <s v="Completed"/>
    <x v="0"/>
    <s v="Valid"/>
    <n v="2695.4399999999996"/>
    <n v="0.43933790930807498"/>
    <x v="3"/>
    <x v="0"/>
    <s v="Clean"/>
  </r>
  <r>
    <s v="ORD-2025-10392"/>
    <s v="14-02-2025"/>
    <d v="2025-02-14T00:00:00"/>
    <s v="14 Feb 2025"/>
    <d v="2025-02-14T00:00:00"/>
    <s v="Valid"/>
    <n v="0"/>
    <s v="Valid"/>
    <s v="CUST-2267"/>
    <s v="Diya Patel"/>
    <s v="Diya Patel"/>
    <s v="Consumer"/>
    <x v="0"/>
    <s v="South"/>
    <x v="2"/>
    <s v="Karnataka"/>
    <s v="Bengaluru"/>
    <s v="Office Supplies"/>
    <x v="0"/>
    <x v="8"/>
    <s v="Eco Storage 285"/>
    <s v="First Class"/>
    <x v="2"/>
    <n v="1"/>
    <n v="714.43"/>
    <n v="0"/>
    <n v="0"/>
    <n v="714.43"/>
    <n v="714.43"/>
    <n v="565.44000000000005"/>
    <n v="148.99"/>
    <s v="Paid"/>
    <s v="Completed"/>
    <x v="0"/>
    <s v="Valid"/>
    <n v="148.9899999999999"/>
    <n v="0.20854387413742412"/>
    <x v="6"/>
    <x v="1"/>
    <s v="Clean"/>
  </r>
  <r>
    <s v="ORD-2024-10393"/>
    <s v="02/19/2024"/>
    <d v="2024-02-19T00:00:00"/>
    <s v="22 Feb 2024"/>
    <d v="2024-02-22T00:00:00"/>
    <s v="Valid"/>
    <n v="3"/>
    <s v="Valid"/>
    <s v="CUST-6866"/>
    <s v="Aditi Sen"/>
    <s v="Aditi Sen"/>
    <s v="Small Business"/>
    <x v="1"/>
    <s v="South"/>
    <x v="2"/>
    <s v="Kerala"/>
    <s v="Kochi"/>
    <s v="Furniture"/>
    <x v="1"/>
    <x v="3"/>
    <s v="Classic Furnishings 746"/>
    <s v="Same Day"/>
    <x v="1"/>
    <n v="9"/>
    <n v="4053.01"/>
    <n v="0"/>
    <n v="0"/>
    <n v="36477.090000000004"/>
    <n v="36477.089999999997"/>
    <n v="24525.48"/>
    <n v="11951.61"/>
    <s v="Paid"/>
    <s v="Completed"/>
    <x v="0"/>
    <s v="Valid"/>
    <n v="11951.609999999997"/>
    <n v="0.32764702447481409"/>
    <x v="6"/>
    <x v="0"/>
    <s v="Clean"/>
  </r>
  <r>
    <s v="ORD-2024-10394"/>
    <s v="2024-08-23"/>
    <d v="2024-08-23T00:00:00"/>
    <s v="08/29/2024"/>
    <d v="2024-08-29T00:00:00"/>
    <s v="Valid"/>
    <n v="6"/>
    <s v="Valid"/>
    <s v="CUST-3160"/>
    <s v="Mira Das"/>
    <s v="Mira Das"/>
    <s v="Corporate"/>
    <x v="2"/>
    <s v="North"/>
    <x v="0"/>
    <s v="Uttar Pradesh"/>
    <s v="Noida"/>
    <s v="Office Supplies"/>
    <x v="0"/>
    <x v="7"/>
    <s v="Eco Labels 815"/>
    <s v="Same Day"/>
    <x v="1"/>
    <n v="2"/>
    <n v="1936.91"/>
    <n v="0.05"/>
    <n v="0.05"/>
    <n v="3680.1289999999999"/>
    <n v="3680.13"/>
    <n v="2967.46"/>
    <n v="712.67"/>
    <s v="Paid"/>
    <s v="Completed"/>
    <x v="0"/>
    <s v="Valid"/>
    <n v="712.67000000000007"/>
    <n v="0.19365353768848867"/>
    <x v="1"/>
    <x v="0"/>
    <s v="Clean"/>
  </r>
  <r>
    <s v="ORD-2024-10395"/>
    <s v="03-04-2024"/>
    <d v="2024-04-03T00:00:00"/>
    <s v="04 Apr 2024"/>
    <d v="2024-04-04T00:00:00"/>
    <s v="Valid"/>
    <n v="1"/>
    <s v="Valid"/>
    <s v="CUST-8444"/>
    <s v="Kabir Singh"/>
    <s v="Kabir Singh"/>
    <s v="Consumer"/>
    <x v="0"/>
    <s v="West"/>
    <x v="3"/>
    <s v="Maharashtra"/>
    <s v="Mumbai"/>
    <s v="Furniture"/>
    <x v="1"/>
    <x v="3"/>
    <s v="Prime Furnishings 879"/>
    <s v="First Class"/>
    <x v="2"/>
    <n v="7"/>
    <n v="3945.21"/>
    <n v="0"/>
    <n v="0"/>
    <n v="27616.47"/>
    <n v="27616.47"/>
    <n v="21225.26"/>
    <n v="6391.21"/>
    <s v="Paid"/>
    <s v="Completed"/>
    <x v="0"/>
    <s v="Valid"/>
    <n v="6391.2100000000028"/>
    <n v="0.23142747787823725"/>
    <x v="5"/>
    <x v="0"/>
    <s v="Clean"/>
  </r>
  <r>
    <s v="ORD-2024-10396"/>
    <s v="06/06/2024"/>
    <d v="2024-06-06T00:00:00"/>
    <s v="06/07/2024"/>
    <d v="2024-06-07T00:00:00"/>
    <s v="Valid"/>
    <n v="1"/>
    <s v="Valid"/>
    <s v="CUST-4765"/>
    <s v="Rahul Verma"/>
    <s v="Rahul Verma"/>
    <s v="Home Office"/>
    <x v="3"/>
    <s v="South"/>
    <x v="2"/>
    <s v="Tamil Nadu"/>
    <s v="Chennai"/>
    <s v="Furniture"/>
    <x v="1"/>
    <x v="1"/>
    <s v="Pro Tables 142"/>
    <s v="Same Day"/>
    <x v="1"/>
    <n v="7"/>
    <n v="861.91"/>
    <n v="0.05"/>
    <n v="0.05"/>
    <n v="5731.7014999999992"/>
    <n v="5731.7"/>
    <n v="4115.5600000000004"/>
    <n v="1616.14"/>
    <s v="Paid"/>
    <s v="Completed"/>
    <x v="0"/>
    <s v="Valid"/>
    <n v="1616.1399999999994"/>
    <n v="0.28196513722844774"/>
    <x v="2"/>
    <x v="0"/>
    <s v="Clean"/>
  </r>
  <r>
    <s v="ORD-2025-10397"/>
    <s v="2025-04-14"/>
    <d v="2025-04-14T00:00:00"/>
    <s v="22 Apr 2025"/>
    <d v="2025-04-22T00:00:00"/>
    <s v="Valid"/>
    <n v="8"/>
    <s v="Valid"/>
    <s v="CUST-2280"/>
    <s v="Aditi Sen"/>
    <s v="Aditi Sen"/>
    <s v="Small Business"/>
    <x v="1"/>
    <s v="South"/>
    <x v="2"/>
    <s v="Karnataka"/>
    <s v="Bengaluru"/>
    <s v="Technology"/>
    <x v="2"/>
    <x v="12"/>
    <s v="Prime Machines 267"/>
    <s v="Standard Class"/>
    <x v="3"/>
    <n v="2"/>
    <n v="638.73"/>
    <n v="0.05"/>
    <n v="0.05"/>
    <n v="1213.587"/>
    <n v="1213.5899999999999"/>
    <n v="956.22"/>
    <n v="257.37"/>
    <s v="Paid"/>
    <s v="Completed"/>
    <x v="0"/>
    <s v="Valid"/>
    <n v="257.36999999999989"/>
    <n v="0.21207379446220162"/>
    <x v="5"/>
    <x v="1"/>
    <s v="Clean"/>
  </r>
  <r>
    <s v="ORD-2025-10398"/>
    <s v="09 Jun 2025"/>
    <d v="2025-06-09T00:00:00"/>
    <s v="10 Jun 2025"/>
    <d v="2025-06-10T00:00:00"/>
    <s v="Valid"/>
    <n v="1"/>
    <s v="Valid"/>
    <s v="CUST-3177"/>
    <s v="Sneha Kapoor"/>
    <s v="Sneha Kapoor"/>
    <s v="Small Business"/>
    <x v="1"/>
    <s v="North"/>
    <x v="0"/>
    <s v="Uttar Pradesh"/>
    <s v="Noida"/>
    <s v="Furniture"/>
    <x v="1"/>
    <x v="1"/>
    <s v="Eco Tables 378"/>
    <s v="Second Class"/>
    <x v="0"/>
    <n v="2"/>
    <n v="1731.88"/>
    <n v="0"/>
    <n v="0"/>
    <n v="3463.76"/>
    <n v="3463.76"/>
    <n v="2143.7399999999998"/>
    <n v="1320.02"/>
    <s v="Paid"/>
    <s v="Completed"/>
    <x v="0"/>
    <s v="Valid"/>
    <n v="1320.0200000000004"/>
    <n v="0.38109453310852959"/>
    <x v="2"/>
    <x v="1"/>
    <s v="Clean"/>
  </r>
  <r>
    <s v="ORD-2024-10399"/>
    <s v="19 Jul 2024"/>
    <d v="2024-07-19T00:00:00"/>
    <s v="2024-07-26"/>
    <d v="2024-07-26T00:00:00"/>
    <s v="Valid"/>
    <n v="7"/>
    <s v="Valid"/>
    <s v="CUST-4718"/>
    <s v="Vikram Iyer"/>
    <s v="Vikram Iyer"/>
    <s v="Corporate"/>
    <x v="2"/>
    <s v="North"/>
    <x v="0"/>
    <s v="Punjab"/>
    <s v="Ludhiana"/>
    <s v="Technology"/>
    <x v="2"/>
    <x v="12"/>
    <s v="Elite Machines 523"/>
    <s v="Same Day"/>
    <x v="1"/>
    <n v="2"/>
    <n v="1263.6500000000001"/>
    <n v="0.2"/>
    <n v="0.2"/>
    <n v="2021.8400000000001"/>
    <n v="2021.84"/>
    <n v="1355.22"/>
    <n v="666.62"/>
    <s v="Paid"/>
    <s v="Completed"/>
    <x v="0"/>
    <s v="Valid"/>
    <n v="666.61999999999989"/>
    <n v="0.32970957147944441"/>
    <x v="0"/>
    <x v="0"/>
    <s v="Clean"/>
  </r>
  <r>
    <s v="ORD-2025-10400"/>
    <s v="04/24/2025"/>
    <d v="2025-04-24T00:00:00"/>
    <s v="2025-04-29"/>
    <d v="2025-04-29T00:00:00"/>
    <s v="Valid"/>
    <n v="5"/>
    <s v="Valid"/>
    <s v="CUST-5647"/>
    <s v="Diya Patel"/>
    <s v="Diya Patel"/>
    <s v="Small Business"/>
    <x v="1"/>
    <s v="South"/>
    <x v="2"/>
    <s v="Andhra Pradesh"/>
    <s v="Vijayawada"/>
    <s v="Office Supplies"/>
    <x v="0"/>
    <x v="0"/>
    <s v="Elite Paper 308"/>
    <s v="Same Day"/>
    <x v="1"/>
    <n v="1"/>
    <n v="4358.5"/>
    <n v="0.25"/>
    <n v="0.25"/>
    <n v="3268.875"/>
    <n v="3268.88"/>
    <n v="1993.74"/>
    <n v="1275.1400000000001"/>
    <s v="Paid"/>
    <s v="Completed"/>
    <x v="0"/>
    <s v="Valid"/>
    <n v="1275.1400000000001"/>
    <n v="0.39008527398569848"/>
    <x v="5"/>
    <x v="1"/>
    <s v="Clean"/>
  </r>
  <r>
    <s v="ORD-2025-10401"/>
    <s v="06-06-2025"/>
    <d v="2025-06-06T00:00:00"/>
    <s v="2025-06-11"/>
    <d v="2025-06-11T00:00:00"/>
    <s v="Valid"/>
    <n v="5"/>
    <s v="Valid"/>
    <s v="CUST-7150"/>
    <s v="Sneha Kapoor"/>
    <s v="Sneha Kapoor"/>
    <s v="Small Business"/>
    <x v="1"/>
    <s v="North"/>
    <x v="0"/>
    <s v="Uttar Pradesh"/>
    <s v="Noida"/>
    <s v="Office Supplies"/>
    <x v="0"/>
    <x v="0"/>
    <s v="Prime Paper 851"/>
    <s v="Same Day"/>
    <x v="1"/>
    <n v="7"/>
    <n v="878.09"/>
    <n v="-0.1"/>
    <n v="-0.1"/>
    <n v="6761.2930000000006"/>
    <n v="5839.3"/>
    <n v="4877.38"/>
    <n v="961.92"/>
    <s v="Paid"/>
    <s v="Completed"/>
    <x v="0"/>
    <s v="Invalid - Negative Discount"/>
    <n v="961.92000000000007"/>
    <n v="0.14226864595277855"/>
    <x v="2"/>
    <x v="1"/>
    <s v="Clean"/>
  </r>
  <r>
    <s v="ORD-2025-10402"/>
    <s v="09 Mar 2025"/>
    <d v="2025-03-09T00:00:00"/>
    <s v="16-03-2025"/>
    <d v="2025-03-16T00:00:00"/>
    <s v="Valid"/>
    <n v="7"/>
    <s v="Valid"/>
    <s v="CUST-6694"/>
    <s v="Arjun Bose"/>
    <s v="Arjun Bose"/>
    <s v="Small Business"/>
    <x v="1"/>
    <s v="East"/>
    <x v="1"/>
    <s v="Jharkhand"/>
    <s v="Ranchi"/>
    <s v="Furniture"/>
    <x v="1"/>
    <x v="1"/>
    <s v="Classic Tables 151"/>
    <s v="Same Day"/>
    <x v="1"/>
    <n v="3"/>
    <n v="2625.85"/>
    <n v="0"/>
    <n v="0"/>
    <n v="7877.5499999999993"/>
    <n v="7877.55"/>
    <n v="5562.77"/>
    <n v="2314.7800000000002"/>
    <s v="Paid"/>
    <s v="Completed"/>
    <x v="0"/>
    <s v="Valid"/>
    <n v="2314.7799999999997"/>
    <n v="0.29384516759652429"/>
    <x v="11"/>
    <x v="1"/>
    <s v="Clean"/>
  </r>
  <r>
    <s v="ORD-2024-10403"/>
    <s v="22 Mar 2024"/>
    <d v="2024-03-22T00:00:00"/>
    <s v="03/22/2024"/>
    <d v="2024-03-22T00:00:00"/>
    <s v="Valid"/>
    <n v="0"/>
    <s v="Valid"/>
    <s v="CUST-7680"/>
    <s v="Priya Menon"/>
    <s v="Priya Menon"/>
    <s v="Small Business"/>
    <x v="1"/>
    <s v="South"/>
    <x v="2"/>
    <s v="Karnataka"/>
    <s v="Bengaluru"/>
    <s v="Furniture"/>
    <x v="1"/>
    <x v="1"/>
    <s v="Smart Tables 829"/>
    <m/>
    <x v="4"/>
    <n v="3"/>
    <n v="1365.26"/>
    <n v="0"/>
    <n v="0"/>
    <n v="4095.7799999999997"/>
    <n v="4095.78"/>
    <n v="2807.77"/>
    <n v="1288.01"/>
    <s v="Paid"/>
    <s v="Completed"/>
    <x v="0"/>
    <s v="Valid"/>
    <n v="1288.0100000000002"/>
    <n v="0.31447245701673437"/>
    <x v="11"/>
    <x v="0"/>
    <s v="Clean"/>
  </r>
  <r>
    <s v="ORD-2024-10404"/>
    <s v="09/30/2024"/>
    <d v="2024-09-30T00:00:00"/>
    <s v="04-10-2024"/>
    <d v="2024-10-04T00:00:00"/>
    <s v="Valid"/>
    <n v="4"/>
    <s v="Valid"/>
    <s v="CUST-2700"/>
    <s v="Arjun Bose"/>
    <s v="Arjun Bose"/>
    <s v="Small Business"/>
    <x v="1"/>
    <s v="South"/>
    <x v="2"/>
    <s v="Kerala"/>
    <s v="Kochi"/>
    <s v="Office Supplies"/>
    <x v="0"/>
    <x v="0"/>
    <s v="Classic Paper 237"/>
    <s v="Same Day"/>
    <x v="1"/>
    <n v="5"/>
    <n v="3512.25"/>
    <n v="0.05"/>
    <n v="0.05"/>
    <n v="16683.1875"/>
    <n v="16683.189999999999"/>
    <n v="10301.16"/>
    <n v="6382.03"/>
    <s v="Paid"/>
    <s v="Returned"/>
    <x v="2"/>
    <s v="Valid"/>
    <n v="6382.0299999999988"/>
    <n v="0.38254260464314743"/>
    <x v="7"/>
    <x v="0"/>
    <s v="Clean"/>
  </r>
  <r>
    <s v="ORD-2024-10405"/>
    <s v="27 Jan 2024"/>
    <d v="2024-01-27T00:00:00"/>
    <s v="02/03/2024"/>
    <d v="2024-02-03T00:00:00"/>
    <s v="Valid"/>
    <n v="7"/>
    <s v="Valid"/>
    <s v="CUST-2904"/>
    <s v="Aditi Sen"/>
    <s v="Aditi Sen"/>
    <s v="Corporate"/>
    <x v="2"/>
    <s v="West"/>
    <x v="3"/>
    <s v="Rajasthan"/>
    <s v="Udaipur"/>
    <s v="Furniture"/>
    <x v="1"/>
    <x v="4"/>
    <s v="Prime Chairs 891"/>
    <s v="Same Day"/>
    <x v="1"/>
    <n v="3"/>
    <n v="359.61"/>
    <n v="0"/>
    <n v="0"/>
    <n v="1078.83"/>
    <n v="1078.83"/>
    <n v="926.35"/>
    <n v="152.47999999999999"/>
    <s v="Paid"/>
    <s v="Completed"/>
    <x v="0"/>
    <s v="Valid"/>
    <n v="152.4799999999999"/>
    <n v="0.14133830167867034"/>
    <x v="10"/>
    <x v="0"/>
    <s v="Clean"/>
  </r>
  <r>
    <s v="ORD-2024-10406"/>
    <s v="09/23/2024"/>
    <d v="2024-09-23T00:00:00"/>
    <s v="24 Sep 2024"/>
    <d v="2024-09-24T00:00:00"/>
    <s v="Valid"/>
    <n v="1"/>
    <s v="Valid"/>
    <s v="CUST-9961"/>
    <s v="Aditi Sen"/>
    <s v="Aditi Sen"/>
    <s v="Home Office"/>
    <x v="3"/>
    <s v="West"/>
    <x v="3"/>
    <s v="Gujarat"/>
    <s v="Ahmedabad"/>
    <s v="Furniture"/>
    <x v="1"/>
    <x v="10"/>
    <s v="Max Bookcases 812"/>
    <m/>
    <x v="4"/>
    <n v="7"/>
    <n v="3878.01"/>
    <n v="0.1"/>
    <n v="0.1"/>
    <n v="24431.463"/>
    <n v="24431.46"/>
    <n v="18202.36"/>
    <n v="6229.1"/>
    <s v="Paid"/>
    <s v="Completed"/>
    <x v="0"/>
    <s v="Valid"/>
    <n v="6229.0999999999985"/>
    <n v="0.25496221818562392"/>
    <x v="7"/>
    <x v="0"/>
    <s v="Clean"/>
  </r>
  <r>
    <s v="ORD-2025-10407"/>
    <s v="25 Feb 2025"/>
    <d v="2025-02-25T00:00:00"/>
    <s v="25 Feb 2025"/>
    <d v="2025-02-25T00:00:00"/>
    <s v="Valid"/>
    <n v="0"/>
    <s v="Valid"/>
    <s v="CUST-9909"/>
    <s v="Kabir Singh"/>
    <s v="Kabir Singh"/>
    <s v="Small Business"/>
    <x v="1"/>
    <s v="West"/>
    <x v="3"/>
    <s v="Goa"/>
    <s v="Panaji"/>
    <s v="Furniture"/>
    <x v="1"/>
    <x v="3"/>
    <s v="Basic Furnishings 164"/>
    <s v="Standard Class"/>
    <x v="3"/>
    <n v="2"/>
    <n v="3924.2"/>
    <n v="0.25"/>
    <n v="0.25"/>
    <n v="5886.2999999999993"/>
    <n v="5886.3"/>
    <n v="3621.76"/>
    <n v="2264.54"/>
    <s v="Pending"/>
    <s v="Returned"/>
    <x v="2"/>
    <s v="Valid"/>
    <n v="2264.54"/>
    <n v="0.38471365713606176"/>
    <x v="6"/>
    <x v="1"/>
    <s v="Clean"/>
  </r>
  <r>
    <s v="ORD-2024-10408"/>
    <s v="12 May 2024"/>
    <d v="2024-05-12T00:00:00"/>
    <s v="13 May 2024"/>
    <d v="2024-05-13T00:00:00"/>
    <s v="Valid"/>
    <n v="1"/>
    <s v="Valid"/>
    <s v="CUST-8520"/>
    <s v="Rahul Verma"/>
    <s v="Rahul Verma"/>
    <s v="Corporate"/>
    <x v="2"/>
    <s v="West"/>
    <x v="3"/>
    <s v="Goa"/>
    <s v="Panaji"/>
    <s v="Office Supplies"/>
    <x v="0"/>
    <x v="7"/>
    <s v="Smart Labels 261"/>
    <s v="Second Class"/>
    <x v="0"/>
    <n v="3"/>
    <n v="2644.55"/>
    <n v="0"/>
    <n v="0"/>
    <n v="7933.6500000000005"/>
    <n v="7933.65"/>
    <n v="5698.42"/>
    <n v="2235.23"/>
    <s v="Paid"/>
    <s v="Completed"/>
    <x v="0"/>
    <s v="Valid"/>
    <n v="2235.2299999999996"/>
    <n v="0.28174043473054639"/>
    <x v="4"/>
    <x v="0"/>
    <s v="Clean"/>
  </r>
  <r>
    <s v="ORD-2025-10409"/>
    <s v="08/01/2025"/>
    <d v="2025-08-01T00:00:00"/>
    <s v="08/03/2025"/>
    <d v="2025-08-03T00:00:00"/>
    <s v="Valid"/>
    <n v="2"/>
    <s v="Valid"/>
    <s v="CUST-5036"/>
    <s v="Sneha Kapoor"/>
    <s v="Sneha Kapoor"/>
    <s v="Consumer"/>
    <x v="0"/>
    <s v="West"/>
    <x v="3"/>
    <s v="Maharashtra"/>
    <s v="Mumbai"/>
    <s v="Furniture"/>
    <x v="1"/>
    <x v="4"/>
    <s v="Max Chairs 765"/>
    <s v="First Class"/>
    <x v="2"/>
    <n v="4"/>
    <n v="1773.46"/>
    <n v="0"/>
    <n v="0"/>
    <n v="7093.84"/>
    <n v="7093.84"/>
    <n v="4587.49"/>
    <n v="2506.35"/>
    <s v="Failed"/>
    <s v="Returned"/>
    <x v="2"/>
    <s v="Valid"/>
    <n v="2506.3500000000004"/>
    <n v="0.35331357910525191"/>
    <x v="1"/>
    <x v="1"/>
    <s v="Clean"/>
  </r>
  <r>
    <s v="ORD-2025-10410"/>
    <s v="13-02-2025"/>
    <d v="2025-02-13T00:00:00"/>
    <s v="15-02-2025"/>
    <d v="2025-02-15T00:00:00"/>
    <s v="Valid"/>
    <n v="2"/>
    <s v="Valid"/>
    <s v="CUST-7721"/>
    <s v="Karan Malhotra"/>
    <s v="Karan Malhotra"/>
    <s v="Consumer"/>
    <x v="0"/>
    <s v="East"/>
    <x v="1"/>
    <s v="Assam"/>
    <s v="Guwahati"/>
    <s v="Technology"/>
    <x v="2"/>
    <x v="5"/>
    <s v="Pro Accessories 686"/>
    <s v="Same Day"/>
    <x v="1"/>
    <n v="1"/>
    <n v="3025.46"/>
    <n v="0.25"/>
    <n v="0.25"/>
    <n v="2269.0950000000003"/>
    <n v="2269.1"/>
    <n v="1593.59"/>
    <n v="675.51"/>
    <s v="Refunded"/>
    <s v="Returned"/>
    <x v="2"/>
    <s v="Valid"/>
    <n v="675.51"/>
    <n v="0.29770018443476359"/>
    <x v="6"/>
    <x v="1"/>
    <s v="Clean"/>
  </r>
  <r>
    <s v="ORD-2024-10411"/>
    <s v="2024-04-12"/>
    <d v="2024-04-12T00:00:00"/>
    <s v="20 Apr 2024"/>
    <d v="2024-04-20T00:00:00"/>
    <s v="Valid"/>
    <n v="8"/>
    <s v="Valid"/>
    <s v="CUST-9495"/>
    <s v="Diya Patel"/>
    <s v="Diya Patel"/>
    <s v="Consumer"/>
    <x v="0"/>
    <s v="West"/>
    <x v="3"/>
    <s v="Goa"/>
    <s v="Panaji"/>
    <s v="Furniture"/>
    <x v="1"/>
    <x v="1"/>
    <s v="Smart Tables 100"/>
    <s v="First Class"/>
    <x v="2"/>
    <n v="9"/>
    <n v="1302.6099999999999"/>
    <n v="0.2"/>
    <n v="0.2"/>
    <n v="9378.7919999999995"/>
    <n v="9378.7900000000009"/>
    <n v="6774.48"/>
    <n v="2604.31"/>
    <s v="Paid"/>
    <s v="Completed"/>
    <x v="0"/>
    <s v="Valid"/>
    <n v="2604.3100000000013"/>
    <n v="0.27768075035676254"/>
    <x v="5"/>
    <x v="0"/>
    <s v="Clean"/>
  </r>
  <r>
    <s v="ORD-2025-10412"/>
    <s v="2025-08-23"/>
    <d v="2025-08-23T00:00:00"/>
    <s v="2025-08-28"/>
    <d v="2025-08-28T00:00:00"/>
    <s v="Valid"/>
    <n v="5"/>
    <s v="Valid"/>
    <s v="CUST-2855"/>
    <s v="Arjun Bose"/>
    <s v="Arjun Bose"/>
    <s v="Home Office"/>
    <x v="3"/>
    <s v="West"/>
    <x v="3"/>
    <s v="Rajasthan"/>
    <s v="Udaipur"/>
    <s v="Furniture"/>
    <x v="1"/>
    <x v="1"/>
    <s v="Basic Tables 615"/>
    <s v="First Class"/>
    <x v="2"/>
    <n v="1"/>
    <n v="4167.8100000000004"/>
    <n v="0.2"/>
    <n v="0.2"/>
    <n v="3334.2480000000005"/>
    <n v="3334.25"/>
    <n v="2768.77"/>
    <n v="565.48"/>
    <s v="Failed"/>
    <s v="Returned"/>
    <x v="2"/>
    <s v="Valid"/>
    <n v="565.48"/>
    <n v="0.16959746245630197"/>
    <x v="1"/>
    <x v="1"/>
    <s v="Clean"/>
  </r>
  <r>
    <s v="ORD-2024-10413"/>
    <s v="2024-01-22"/>
    <d v="2024-01-22T00:00:00"/>
    <s v="30-01-2024"/>
    <d v="2024-01-30T00:00:00"/>
    <s v="Valid"/>
    <n v="8"/>
    <s v="Valid"/>
    <s v="CUST-4329"/>
    <s v="Isha Nair"/>
    <s v="Isha Nair"/>
    <s v="Corporate"/>
    <x v="2"/>
    <s v="South"/>
    <x v="2"/>
    <s v="Karnataka"/>
    <s v="Bengaluru"/>
    <s v="Furniture"/>
    <x v="1"/>
    <x v="4"/>
    <s v="Basic Chairs 790"/>
    <s v="Same Day"/>
    <x v="1"/>
    <n v="1"/>
    <n v="2111.39"/>
    <n v="0.25"/>
    <n v="0.25"/>
    <n v="1583.5425"/>
    <n v="1583.54"/>
    <n v="1014.19"/>
    <n v="569.35"/>
    <s v="Paid"/>
    <s v="Completed"/>
    <x v="0"/>
    <s v="Valid"/>
    <n v="569.34999999999991"/>
    <n v="0.35954197629681545"/>
    <x v="10"/>
    <x v="0"/>
    <s v="Clean"/>
  </r>
  <r>
    <s v="ORD-2025-10414"/>
    <s v="13-08-2025"/>
    <d v="2025-08-13T00:00:00"/>
    <s v="17-08-2025"/>
    <d v="2025-08-17T00:00:00"/>
    <s v="Valid"/>
    <n v="4"/>
    <s v="Valid"/>
    <s v="CUST-5094"/>
    <s v="Neha Gupta"/>
    <s v="Neha Gupta"/>
    <s v="Home Office"/>
    <x v="3"/>
    <s v="West"/>
    <x v="3"/>
    <s v="Madhya Pradesh"/>
    <s v="Indore"/>
    <s v="Technology"/>
    <x v="2"/>
    <x v="5"/>
    <s v="Smart Accessories 226"/>
    <s v="Second Class"/>
    <x v="0"/>
    <n v="8"/>
    <n v="1918.23"/>
    <n v="0"/>
    <n v="0"/>
    <n v="15345.84"/>
    <n v="15345.84"/>
    <n v="10735.33"/>
    <n v="4610.51"/>
    <s v="Pending"/>
    <s v="Cancelled"/>
    <x v="1"/>
    <s v="Valid"/>
    <n v="4610.51"/>
    <n v="0.30044037993358463"/>
    <x v="1"/>
    <x v="1"/>
    <s v="Clean"/>
  </r>
  <r>
    <s v="ORD-2024-10415"/>
    <s v="2024-08-29"/>
    <d v="2024-08-29T00:00:00"/>
    <s v="08/30/2024"/>
    <d v="2024-08-30T00:00:00"/>
    <s v="Valid"/>
    <n v="1"/>
    <s v="Valid"/>
    <s v="CUST-4194"/>
    <s v="Arjun Bose"/>
    <s v="Arjun Bose"/>
    <s v="Home Office"/>
    <x v="3"/>
    <s v="East"/>
    <x v="1"/>
    <s v="Assam"/>
    <s v="Guwahati"/>
    <s v="Office Supplies"/>
    <x v="0"/>
    <x v="8"/>
    <s v="Max Storage 692"/>
    <s v="First Class"/>
    <x v="2"/>
    <n v="4"/>
    <n v="2484.08"/>
    <n v="0.05"/>
    <n v="0.05"/>
    <n v="9439.503999999999"/>
    <n v="9439.5"/>
    <n v="5519.39"/>
    <n v="3920.11"/>
    <s v="Paid"/>
    <s v="Completed"/>
    <x v="0"/>
    <s v="Valid"/>
    <n v="3920.1099999999997"/>
    <n v="0.41528771003222203"/>
    <x v="1"/>
    <x v="0"/>
    <s v="Clean"/>
  </r>
  <r>
    <s v="ORD-2024-10416"/>
    <s v="01/25/2024"/>
    <d v="2024-01-25T00:00:00"/>
    <s v="27 Jan 2024"/>
    <d v="2024-01-27T00:00:00"/>
    <s v="Valid"/>
    <n v="2"/>
    <s v="Valid"/>
    <s v="CUST-7087"/>
    <s v="Aarav Sharma"/>
    <s v="Aarav Sharma"/>
    <s v="Corporate"/>
    <x v="2"/>
    <s v="South"/>
    <x v="2"/>
    <s v="Karnataka"/>
    <s v="Bengaluru"/>
    <s v="Office Supplies"/>
    <x v="0"/>
    <x v="8"/>
    <s v="Basic Storage 684"/>
    <s v="Same Day"/>
    <x v="1"/>
    <n v="7"/>
    <n v="1727.26"/>
    <n v="0.15"/>
    <n v="0.15"/>
    <n v="10277.197"/>
    <n v="10277.200000000001"/>
    <n v="7906.5"/>
    <n v="2370.6999999999998"/>
    <s v="Paid"/>
    <s v="Returned"/>
    <x v="2"/>
    <s v="Valid"/>
    <n v="2370.7000000000007"/>
    <n v="0.2306757377522296"/>
    <x v="10"/>
    <x v="0"/>
    <s v="Clean"/>
  </r>
  <r>
    <s v="ORD-2025-10417"/>
    <s v="2025-01-08"/>
    <d v="2025-01-08T00:00:00"/>
    <s v="16-01-2025"/>
    <d v="2025-01-16T00:00:00"/>
    <s v="Valid"/>
    <n v="8"/>
    <s v="Valid"/>
    <s v="CUST-7608"/>
    <s v="Neha Gupta"/>
    <s v="Neha Gupta"/>
    <s v="Consumer"/>
    <x v="0"/>
    <s v="South"/>
    <x v="2"/>
    <s v="Telangana"/>
    <s v="Hyderabad"/>
    <s v="Furniture"/>
    <x v="1"/>
    <x v="3"/>
    <s v="Smart Furnishings 152"/>
    <s v="First Class"/>
    <x v="2"/>
    <n v="8"/>
    <n v="638.95000000000005"/>
    <n v="0.25"/>
    <n v="0.25"/>
    <n v="3833.7000000000003"/>
    <n v="3833.7"/>
    <n v="2886.35"/>
    <n v="947.35"/>
    <s v="Paid"/>
    <s v="Completed"/>
    <x v="0"/>
    <s v="Valid"/>
    <n v="947.34999999999991"/>
    <n v="0.24711114589039304"/>
    <x v="10"/>
    <x v="1"/>
    <s v="Clean"/>
  </r>
  <r>
    <s v="ORD-2025-10418"/>
    <s v="01/29/2025"/>
    <d v="2025-01-29T00:00:00"/>
    <s v="02/05/2025"/>
    <d v="2025-02-05T00:00:00"/>
    <s v="Valid"/>
    <n v="7"/>
    <s v="Valid"/>
    <s v="CUST-5269"/>
    <s v="Mira Das"/>
    <s v="Mira Das"/>
    <s v="Consumer"/>
    <x v="0"/>
    <s v="West"/>
    <x v="3"/>
    <s v="Gujarat"/>
    <s v="Ahmedabad"/>
    <s v="Office Supplies"/>
    <x v="0"/>
    <x v="2"/>
    <s v="Max Art 736"/>
    <s v="First Class"/>
    <x v="2"/>
    <n v="6"/>
    <n v="3863"/>
    <n v="0.2"/>
    <n v="0.2"/>
    <n v="18542.400000000001"/>
    <n v="18542.400000000001"/>
    <n v="11193.75"/>
    <n v="7348.65"/>
    <s v="Paid"/>
    <s v="Completed"/>
    <x v="0"/>
    <s v="Valid"/>
    <n v="7348.6500000000015"/>
    <n v="0.39631601087237905"/>
    <x v="10"/>
    <x v="1"/>
    <s v="Clean"/>
  </r>
  <r>
    <s v="ORD-2024-10419"/>
    <s v="11/09/2024"/>
    <d v="2024-11-09T00:00:00"/>
    <s v="11/17/2024"/>
    <d v="2024-11-17T00:00:00"/>
    <s v="Valid"/>
    <n v="8"/>
    <s v="Valid"/>
    <s v="CUST-7925"/>
    <s v="Sneha Kapoor"/>
    <s v="Sneha Kapoor"/>
    <s v="Corporate"/>
    <x v="2"/>
    <s v="East"/>
    <x v="1"/>
    <s v="Odisha"/>
    <s v="Bhubaneswar"/>
    <s v="Technology"/>
    <x v="2"/>
    <x v="6"/>
    <s v="Elite Copiers 971"/>
    <s v="Standard Class"/>
    <x v="3"/>
    <n v="6"/>
    <n v="3660.4"/>
    <n v="0"/>
    <n v="0"/>
    <n v="21962.400000000001"/>
    <n v="21962.400000000001"/>
    <n v="15331.99"/>
    <n v="6630.41"/>
    <s v="Failed"/>
    <s v="Cancelled"/>
    <x v="1"/>
    <s v="Valid"/>
    <n v="6630.4100000000017"/>
    <n v="0.3018982442720286"/>
    <x v="3"/>
    <x v="0"/>
    <s v="Clean"/>
  </r>
  <r>
    <s v="ORD-2025-10420"/>
    <s v="26-09-2025"/>
    <d v="2025-09-26T00:00:00"/>
    <s v="09/30/2025"/>
    <d v="2025-09-30T00:00:00"/>
    <s v="Valid"/>
    <n v="4"/>
    <s v="Valid"/>
    <s v="CUST-6552"/>
    <s v="Sneha Kapoor"/>
    <s v="Sneha Kapoor"/>
    <s v="Home Office"/>
    <x v="3"/>
    <s v="North"/>
    <x v="0"/>
    <s v="Haryana"/>
    <s v="Gurugram"/>
    <s v="Technology"/>
    <x v="2"/>
    <x v="11"/>
    <s v="Classic Phones 940"/>
    <s v="Same Day"/>
    <x v="1"/>
    <n v="2"/>
    <n v="688.83"/>
    <n v="0.05"/>
    <n v="0.05"/>
    <n v="1308.777"/>
    <n v="1308.78"/>
    <n v="843"/>
    <n v="465.78"/>
    <s v="Paid"/>
    <s v="Completed"/>
    <x v="0"/>
    <s v="Valid"/>
    <n v="465.78"/>
    <n v="0.35588950600446062"/>
    <x v="7"/>
    <x v="1"/>
    <s v="Clean"/>
  </r>
  <r>
    <s v="ORD-2025-10421"/>
    <s v="18-03-2025"/>
    <d v="2025-03-18T00:00:00"/>
    <s v="2025-03-19"/>
    <d v="2025-03-19T00:00:00"/>
    <s v="Valid"/>
    <n v="1"/>
    <s v="Valid"/>
    <s v="CUST-7131"/>
    <s v="Isha Nair"/>
    <s v="Isha Nair"/>
    <s v="Corporate"/>
    <x v="2"/>
    <s v="South"/>
    <x v="2"/>
    <s v="Tamil Nadu"/>
    <s v="Chennai"/>
    <s v="Technology"/>
    <x v="2"/>
    <x v="12"/>
    <s v="Pro Machines 579"/>
    <s v="Standard Class"/>
    <x v="3"/>
    <n v="2"/>
    <n v="1209.99"/>
    <n v="0.25"/>
    <n v="0.25"/>
    <n v="1814.9850000000001"/>
    <n v="1814.99"/>
    <n v="1120.06"/>
    <n v="694.93"/>
    <s v="Pending"/>
    <s v="Cancelled"/>
    <x v="1"/>
    <s v="Valid"/>
    <n v="694.93000000000006"/>
    <n v="0.3828847070361463"/>
    <x v="11"/>
    <x v="1"/>
    <s v="Clean"/>
  </r>
  <r>
    <s v="ORD-2025-10422"/>
    <s v="06/14/2025"/>
    <d v="2025-06-14T00:00:00"/>
    <s v="19 Jun 2025"/>
    <d v="2025-06-19T00:00:00"/>
    <s v="Valid"/>
    <n v="5"/>
    <s v="Valid"/>
    <s v="CUST-2779"/>
    <s v="Rohan Mehta"/>
    <s v="Rohan Mehta"/>
    <s v="Small Business"/>
    <x v="1"/>
    <s v="North"/>
    <x v="0"/>
    <s v="Delhi"/>
    <s v="New Delhi"/>
    <s v="Office Supplies"/>
    <x v="0"/>
    <x v="9"/>
    <s v="Elite Binders 943"/>
    <s v="Same Day"/>
    <x v="1"/>
    <n v="3"/>
    <n v="1037.45"/>
    <n v="0.2"/>
    <n v="0.2"/>
    <n v="2489.8800000000006"/>
    <n v="2489.88"/>
    <n v="1707.52"/>
    <n v="782.36"/>
    <s v="Pending"/>
    <s v="Returned"/>
    <x v="2"/>
    <s v="Valid"/>
    <n v="782.36000000000013"/>
    <n v="0.31421594615001525"/>
    <x v="2"/>
    <x v="1"/>
    <s v="Clean"/>
  </r>
  <r>
    <s v="ORD-2025-10423"/>
    <s v="09/03/2025"/>
    <d v="2025-09-03T00:00:00"/>
    <s v="06 Sep 2025"/>
    <d v="2025-09-06T00:00:00"/>
    <s v="Valid"/>
    <n v="3"/>
    <s v="Valid"/>
    <s v="CUST-6077"/>
    <s v="Kabir Singh"/>
    <s v="Kabir Singh"/>
    <s v="Consumer"/>
    <x v="0"/>
    <s v="West"/>
    <x v="3"/>
    <s v="Madhya Pradesh"/>
    <s v="Indore"/>
    <s v="Technology"/>
    <x v="2"/>
    <x v="6"/>
    <s v="Elite Copiers 474"/>
    <s v="Same Day"/>
    <x v="1"/>
    <n v="7"/>
    <n v="688.85"/>
    <n v="0.15"/>
    <n v="0.15"/>
    <n v="4098.6574999999993"/>
    <n v="4098.66"/>
    <n v="2678.06"/>
    <n v="1420.6"/>
    <s v="Paid"/>
    <s v="Completed"/>
    <x v="0"/>
    <s v="Valid"/>
    <n v="1420.6"/>
    <n v="0.34660129566815479"/>
    <x v="7"/>
    <x v="1"/>
    <s v="Clean"/>
  </r>
  <r>
    <s v="ORD-2024-10424"/>
    <s v="2024-02-20"/>
    <d v="2024-02-20T00:00:00"/>
    <s v="27-02-2024"/>
    <d v="2024-02-27T00:00:00"/>
    <s v="Valid"/>
    <n v="7"/>
    <s v="Valid"/>
    <s v="CUST-6169"/>
    <s v="Diya Patel"/>
    <s v="Diya Patel"/>
    <s v="Consumer"/>
    <x v="0"/>
    <s v="South"/>
    <x v="2"/>
    <s v="Kerala"/>
    <s v="Kochi"/>
    <s v="Technology"/>
    <x v="2"/>
    <x v="5"/>
    <s v="Prime Accessories 236"/>
    <s v="First Class"/>
    <x v="2"/>
    <n v="9"/>
    <n v="3779.31"/>
    <n v="0.2"/>
    <n v="0.2"/>
    <n v="27211.032000000003"/>
    <n v="27211.03"/>
    <n v="17940.43"/>
    <n v="9270.6"/>
    <s v="Paid"/>
    <s v="Completed"/>
    <x v="0"/>
    <s v="Valid"/>
    <n v="9270.5999999999985"/>
    <n v="0.34069270140140212"/>
    <x v="6"/>
    <x v="0"/>
    <s v="Clean"/>
  </r>
  <r>
    <s v="ORD-2024-10425"/>
    <s v="06/26/2024"/>
    <d v="2024-06-26T00:00:00"/>
    <s v="2024-06-29"/>
    <d v="2024-06-29T00:00:00"/>
    <s v="Valid"/>
    <n v="3"/>
    <s v="Valid"/>
    <s v="CUST-8904"/>
    <s v="Neha Gupta"/>
    <s v="Neha Gupta"/>
    <s v="Corporate"/>
    <x v="2"/>
    <s v="North"/>
    <x v="0"/>
    <s v="Punjab"/>
    <s v="Ludhiana"/>
    <s v="Technology"/>
    <x v="2"/>
    <x v="11"/>
    <s v="Prime Phones 881"/>
    <s v="Standard Class"/>
    <x v="3"/>
    <n v="8"/>
    <n v="804.52"/>
    <n v="0"/>
    <n v="0"/>
    <n v="6436.16"/>
    <n v="6436.16"/>
    <n v="4263.83"/>
    <n v="2172.33"/>
    <s v="Paid"/>
    <s v="Completed"/>
    <x v="0"/>
    <s v="Valid"/>
    <n v="2172.33"/>
    <n v="0.33751957689056827"/>
    <x v="2"/>
    <x v="0"/>
    <s v="Clean"/>
  </r>
  <r>
    <s v="ORD-2024-10426"/>
    <s v="26-09-2024"/>
    <d v="2024-09-26T00:00:00"/>
    <s v="09/27/2024"/>
    <d v="2024-09-27T00:00:00"/>
    <s v="Valid"/>
    <n v="1"/>
    <s v="Valid"/>
    <s v="CUST-9586"/>
    <s v="Isha Nair"/>
    <s v="Isha Nair"/>
    <s v="Home Office"/>
    <x v="3"/>
    <s v="North"/>
    <x v="0"/>
    <s v="Delhi"/>
    <s v="New Delhi"/>
    <s v="Office Supplies"/>
    <x v="0"/>
    <x v="7"/>
    <s v="Pro Labels 903"/>
    <s v="First Class"/>
    <x v="2"/>
    <n v="2"/>
    <n v="1065.69"/>
    <n v="0.1"/>
    <n v="0.1"/>
    <n v="1918.2420000000002"/>
    <n v="1918.24"/>
    <n v="1373.52"/>
    <n v="544.72"/>
    <s v="Refunded"/>
    <s v="Cancelled"/>
    <x v="1"/>
    <s v="Valid"/>
    <n v="544.72"/>
    <n v="0.28396834184633635"/>
    <x v="7"/>
    <x v="0"/>
    <s v="Clean"/>
  </r>
  <r>
    <s v="ORD-2024-10427"/>
    <s v="30-06-2024"/>
    <d v="2024-06-30T00:00:00"/>
    <s v="01-07-2024"/>
    <d v="2024-07-01T00:00:00"/>
    <s v="Valid"/>
    <n v="1"/>
    <s v="Valid"/>
    <s v="CUST-5431"/>
    <s v="Aditi Sen"/>
    <s v="Aditi Sen"/>
    <s v="Consumer"/>
    <x v="0"/>
    <s v="North"/>
    <x v="0"/>
    <s v="Haryana"/>
    <s v="Gurugram"/>
    <s v="Technology"/>
    <x v="2"/>
    <x v="6"/>
    <s v="Max Copiers 402"/>
    <s v="Same Day"/>
    <x v="1"/>
    <n v="8"/>
    <n v="3756.66"/>
    <n v="0.1"/>
    <n v="0.1"/>
    <n v="27047.952000000001"/>
    <n v="27047.95"/>
    <n v="18431.330000000002"/>
    <n v="8616.6200000000008"/>
    <s v="Paid"/>
    <s v="Completed"/>
    <x v="0"/>
    <s v="Valid"/>
    <n v="8616.619999999999"/>
    <n v="0.31856829677899451"/>
    <x v="2"/>
    <x v="0"/>
    <s v="Clean"/>
  </r>
  <r>
    <s v="ORD-2025-10428"/>
    <s v="2025-04-22"/>
    <d v="2025-04-22T00:00:00"/>
    <s v="24-04-2025"/>
    <d v="2025-04-24T00:00:00"/>
    <s v="Valid"/>
    <n v="2"/>
    <s v="Valid"/>
    <s v="CUST-8843"/>
    <s v="Isha Nair"/>
    <s v="Isha Nair"/>
    <s v="Corporate"/>
    <x v="2"/>
    <m/>
    <x v="4"/>
    <s v="Jharkhand"/>
    <s v="Ranchi"/>
    <s v="Technology"/>
    <x v="2"/>
    <x v="5"/>
    <s v="Prime Accessories 419"/>
    <s v="Standard Class"/>
    <x v="3"/>
    <n v="9"/>
    <n v="2939.44"/>
    <n v="0"/>
    <n v="0"/>
    <n v="26454.959999999999"/>
    <n v="26454.959999999999"/>
    <n v="17630.25"/>
    <n v="8824.7099999999991"/>
    <s v="Paid"/>
    <s v="Completed"/>
    <x v="0"/>
    <s v="Valid"/>
    <n v="8824.7099999999991"/>
    <n v="0.33357487594008833"/>
    <x v="5"/>
    <x v="1"/>
    <s v="Clean"/>
  </r>
  <r>
    <s v="ORD-2025-10429"/>
    <s v="2025-03-15"/>
    <d v="2025-03-15T00:00:00"/>
    <s v="22 Mar 2025"/>
    <d v="2025-03-22T00:00:00"/>
    <s v="Valid"/>
    <n v="7"/>
    <s v="Valid"/>
    <s v="CUST-7626"/>
    <s v="Karan Malhotra"/>
    <s v="Karan Malhotra"/>
    <s v="Small Business"/>
    <x v="1"/>
    <s v="East"/>
    <x v="1"/>
    <s v="West Bengal"/>
    <s v="Kolkata"/>
    <s v="Technology"/>
    <x v="2"/>
    <x v="11"/>
    <s v="Elite Phones 488"/>
    <s v="Same Day"/>
    <x v="1"/>
    <n v="2"/>
    <n v="1235.93"/>
    <n v="0.25"/>
    <n v="0.25"/>
    <n v="1853.895"/>
    <n v="1853.89"/>
    <n v="1101.23"/>
    <n v="752.66"/>
    <s v="Pending"/>
    <s v="Cancelled"/>
    <x v="1"/>
    <s v="Valid"/>
    <n v="752.66000000000008"/>
    <n v="0.4059884729178298"/>
    <x v="11"/>
    <x v="1"/>
    <s v="Clean"/>
  </r>
  <r>
    <s v="ORD-2025-10430"/>
    <s v="01 Mar 2025"/>
    <d v="2025-03-01T00:00:00"/>
    <s v="08-03-2025"/>
    <d v="2025-03-08T00:00:00"/>
    <s v="Valid"/>
    <n v="7"/>
    <s v="Valid"/>
    <s v="CUST-8562"/>
    <s v="Neha Gupta"/>
    <s v="Neha Gupta"/>
    <s v="Home Office"/>
    <x v="3"/>
    <s v="North"/>
    <x v="0"/>
    <s v="Rajasthan"/>
    <s v="Jaipur"/>
    <s v="Technology"/>
    <x v="2"/>
    <x v="6"/>
    <s v="Prime Copiers 109"/>
    <s v="Same Day"/>
    <x v="1"/>
    <n v="8"/>
    <n v="2943.1"/>
    <n v="0.25"/>
    <n v="0.25"/>
    <n v="17658.599999999999"/>
    <n v="17658.599999999999"/>
    <n v="13842.48"/>
    <n v="3816.12"/>
    <s v="Paid"/>
    <s v="Completed"/>
    <x v="0"/>
    <s v="Valid"/>
    <n v="3816.119999999999"/>
    <n v="0.2161054670245659"/>
    <x v="11"/>
    <x v="1"/>
    <s v="Clean"/>
  </r>
  <r>
    <s v="ORD-2024-10431"/>
    <s v="30 Aug 2024"/>
    <d v="2024-08-30T00:00:00"/>
    <s v="02-09-2024"/>
    <d v="2024-09-02T00:00:00"/>
    <s v="Valid"/>
    <n v="3"/>
    <s v="Valid"/>
    <s v="CUST-2732"/>
    <s v="Neha Gupta"/>
    <s v="Neha Gupta"/>
    <s v="Small Business"/>
    <x v="1"/>
    <s v="North"/>
    <x v="0"/>
    <s v="Haryana"/>
    <s v="Gurugram"/>
    <s v="Office Supplies"/>
    <x v="0"/>
    <x v="0"/>
    <s v="Max Paper 576"/>
    <s v="Second Class"/>
    <x v="0"/>
    <n v="1"/>
    <n v="4320.84"/>
    <n v="0.15"/>
    <n v="0.15"/>
    <n v="3672.7139999999999"/>
    <n v="3672.71"/>
    <n v="2714.23"/>
    <n v="763.38"/>
    <s v="Paid"/>
    <s v="Completed"/>
    <x v="0"/>
    <s v="Valid"/>
    <n v="958.48"/>
    <n v="0.26097322034876663"/>
    <x v="1"/>
    <x v="0"/>
    <s v="Clean"/>
  </r>
  <r>
    <s v="ORD-2024-10432"/>
    <s v="10 Feb 2024"/>
    <d v="2024-02-10T00:00:00"/>
    <s v="02/13/2024"/>
    <d v="2024-02-13T00:00:00"/>
    <s v="Valid"/>
    <n v="3"/>
    <s v="Valid"/>
    <s v="CUST-3989"/>
    <s v="Karan Malhotra"/>
    <s v="Karan Malhotra"/>
    <s v="Home Office"/>
    <x v="3"/>
    <s v="West"/>
    <x v="3"/>
    <s v="Goa"/>
    <s v="Panaji"/>
    <s v="Technology"/>
    <x v="2"/>
    <x v="12"/>
    <s v="Max Machines 412"/>
    <s v="Same Day"/>
    <x v="1"/>
    <n v="2"/>
    <n v="4118.45"/>
    <n v="0.25"/>
    <n v="0.25"/>
    <n v="6177.6749999999993"/>
    <n v="6177.67"/>
    <n v="4520.75"/>
    <n v="1656.92"/>
    <s v="Paid"/>
    <s v="Completed"/>
    <x v="0"/>
    <s v="Valid"/>
    <n v="1656.92"/>
    <n v="0.26821093696253046"/>
    <x v="6"/>
    <x v="0"/>
    <s v="Clean"/>
  </r>
  <r>
    <s v="ORD-2024-10433"/>
    <s v="08/29/2024"/>
    <d v="2024-08-29T00:00:00"/>
    <s v="02-09-2024"/>
    <d v="2024-09-02T00:00:00"/>
    <s v="Valid"/>
    <n v="4"/>
    <s v="Valid"/>
    <s v="CUST-3522"/>
    <s v="Priya Menon"/>
    <s v="Priya Menon"/>
    <s v="Small Business"/>
    <x v="1"/>
    <s v="West"/>
    <x v="3"/>
    <s v="Maharashtra"/>
    <s v="Mumbai"/>
    <s v="Furniture"/>
    <x v="1"/>
    <x v="10"/>
    <s v="Classic Bookcases 291"/>
    <s v="Standard Class"/>
    <x v="3"/>
    <n v="6"/>
    <n v="172.82"/>
    <n v="0.05"/>
    <n v="0.05"/>
    <n v="985.07400000000007"/>
    <n v="985.07"/>
    <n v="844.48"/>
    <n v="140.59"/>
    <s v="Paid"/>
    <s v="Completed"/>
    <x v="0"/>
    <s v="Valid"/>
    <n v="140.59000000000003"/>
    <n v="0.14272024233712394"/>
    <x v="1"/>
    <x v="0"/>
    <s v="Clean"/>
  </r>
  <r>
    <s v="ORD-2024-10434"/>
    <s v="04/19/2024"/>
    <d v="2024-04-19T00:00:00"/>
    <s v="20-04-2024"/>
    <d v="2024-04-20T00:00:00"/>
    <s v="Valid"/>
    <n v="1"/>
    <s v="Valid"/>
    <s v="CUST-7066"/>
    <s v="Priya Menon"/>
    <s v="Priya Menon"/>
    <s v="Corporate"/>
    <x v="2"/>
    <s v="South"/>
    <x v="2"/>
    <s v="Kerala"/>
    <s v="Kochi"/>
    <s v="Office Supplies"/>
    <x v="0"/>
    <x v="2"/>
    <s v="Elite Art 946"/>
    <s v="Second Class"/>
    <x v="0"/>
    <n v="4"/>
    <n v="1540.22"/>
    <n v="0"/>
    <n v="0"/>
    <n v="6160.88"/>
    <n v="6160.88"/>
    <n v="4938.7"/>
    <n v="1222.18"/>
    <s v="Refunded"/>
    <s v="Returned"/>
    <x v="2"/>
    <s v="Valid"/>
    <n v="1222.1800000000003"/>
    <n v="0.19837750451234243"/>
    <x v="5"/>
    <x v="0"/>
    <s v="Clean"/>
  </r>
  <r>
    <s v="ORD-2025-10435"/>
    <s v="04/11/2025"/>
    <d v="2025-04-11T00:00:00"/>
    <s v="2025-04-15"/>
    <d v="2025-04-15T00:00:00"/>
    <s v="Valid"/>
    <n v="4"/>
    <s v="Valid"/>
    <s v="CUST-2351"/>
    <s v="Mira Das"/>
    <s v="Mira Das"/>
    <s v="Home Office"/>
    <x v="3"/>
    <s v="North"/>
    <x v="0"/>
    <s v="Uttar Pradesh"/>
    <s v="Noida"/>
    <s v="Technology"/>
    <x v="2"/>
    <x v="5"/>
    <s v="Eco Accessories 705"/>
    <s v="Second Class"/>
    <x v="0"/>
    <n v="5"/>
    <n v="652.78"/>
    <n v="0"/>
    <n v="0"/>
    <n v="3263.8999999999996"/>
    <n v="3263.9"/>
    <n v="2068.44"/>
    <n v="1195.46"/>
    <s v="Paid"/>
    <s v="Completed"/>
    <x v="0"/>
    <s v="Valid"/>
    <n v="1195.46"/>
    <n v="0.36626734887711027"/>
    <x v="5"/>
    <x v="1"/>
    <s v="Clean"/>
  </r>
  <r>
    <s v="ORD-2025-10436"/>
    <s v="2025-04-12"/>
    <d v="2025-04-12T00:00:00"/>
    <s v="20-04-2025"/>
    <d v="2025-04-20T00:00:00"/>
    <s v="Valid"/>
    <n v="8"/>
    <s v="Valid"/>
    <s v="CUST-7291"/>
    <s v="Kabir Singh"/>
    <s v="Kabir Singh"/>
    <s v="Home Office"/>
    <x v="3"/>
    <s v="North"/>
    <x v="0"/>
    <s v="Delhi"/>
    <s v="New Delhi"/>
    <s v="Technology"/>
    <x v="2"/>
    <x v="12"/>
    <s v="Max Machines 151"/>
    <s v="Standard Class"/>
    <x v="3"/>
    <n v="1"/>
    <n v="2737.71"/>
    <n v="0.15"/>
    <n v="0.15"/>
    <n v="2327.0535"/>
    <n v="2327.0500000000002"/>
    <n v="1919.42"/>
    <n v="407.63"/>
    <s v="Paid"/>
    <s v="Cancelled"/>
    <x v="1"/>
    <s v="Valid"/>
    <n v="407.63000000000011"/>
    <n v="0.17517001650370312"/>
    <x v="5"/>
    <x v="1"/>
    <s v="Clean"/>
  </r>
  <r>
    <s v="ORD-2024-10437"/>
    <s v="16 Jun 2024"/>
    <d v="2024-06-16T00:00:00"/>
    <s v="21 Jun 2024"/>
    <d v="2024-06-21T00:00:00"/>
    <s v="Valid"/>
    <n v="5"/>
    <s v="Valid"/>
    <s v="CUST-4492"/>
    <s v="Neha Gupta"/>
    <s v="Neha Gupta"/>
    <s v="Consumer"/>
    <x v="0"/>
    <s v="South"/>
    <x v="2"/>
    <s v="Kerala"/>
    <s v="Kochi"/>
    <s v="Furniture"/>
    <x v="1"/>
    <x v="3"/>
    <s v="Max Furnishings 803"/>
    <s v="Same Day"/>
    <x v="1"/>
    <n v="6"/>
    <n v="1156.78"/>
    <n v="0.05"/>
    <n v="0.05"/>
    <n v="6593.6459999999997"/>
    <n v="6593.65"/>
    <n v="4359.3900000000003"/>
    <n v="2234.2600000000002"/>
    <s v="Paid"/>
    <s v="Returned"/>
    <x v="2"/>
    <s v="Valid"/>
    <n v="2234.2599999999993"/>
    <n v="0.3388504630063548"/>
    <x v="2"/>
    <x v="0"/>
    <s v="Clean"/>
  </r>
  <r>
    <s v="ORD-2024-10438"/>
    <s v="15-02-2024"/>
    <d v="2024-02-15T00:00:00"/>
    <s v="2024-02-18"/>
    <d v="2024-02-18T00:00:00"/>
    <s v="Valid"/>
    <n v="3"/>
    <s v="Valid"/>
    <s v="CUST-5029"/>
    <s v="Aditi Sen"/>
    <s v="Aditi Sen"/>
    <s v="Small Business"/>
    <x v="1"/>
    <s v="South"/>
    <x v="2"/>
    <s v="Kerala"/>
    <s v="Kochi"/>
    <s v="Technology"/>
    <x v="2"/>
    <x v="5"/>
    <s v="Max Accessories 423"/>
    <s v="Same Day"/>
    <x v="1"/>
    <n v="8"/>
    <n v="379.82"/>
    <n v="0.05"/>
    <n v="0.05"/>
    <n v="2886.6319999999996"/>
    <n v="2886.63"/>
    <n v="1588.23"/>
    <n v="1298.4000000000001"/>
    <s v="Failed"/>
    <s v="Returned"/>
    <x v="2"/>
    <s v="Valid"/>
    <n v="1298.4000000000001"/>
    <n v="0.44979754953177276"/>
    <x v="6"/>
    <x v="0"/>
    <s v="Clean"/>
  </r>
  <r>
    <s v="ORD-2025-10439"/>
    <s v="07 May 2025"/>
    <d v="2025-05-07T00:00:00"/>
    <s v="05/05/2025"/>
    <d v="2025-05-05T00:00:00"/>
    <s v="Invalid Shipping Record"/>
    <n v="-2"/>
    <s v="Invalid Shipping Record"/>
    <s v="CUST-7252"/>
    <s v="Neha Gupta"/>
    <s v="Neha Gupta"/>
    <s v="Corporate"/>
    <x v="2"/>
    <s v="East"/>
    <x v="1"/>
    <s v="Jharkhand"/>
    <s v="Ranchi"/>
    <s v="Technology"/>
    <x v="2"/>
    <x v="11"/>
    <s v="Elite Phones 276"/>
    <s v="Standard Class"/>
    <x v="3"/>
    <n v="1"/>
    <n v="2266.4699999999998"/>
    <n v="0.2"/>
    <n v="0.2"/>
    <n v="1813.1759999999999"/>
    <n v="1813.18"/>
    <n v="1363.64"/>
    <n v="449.54"/>
    <s v="Paid"/>
    <s v="Completed"/>
    <x v="0"/>
    <s v="Valid"/>
    <n v="449.53999999999996"/>
    <n v="0.24792959977409804"/>
    <x v="4"/>
    <x v="1"/>
    <s v="Invalid"/>
  </r>
  <r>
    <s v="ORD-2025-10440"/>
    <s v="30-06-2025"/>
    <d v="2025-06-30T00:00:00"/>
    <s v="03 Jul 2025"/>
    <d v="2025-07-03T00:00:00"/>
    <s v="Valid"/>
    <n v="3"/>
    <s v="Valid"/>
    <s v="CUST-7346"/>
    <s v="Aarav Sharma"/>
    <s v="Aarav Sharma"/>
    <s v="Home Office"/>
    <x v="3"/>
    <s v="West"/>
    <x v="3"/>
    <s v="Goa"/>
    <s v="Panaji"/>
    <s v="Office Supplies"/>
    <x v="0"/>
    <x v="8"/>
    <s v="Smart Storage 287"/>
    <s v="Same Day"/>
    <x v="1"/>
    <n v="5"/>
    <n v="665.25"/>
    <n v="0"/>
    <n v="0"/>
    <n v="3326.25"/>
    <n v="3326.25"/>
    <n v="2689.36"/>
    <n v="636.89"/>
    <s v="Refunded"/>
    <s v="Returned"/>
    <x v="2"/>
    <s v="Valid"/>
    <n v="636.88999999999987"/>
    <n v="0.19147388199924836"/>
    <x v="2"/>
    <x v="1"/>
    <s v="Clean"/>
  </r>
  <r>
    <s v="ORD-2024-10441"/>
    <s v="04/02/2024"/>
    <d v="2024-04-02T00:00:00"/>
    <s v="04/08/2024"/>
    <d v="2024-04-08T00:00:00"/>
    <s v="Valid"/>
    <n v="6"/>
    <s v="Valid"/>
    <s v="CUST-9039"/>
    <s v="Vikram Iyer"/>
    <s v="Vikram Iyer"/>
    <s v="Corporate"/>
    <x v="2"/>
    <s v="East"/>
    <x v="1"/>
    <s v="Odisha"/>
    <s v="Bhubaneswar"/>
    <s v="Technology"/>
    <x v="2"/>
    <x v="12"/>
    <s v="Basic Machines 610"/>
    <s v="Second Class"/>
    <x v="0"/>
    <n v="6"/>
    <n v="3722.84"/>
    <n v="0.2"/>
    <n v="0.2"/>
    <n v="17869.632000000001"/>
    <n v="17869.63"/>
    <n v="12163.8"/>
    <n v="5705.83"/>
    <s v="Paid"/>
    <s v="Completed"/>
    <x v="0"/>
    <s v="Valid"/>
    <n v="5705.8300000000017"/>
    <n v="0.31930316192297642"/>
    <x v="5"/>
    <x v="0"/>
    <s v="Clean"/>
  </r>
  <r>
    <s v="ORD-2024-10442"/>
    <s v="03-10-2024"/>
    <d v="2024-10-03T00:00:00"/>
    <s v="2024-10-03"/>
    <d v="2024-10-03T00:00:00"/>
    <s v="Valid"/>
    <n v="0"/>
    <s v="Valid"/>
    <s v="CUST-3975"/>
    <s v="Karan Malhotra"/>
    <s v="Karan Malhotra"/>
    <s v="Consumer"/>
    <x v="0"/>
    <s v="East"/>
    <x v="1"/>
    <s v="Bihar"/>
    <s v="Patna"/>
    <s v="Furniture"/>
    <x v="1"/>
    <x v="10"/>
    <s v="Elite Bookcases 393"/>
    <s v="Standard Class"/>
    <x v="3"/>
    <n v="6"/>
    <n v="4217.49"/>
    <n v="0"/>
    <n v="0"/>
    <n v="25304.94"/>
    <n v="25304.94"/>
    <n v="20771.95"/>
    <n v="4532.99"/>
    <s v="Paid"/>
    <s v="Cancelled"/>
    <x v="1"/>
    <s v="Valid"/>
    <n v="4532.989999999998"/>
    <n v="0.17913458795002077"/>
    <x v="9"/>
    <x v="0"/>
    <s v="Clean"/>
  </r>
  <r>
    <s v="ORD-2025-10443"/>
    <s v="12 Jan 2025"/>
    <d v="2025-01-12T00:00:00"/>
    <s v="2025-01-19"/>
    <d v="2025-01-19T00:00:00"/>
    <s v="Valid"/>
    <n v="7"/>
    <s v="Valid"/>
    <s v="CUST-6588"/>
    <s v="Aarav Sharma"/>
    <s v="Aarav Sharma"/>
    <s v="Consumer"/>
    <x v="0"/>
    <s v="East"/>
    <x v="1"/>
    <s v="Jharkhand"/>
    <s v="Ranchi"/>
    <s v="Furniture"/>
    <x v="1"/>
    <x v="1"/>
    <s v="Prime Tables 242"/>
    <s v="First Class"/>
    <x v="2"/>
    <n v="1"/>
    <n v="1842.31"/>
    <n v="0"/>
    <n v="0"/>
    <n v="1842.31"/>
    <n v="1842.31"/>
    <n v="1019.17"/>
    <n v="823.14"/>
    <s v="Paid"/>
    <s v="Completed"/>
    <x v="0"/>
    <s v="Valid"/>
    <n v="823.14"/>
    <n v="0.44679777019068451"/>
    <x v="10"/>
    <x v="1"/>
    <s v="Clean"/>
  </r>
  <r>
    <s v="ORD-2024-10444"/>
    <s v="04-04-2024"/>
    <d v="2024-04-04T00:00:00"/>
    <s v="07 Apr 2024"/>
    <d v="2024-04-07T00:00:00"/>
    <s v="Valid"/>
    <n v="3"/>
    <s v="Valid"/>
    <s v="CUST-2207"/>
    <s v="Rohan Mehta"/>
    <s v="Rohan Mehta"/>
    <s v="Home Office"/>
    <x v="3"/>
    <s v="East"/>
    <x v="1"/>
    <s v="Odisha"/>
    <s v="Bhubaneswar"/>
    <s v="Furniture"/>
    <x v="1"/>
    <x v="3"/>
    <s v="Basic Furnishings 563"/>
    <s v="First Class"/>
    <x v="2"/>
    <n v="1"/>
    <n v="3683.75"/>
    <n v="0.1"/>
    <n v="0.1"/>
    <n v="3315.375"/>
    <n v="3315.38"/>
    <n v="2347.6799999999998"/>
    <n v="967.7"/>
    <s v="Paid"/>
    <s v="Completed"/>
    <x v="0"/>
    <s v="Valid"/>
    <n v="967.70000000000027"/>
    <n v="0.29188251706066443"/>
    <x v="5"/>
    <x v="0"/>
    <s v="Clean"/>
  </r>
  <r>
    <s v="ORD-2025-10445"/>
    <s v="12 Aug 2025"/>
    <d v="2025-08-12T00:00:00"/>
    <s v="2025-08-16"/>
    <d v="2025-08-16T00:00:00"/>
    <s v="Valid"/>
    <n v="4"/>
    <s v="Valid"/>
    <s v="CUST-4475"/>
    <s v="Ananya Rao"/>
    <s v="Ananya Rao"/>
    <s v="Consumer"/>
    <x v="0"/>
    <s v="East"/>
    <x v="1"/>
    <s v="Assam"/>
    <s v="Guwahati"/>
    <s v="Technology"/>
    <x v="2"/>
    <x v="5"/>
    <s v="Prime Accessories 482"/>
    <s v="Same Day"/>
    <x v="1"/>
    <n v="9"/>
    <n v="2379.2399999999998"/>
    <n v="0.05"/>
    <n v="0.05"/>
    <n v="20342.501999999997"/>
    <n v="20342.5"/>
    <n v="12407.51"/>
    <n v="7934.99"/>
    <s v="Paid"/>
    <s v="Completed"/>
    <x v="0"/>
    <s v="Valid"/>
    <n v="7934.99"/>
    <n v="0.39006952045525184"/>
    <x v="1"/>
    <x v="1"/>
    <s v="Clean"/>
  </r>
  <r>
    <s v="ORD-2024-10446"/>
    <s v="05/09/2024"/>
    <d v="2024-05-09T00:00:00"/>
    <s v="05-05-2024"/>
    <d v="2024-05-05T00:00:00"/>
    <s v="Invalid Shipping Record"/>
    <n v="-4"/>
    <s v="Invalid Shipping Record"/>
    <s v="CUST-1351"/>
    <s v="Arjun Bose"/>
    <s v="Arjun Bose"/>
    <s v="Consumer"/>
    <x v="0"/>
    <s v="East"/>
    <x v="1"/>
    <s v="Assam"/>
    <s v="Guwahati"/>
    <s v="Furniture"/>
    <x v="1"/>
    <x v="10"/>
    <s v="Eco Bookcases 215"/>
    <s v="Same Day"/>
    <x v="1"/>
    <n v="2"/>
    <n v="2111.23"/>
    <n v="0.2"/>
    <n v="0.2"/>
    <n v="3377.9680000000003"/>
    <n v="3377.97"/>
    <n v="2496.29"/>
    <n v="881.68"/>
    <s v="Paid"/>
    <s v="Completed"/>
    <x v="0"/>
    <s v="Valid"/>
    <n v="881.67999999999984"/>
    <n v="0.26100898528346028"/>
    <x v="4"/>
    <x v="0"/>
    <s v="Invalid"/>
  </r>
  <r>
    <s v="ORD-2025-10447"/>
    <s v="18-09-2025"/>
    <d v="2025-09-18T00:00:00"/>
    <s v="19-09-2025"/>
    <d v="2025-09-19T00:00:00"/>
    <s v="Valid"/>
    <n v="1"/>
    <s v="Valid"/>
    <s v="CUST-9295"/>
    <s v="Sneha Kapoor"/>
    <s v="Sneha Kapoor"/>
    <s v="Home Office"/>
    <x v="3"/>
    <s v="South"/>
    <x v="2"/>
    <s v="Andhra Pradesh"/>
    <s v="Vijayawada"/>
    <s v="Office Supplies"/>
    <x v="0"/>
    <x v="8"/>
    <s v="Eco Storage 793"/>
    <s v="Same Day"/>
    <x v="1"/>
    <n v="8"/>
    <n v="4242.51"/>
    <n v="0"/>
    <n v="0"/>
    <n v="33940.080000000002"/>
    <n v="33940.080000000002"/>
    <n v="23754.19"/>
    <n v="10185.89"/>
    <s v="Paid"/>
    <s v="Completed"/>
    <x v="0"/>
    <s v="Valid"/>
    <n v="10185.890000000003"/>
    <n v="0.30011390662603044"/>
    <x v="7"/>
    <x v="1"/>
    <s v="Clean"/>
  </r>
  <r>
    <s v="ORD-2025-10448"/>
    <s v="10-08-2025"/>
    <d v="2025-08-10T00:00:00"/>
    <s v="10 Aug 2025"/>
    <d v="2025-08-10T00:00:00"/>
    <s v="Valid"/>
    <n v="0"/>
    <s v="Valid"/>
    <s v="CUST-3614"/>
    <s v="Rohan Mehta"/>
    <s v="Rohan Mehta"/>
    <s v="Home Office"/>
    <x v="3"/>
    <s v="South"/>
    <x v="2"/>
    <s v="Telangana"/>
    <s v="Hyderabad"/>
    <s v="Furniture"/>
    <x v="1"/>
    <x v="10"/>
    <s v="Basic Bookcases 182"/>
    <s v="Standard Class"/>
    <x v="3"/>
    <n v="6"/>
    <n v="4288.7"/>
    <n v="0.15"/>
    <n v="0.15"/>
    <n v="21872.369999999995"/>
    <n v="21872.37"/>
    <n v="13829.5"/>
    <n v="8042.87"/>
    <s v="Pending"/>
    <s v="Returned"/>
    <x v="2"/>
    <s v="Valid"/>
    <n v="8042.869999999999"/>
    <n v="0.36771826738483304"/>
    <x v="1"/>
    <x v="1"/>
    <s v="Clean"/>
  </r>
  <r>
    <s v="ORD-2024-10449"/>
    <s v="01/15/2024"/>
    <d v="2024-01-15T00:00:00"/>
    <s v="18 Jan 2024"/>
    <d v="2024-01-18T00:00:00"/>
    <s v="Valid"/>
    <n v="3"/>
    <s v="Valid"/>
    <s v="CUST-1932"/>
    <s v="Mira Das"/>
    <s v="Mira Das"/>
    <s v="Small Business"/>
    <x v="1"/>
    <s v="South"/>
    <x v="2"/>
    <s v="Andhra Pradesh"/>
    <s v="Vijayawada"/>
    <s v="Furniture"/>
    <x v="1"/>
    <x v="4"/>
    <s v="Prime Chairs 631"/>
    <s v="First Class"/>
    <x v="2"/>
    <n v="2"/>
    <n v="201.21"/>
    <n v="0.15"/>
    <n v="0.15"/>
    <n v="342.05700000000002"/>
    <n v="342.06"/>
    <n v="244.57"/>
    <n v="97.49"/>
    <s v="Paid"/>
    <s v="Completed"/>
    <x v="0"/>
    <s v="Valid"/>
    <n v="97.490000000000009"/>
    <n v="0.28501097770254669"/>
    <x v="10"/>
    <x v="0"/>
    <s v="Clean"/>
  </r>
  <r>
    <s v="ORD-2024-10450"/>
    <s v="06-06-2024"/>
    <d v="2024-06-06T00:00:00"/>
    <s v="13 Jun 2024"/>
    <d v="2024-06-13T00:00:00"/>
    <s v="Valid"/>
    <n v="7"/>
    <s v="Valid"/>
    <s v="CUST-5094"/>
    <s v="Aditi Sen"/>
    <s v="Aditi Sen"/>
    <s v="Corporate"/>
    <x v="2"/>
    <s v="East"/>
    <x v="1"/>
    <s v="Assam"/>
    <s v="Guwahati"/>
    <s v="Technology"/>
    <x v="2"/>
    <x v="12"/>
    <s v="Basic Machines 808"/>
    <s v="Second Class"/>
    <x v="0"/>
    <n v="6"/>
    <n v="3270.36"/>
    <n v="0"/>
    <n v="0"/>
    <n v="19622.16"/>
    <n v="19622.16"/>
    <n v="14271.27"/>
    <n v="5350.89"/>
    <s v="Paid"/>
    <s v="Completed"/>
    <x v="0"/>
    <s v="Valid"/>
    <n v="5350.8899999999994"/>
    <n v="0.27269627808559299"/>
    <x v="2"/>
    <x v="0"/>
    <s v="Clean"/>
  </r>
  <r>
    <s v="ORD-2025-10451"/>
    <s v="06/12/2025"/>
    <d v="2025-06-12T00:00:00"/>
    <s v="2025-06-19"/>
    <d v="2025-06-19T00:00:00"/>
    <s v="Valid"/>
    <n v="7"/>
    <s v="Valid"/>
    <s v="CUST-8672"/>
    <s v="Ananya Rao"/>
    <s v="Ananya Rao"/>
    <s v="Corporate"/>
    <x v="2"/>
    <s v="North"/>
    <x v="0"/>
    <s v="Delhi"/>
    <s v="New Delhi"/>
    <s v="Furniture"/>
    <x v="1"/>
    <x v="4"/>
    <s v="Pro Chairs 302"/>
    <s v="Standard Class"/>
    <x v="3"/>
    <n v="9"/>
    <n v="2278.5700000000002"/>
    <n v="0.25"/>
    <n v="0.25"/>
    <n v="15380.3475"/>
    <n v="15380.35"/>
    <n v="9907.3700000000008"/>
    <n v="5472.98"/>
    <s v="Paid"/>
    <s v="Completed"/>
    <x v="0"/>
    <s v="Valid"/>
    <n v="5472.98"/>
    <n v="0.35584241513398834"/>
    <x v="2"/>
    <x v="1"/>
    <s v="Clean"/>
  </r>
  <r>
    <s v="ORD-2024-10452"/>
    <s v="24-03-2024"/>
    <d v="2024-03-24T00:00:00"/>
    <s v="26-03-2024"/>
    <d v="2024-03-26T00:00:00"/>
    <s v="Valid"/>
    <n v="2"/>
    <s v="Valid"/>
    <s v="CUST-3907"/>
    <s v="Rohan Mehta"/>
    <s v="Rohan Mehta"/>
    <s v="Small Business"/>
    <x v="1"/>
    <s v="North"/>
    <x v="0"/>
    <s v="Haryana"/>
    <s v="Gurugram"/>
    <s v="Office Supplies"/>
    <x v="0"/>
    <x v="0"/>
    <s v="Classic Paper 272"/>
    <s v="Second Class"/>
    <x v="0"/>
    <n v="8"/>
    <n v="1917.64"/>
    <n v="0.15"/>
    <n v="0.15"/>
    <n v="13039.952000000001"/>
    <n v="13039.95"/>
    <n v="11127.82"/>
    <n v="1912.13"/>
    <s v="Paid"/>
    <s v="Cancelled"/>
    <x v="1"/>
    <s v="Valid"/>
    <n v="1912.130000000001"/>
    <n v="0.14663627596175208"/>
    <x v="11"/>
    <x v="0"/>
    <s v="Clean"/>
  </r>
  <r>
    <s v="ORD-2024-10453"/>
    <s v="10-05-2024"/>
    <d v="2024-05-10T00:00:00"/>
    <s v="16-05-2024"/>
    <d v="2024-05-16T00:00:00"/>
    <s v="Valid"/>
    <n v="6"/>
    <s v="Valid"/>
    <s v="CUST-8796"/>
    <s v="Diya Patel"/>
    <s v="Diya Patel"/>
    <s v="Home Office"/>
    <x v="3"/>
    <s v="East"/>
    <x v="1"/>
    <s v="Jharkhand"/>
    <s v="Ranchi"/>
    <s v="Technology"/>
    <x v="2"/>
    <x v="5"/>
    <s v="Smart Accessories 149"/>
    <s v="Second Class"/>
    <x v="0"/>
    <n v="6"/>
    <n v="2013.33"/>
    <n v="0.2"/>
    <n v="0.2"/>
    <n v="9663.9840000000004"/>
    <n v="9663.98"/>
    <n v="5628.93"/>
    <n v="4035.05"/>
    <s v="Paid"/>
    <s v="Completed"/>
    <x v="0"/>
    <s v="Valid"/>
    <n v="4035.0499999999993"/>
    <n v="0.41753483863383872"/>
    <x v="4"/>
    <x v="0"/>
    <s v="Clean"/>
  </r>
  <r>
    <s v="ORD-2025-10454"/>
    <s v="05/03/2025"/>
    <d v="2025-05-03T00:00:00"/>
    <s v="2025-05-11"/>
    <d v="2025-05-11T00:00:00"/>
    <s v="Valid"/>
    <n v="8"/>
    <s v="Valid"/>
    <s v="CUST-2317"/>
    <s v="Rohan Mehta"/>
    <s v="Rohan Mehta"/>
    <s v="Small Business"/>
    <x v="1"/>
    <s v="West"/>
    <x v="3"/>
    <s v="Madhya Pradesh"/>
    <s v="Indore"/>
    <s v="Office Supplies"/>
    <x v="0"/>
    <x v="7"/>
    <s v="Elite Labels 322"/>
    <s v="Same Day"/>
    <x v="1"/>
    <n v="5"/>
    <n v="1483.52"/>
    <n v="0"/>
    <n v="0"/>
    <n v="7417.6"/>
    <n v="7417.6"/>
    <n v="4955.8599999999997"/>
    <n v="2461.7399999999998"/>
    <s v="Paid"/>
    <s v="Completed"/>
    <x v="0"/>
    <s v="Valid"/>
    <n v="2461.7400000000007"/>
    <n v="0.3318782355478862"/>
    <x v="4"/>
    <x v="1"/>
    <s v="Clean"/>
  </r>
  <r>
    <s v="ORD-2025-10455"/>
    <s v="2025-03-23"/>
    <d v="2025-03-23T00:00:00"/>
    <s v="28-03-2025"/>
    <d v="2025-03-28T00:00:00"/>
    <s v="Valid"/>
    <n v="5"/>
    <s v="Valid"/>
    <s v="CUST-8643"/>
    <s v="Vikram Iyer"/>
    <s v="Vikram Iyer"/>
    <s v="Small Business"/>
    <x v="1"/>
    <s v="North"/>
    <x v="0"/>
    <s v="Rajasthan"/>
    <s v="Jaipur"/>
    <s v="Furniture"/>
    <x v="1"/>
    <x v="3"/>
    <s v="Max Furnishings 821"/>
    <s v="Standard Class"/>
    <x v="3"/>
    <n v="9"/>
    <n v="3298"/>
    <n v="0.15"/>
    <n v="0.15"/>
    <n v="25229.7"/>
    <n v="25229.7"/>
    <n v="20170.43"/>
    <n v="5059.2700000000004"/>
    <s v="Paid"/>
    <s v="Completed"/>
    <x v="0"/>
    <s v="Valid"/>
    <n v="5059.2700000000004"/>
    <n v="0.20052834556098567"/>
    <x v="11"/>
    <x v="1"/>
    <s v="Clean"/>
  </r>
  <r>
    <s v="ORD-2024-10456"/>
    <s v="18 Jul 2024"/>
    <d v="2024-07-18T00:00:00"/>
    <s v="22-07-2024"/>
    <d v="2024-07-22T00:00:00"/>
    <s v="Valid"/>
    <n v="4"/>
    <s v="Valid"/>
    <s v="CUST-1800"/>
    <s v="Neha Gupta"/>
    <s v="Neha Gupta"/>
    <s v="Small Business"/>
    <x v="1"/>
    <s v="South"/>
    <x v="2"/>
    <s v="Telangana"/>
    <s v="Hyderabad"/>
    <s v="Office Supplies"/>
    <x v="0"/>
    <x v="2"/>
    <s v="Basic Art 556"/>
    <s v="Standard Class"/>
    <x v="3"/>
    <n v="4"/>
    <n v="808.77"/>
    <n v="0"/>
    <n v="0"/>
    <n v="3235.08"/>
    <n v="3235.08"/>
    <n v="1848.6"/>
    <n v="1386.48"/>
    <s v="Paid"/>
    <s v="Completed"/>
    <x v="0"/>
    <s v="Valid"/>
    <n v="1386.48"/>
    <n v="0.42857672762342819"/>
    <x v="0"/>
    <x v="0"/>
    <s v="Clean"/>
  </r>
  <r>
    <s v="ORD-2024-10457"/>
    <s v="2024-02-20"/>
    <d v="2024-02-20T00:00:00"/>
    <s v="2024-02-20"/>
    <d v="2024-02-20T00:00:00"/>
    <s v="Valid"/>
    <n v="0"/>
    <s v="Valid"/>
    <s v="CUST-7688"/>
    <s v="Neha Gupta"/>
    <s v="Neha Gupta"/>
    <s v="Corporate"/>
    <x v="2"/>
    <s v="North"/>
    <x v="0"/>
    <s v="Uttar Pradesh"/>
    <s v="Noida"/>
    <s v="Technology"/>
    <x v="2"/>
    <x v="5"/>
    <s v="Smart Accessories 265"/>
    <s v="Same Day"/>
    <x v="1"/>
    <n v="5"/>
    <n v="2604.91"/>
    <n v="0.15"/>
    <n v="0.15"/>
    <n v="11070.867499999998"/>
    <n v="11070.87"/>
    <n v="6623.61"/>
    <n v="4447.26"/>
    <s v="Paid"/>
    <s v="Returned"/>
    <x v="2"/>
    <s v="Valid"/>
    <n v="4447.2600000000011"/>
    <n v="0.40170835754289369"/>
    <x v="6"/>
    <x v="0"/>
    <s v="Clean"/>
  </r>
  <r>
    <s v="ORD-2024-10458"/>
    <s v="05/04/2024"/>
    <d v="2024-05-04T00:00:00"/>
    <s v="2024-05-04"/>
    <d v="2024-05-04T00:00:00"/>
    <s v="Valid"/>
    <n v="0"/>
    <s v="Valid"/>
    <s v="CUST-4957"/>
    <s v="Mira Das"/>
    <s v="Mira Das"/>
    <s v="Small Business"/>
    <x v="1"/>
    <s v="West"/>
    <x v="3"/>
    <s v="Goa"/>
    <s v="Panaji"/>
    <s v="Furniture"/>
    <x v="1"/>
    <x v="1"/>
    <s v="Elite Tables 418"/>
    <s v="Standard Class"/>
    <x v="3"/>
    <n v="7"/>
    <n v="2851.51"/>
    <n v="0"/>
    <n v="0"/>
    <n v="19960.57"/>
    <n v="19960.57"/>
    <n v="16603.599999999999"/>
    <n v="3356.97"/>
    <s v="Paid"/>
    <s v="Completed"/>
    <x v="0"/>
    <s v="Valid"/>
    <n v="3356.9700000000012"/>
    <n v="0.1681800670020947"/>
    <x v="4"/>
    <x v="0"/>
    <s v="Clean"/>
  </r>
  <r>
    <s v="ORD-2024-10459"/>
    <s v="2024-02-10"/>
    <d v="2024-02-10T00:00:00"/>
    <s v="02/11/2024"/>
    <d v="2024-02-11T00:00:00"/>
    <s v="Valid"/>
    <n v="1"/>
    <s v="Valid"/>
    <s v="CUST-1263"/>
    <s v="Karan Malhotra"/>
    <s v="Karan Malhotra"/>
    <s v="Corporate"/>
    <x v="2"/>
    <s v="North"/>
    <x v="0"/>
    <s v="Rajasthan"/>
    <s v="Jaipur"/>
    <s v="Technology"/>
    <x v="2"/>
    <x v="11"/>
    <s v="Pro Phones 907"/>
    <s v="Second Class"/>
    <x v="0"/>
    <n v="3"/>
    <n v="3183.72"/>
    <n v="0.1"/>
    <n v="0.1"/>
    <n v="8596.0439999999999"/>
    <n v="8596.0400000000009"/>
    <n v="5378.16"/>
    <n v="3217.88"/>
    <s v="Paid"/>
    <s v="Completed"/>
    <x v="0"/>
    <s v="Valid"/>
    <n v="3217.880000000001"/>
    <n v="0.37434429139729869"/>
    <x v="6"/>
    <x v="0"/>
    <s v="Clean"/>
  </r>
  <r>
    <s v="ORD-2024-10460"/>
    <s v="03/28/2024"/>
    <d v="2024-03-28T00:00:00"/>
    <s v="04-04-2024"/>
    <d v="2024-04-04T00:00:00"/>
    <s v="Valid"/>
    <n v="7"/>
    <s v="Valid"/>
    <s v="CUST-4745"/>
    <s v="Ananya Rao"/>
    <s v="Ananya Rao"/>
    <s v="Home Office"/>
    <x v="3"/>
    <s v="West"/>
    <x v="3"/>
    <s v="Goa"/>
    <s v="Panaji"/>
    <s v="Office Supplies"/>
    <x v="0"/>
    <x v="0"/>
    <s v="Basic Paper 233"/>
    <s v="First Class"/>
    <x v="2"/>
    <n v="3"/>
    <n v="1150.92"/>
    <n v="0"/>
    <n v="0"/>
    <n v="3452.76"/>
    <n v="3452.76"/>
    <n v="2077.96"/>
    <n v="1374.8"/>
    <s v="Paid"/>
    <s v="Completed"/>
    <x v="0"/>
    <s v="Valid"/>
    <n v="1374.8000000000002"/>
    <n v="0.39817421425178701"/>
    <x v="11"/>
    <x v="0"/>
    <s v="Clean"/>
  </r>
  <r>
    <s v="ORD-2025-10461"/>
    <s v="30 Sep 2025"/>
    <d v="2025-09-30T00:00:00"/>
    <s v="06 Oct 2025"/>
    <d v="2025-10-06T00:00:00"/>
    <s v="Valid"/>
    <n v="6"/>
    <s v="Valid"/>
    <s v="CUST-5551"/>
    <s v="Aarav Sharma"/>
    <s v="Aarav Sharma"/>
    <s v="Corporate"/>
    <x v="2"/>
    <m/>
    <x v="4"/>
    <s v="Rajasthan"/>
    <s v="Jaipur"/>
    <s v="Technology"/>
    <x v="2"/>
    <x v="6"/>
    <s v="Eco Copiers 603"/>
    <s v="Second Class"/>
    <x v="0"/>
    <n v="9"/>
    <n v="1359.88"/>
    <n v="0.05"/>
    <n v="0.05"/>
    <n v="11626.974000000002"/>
    <n v="11626.97"/>
    <n v="7394.07"/>
    <n v="4232.8999999999996"/>
    <s v="Paid"/>
    <s v="Completed"/>
    <x v="0"/>
    <s v="Valid"/>
    <n v="4232.8999999999996"/>
    <n v="0.36405861060668054"/>
    <x v="7"/>
    <x v="1"/>
    <s v="Clean"/>
  </r>
  <r>
    <s v="ORD-2025-10462"/>
    <s v="05/25/2025"/>
    <d v="2025-05-25T00:00:00"/>
    <s v="05/26/2025"/>
    <d v="2025-05-26T00:00:00"/>
    <s v="Valid"/>
    <n v="1"/>
    <s v="Valid"/>
    <s v="CUST-3659"/>
    <s v="Neha Gupta"/>
    <s v="Neha Gupta"/>
    <s v="Corporate"/>
    <x v="2"/>
    <s v="South"/>
    <x v="2"/>
    <s v="Andhra Pradesh"/>
    <s v="Vijayawada"/>
    <s v="Office Supplies"/>
    <x v="0"/>
    <x v="0"/>
    <s v="Max Paper 700"/>
    <s v="Standard Class"/>
    <x v="3"/>
    <n v="3"/>
    <n v="3378.15"/>
    <n v="0.15"/>
    <n v="0.15"/>
    <n v="8614.2825000000012"/>
    <n v="8614.2800000000007"/>
    <n v="7052.08"/>
    <n v="1562.2"/>
    <s v="Paid"/>
    <s v="Completed"/>
    <x v="0"/>
    <s v="Valid"/>
    <n v="1562.2000000000007"/>
    <n v="0.18134998474916519"/>
    <x v="4"/>
    <x v="1"/>
    <s v="Clean"/>
  </r>
  <r>
    <s v="ORD-2024-10463"/>
    <s v="09/23/2024"/>
    <d v="2024-09-23T00:00:00"/>
    <s v="25-09-2024"/>
    <d v="2024-09-25T00:00:00"/>
    <s v="Valid"/>
    <n v="2"/>
    <s v="Valid"/>
    <s v="CUST-6594"/>
    <s v="Aarav Sharma"/>
    <s v="Aarav Sharma"/>
    <s v="Home Office"/>
    <x v="3"/>
    <s v="North"/>
    <x v="0"/>
    <s v="Delhi"/>
    <s v="New Delhi"/>
    <s v="Office Supplies"/>
    <x v="0"/>
    <x v="9"/>
    <s v="Pro Binders 404"/>
    <s v="First Class"/>
    <x v="2"/>
    <n v="2"/>
    <n v="1275.1400000000001"/>
    <n v="0.2"/>
    <n v="0.2"/>
    <n v="2040.2240000000002"/>
    <n v="2040.22"/>
    <n v="1395.71"/>
    <n v="644.51"/>
    <s v="Paid"/>
    <s v="Completed"/>
    <x v="0"/>
    <s v="Valid"/>
    <n v="644.51"/>
    <n v="0.31590158727669115"/>
    <x v="7"/>
    <x v="0"/>
    <s v="Clean"/>
  </r>
  <r>
    <s v="ORD-2025-10464"/>
    <s v="07-02-2025"/>
    <d v="2025-02-07T00:00:00"/>
    <s v="2025-02-08"/>
    <d v="2025-02-08T00:00:00"/>
    <s v="Valid"/>
    <n v="1"/>
    <s v="Valid"/>
    <s v="CUST-2626"/>
    <s v="Arjun Bose"/>
    <s v="Arjun Bose"/>
    <s v="Corporate"/>
    <x v="2"/>
    <s v="West"/>
    <x v="3"/>
    <s v="Madhya Pradesh"/>
    <s v="Indore"/>
    <s v="Technology"/>
    <x v="2"/>
    <x v="11"/>
    <s v="Eco Phones 208"/>
    <s v="Standard Class"/>
    <x v="3"/>
    <n v="4"/>
    <n v="889.5"/>
    <n v="0.2"/>
    <n v="0.2"/>
    <n v="2846.4"/>
    <n v="2846.4"/>
    <n v="2132.37"/>
    <n v="714.03"/>
    <s v="Paid"/>
    <s v="Completed"/>
    <x v="0"/>
    <s v="Valid"/>
    <n v="714.0300000000002"/>
    <n v="0.25085370994940986"/>
    <x v="6"/>
    <x v="1"/>
    <s v="Clean"/>
  </r>
  <r>
    <s v="ORD-2025-10465"/>
    <s v="11-03-2025"/>
    <d v="2025-03-11T00:00:00"/>
    <s v="03/15/2025"/>
    <d v="2025-03-15T00:00:00"/>
    <s v="Valid"/>
    <n v="4"/>
    <s v="Valid"/>
    <s v="CUST-7362"/>
    <s v="Arjun Bose"/>
    <s v="Arjun Bose"/>
    <s v="Corporate"/>
    <x v="2"/>
    <s v="East"/>
    <x v="1"/>
    <s v="Bihar"/>
    <s v="Patna"/>
    <s v="Office Supplies"/>
    <x v="0"/>
    <x v="0"/>
    <s v="Elite Paper 106"/>
    <s v="Same Day"/>
    <x v="1"/>
    <n v="3"/>
    <n v="3625.08"/>
    <n v="0.05"/>
    <n v="0.05"/>
    <n v="10331.477999999999"/>
    <n v="10331.48"/>
    <n v="7131.91"/>
    <n v="3199.57"/>
    <s v="Pending"/>
    <s v="Cancelled"/>
    <x v="1"/>
    <s v="Valid"/>
    <n v="3199.5699999999997"/>
    <n v="0.30969141104496373"/>
    <x v="11"/>
    <x v="1"/>
    <s v="Clean"/>
  </r>
  <r>
    <s v="ORD-2024-10466"/>
    <s v="29-01-2024"/>
    <d v="2024-01-29T00:00:00"/>
    <s v="2024-02-06"/>
    <d v="2024-02-06T00:00:00"/>
    <s v="Valid"/>
    <n v="8"/>
    <s v="Valid"/>
    <s v="CUST-1748"/>
    <s v="Aarav Sharma"/>
    <s v="Aarav Sharma"/>
    <s v="Small Business"/>
    <x v="1"/>
    <s v="West"/>
    <x v="3"/>
    <s v="Madhya Pradesh"/>
    <s v="Indore"/>
    <s v="Office Supplies"/>
    <x v="0"/>
    <x v="7"/>
    <s v="Eco Labels 914"/>
    <s v="Standard Class"/>
    <x v="3"/>
    <n v="2"/>
    <n v="1258.9000000000001"/>
    <n v="0"/>
    <n v="0"/>
    <n v="2517.8000000000002"/>
    <n v="2517.8000000000002"/>
    <n v="1478.54"/>
    <n v="1039.26"/>
    <s v="Paid"/>
    <s v="Completed"/>
    <x v="0"/>
    <s v="Valid"/>
    <n v="1039.2600000000002"/>
    <n v="0.41276511239971408"/>
    <x v="10"/>
    <x v="0"/>
    <s v="Clean"/>
  </r>
  <r>
    <s v="ORD-2024-10467"/>
    <s v="04-01-2024"/>
    <d v="2024-01-04T00:00:00"/>
    <s v="01/08/2024"/>
    <d v="2024-01-08T00:00:00"/>
    <s v="Valid"/>
    <n v="4"/>
    <s v="Valid"/>
    <s v="CUST-2725"/>
    <s v="Mira Das"/>
    <s v="Mira Das"/>
    <s v="Small Business"/>
    <x v="1"/>
    <s v="East"/>
    <x v="1"/>
    <s v="Bihar"/>
    <s v="Patna"/>
    <s v="Technology"/>
    <x v="2"/>
    <x v="5"/>
    <s v="Max Accessories 486"/>
    <s v="Same Day"/>
    <x v="1"/>
    <n v="9"/>
    <n v="1591.96"/>
    <n v="0.2"/>
    <n v="0.2"/>
    <n v="11462.112000000001"/>
    <n v="11462.11"/>
    <n v="7105.48"/>
    <n v="4356.63"/>
    <s v="Paid"/>
    <s v="Completed"/>
    <x v="0"/>
    <s v="Valid"/>
    <n v="4356.630000000001"/>
    <n v="0.38008963793060135"/>
    <x v="10"/>
    <x v="0"/>
    <s v="Clean"/>
  </r>
  <r>
    <s v="ORD-2024-10468"/>
    <s v="20-08-2024"/>
    <d v="2024-08-20T00:00:00"/>
    <s v="21 Aug 2024"/>
    <d v="2024-08-21T00:00:00"/>
    <s v="Valid"/>
    <n v="1"/>
    <s v="Valid"/>
    <s v="CUST-9470"/>
    <s v="Aditi Sen"/>
    <s v="Aditi Sen"/>
    <s v="Corporate"/>
    <x v="2"/>
    <s v="East"/>
    <x v="1"/>
    <s v="Odisha"/>
    <s v="Bhubaneswar"/>
    <s v="Technology"/>
    <x v="2"/>
    <x v="6"/>
    <s v="Max Copiers 867"/>
    <s v="First Class"/>
    <x v="2"/>
    <n v="5"/>
    <n v="4288.33"/>
    <n v="0.1"/>
    <n v="0.1"/>
    <n v="19297.485000000001"/>
    <n v="19297.490000000002"/>
    <n v="15451.66"/>
    <n v="3845.83"/>
    <s v="Refunded"/>
    <s v="Cancelled"/>
    <x v="1"/>
    <s v="Valid"/>
    <n v="3845.8300000000017"/>
    <n v="0.19929177299528936"/>
    <x v="1"/>
    <x v="0"/>
    <s v="Clean"/>
  </r>
  <r>
    <s v="ORD-2025-10469"/>
    <s v="09 Jan 2025"/>
    <d v="2025-01-09T00:00:00"/>
    <s v="07 Jan 2025"/>
    <d v="2025-01-07T00:00:00"/>
    <s v="Invalid Shipping Record"/>
    <n v="-2"/>
    <s v="Invalid Shipping Record"/>
    <s v="CUST-4176"/>
    <s v="Aarav Sharma"/>
    <s v="Aarav Sharma"/>
    <s v="Home Office"/>
    <x v="3"/>
    <s v="East"/>
    <x v="1"/>
    <s v="West Bengal"/>
    <s v="Kolkata"/>
    <s v="Office Supplies"/>
    <x v="0"/>
    <x v="9"/>
    <s v="Pro Binders 555"/>
    <s v="Second Class"/>
    <x v="0"/>
    <n v="3"/>
    <n v="2188.33"/>
    <n v="0"/>
    <n v="0"/>
    <n v="6564.99"/>
    <n v="6564.99"/>
    <n v="5407.24"/>
    <n v="1157.75"/>
    <s v="Paid"/>
    <s v="Completed"/>
    <x v="0"/>
    <s v="Valid"/>
    <n v="1157.75"/>
    <n v="0.17635213458055535"/>
    <x v="10"/>
    <x v="1"/>
    <s v="Invalid"/>
  </r>
  <r>
    <s v="ORD-2024-10470"/>
    <s v="2024-01-19"/>
    <d v="2024-01-19T00:00:00"/>
    <s v="01/25/2024"/>
    <d v="2024-01-25T00:00:00"/>
    <s v="Valid"/>
    <n v="6"/>
    <s v="Valid"/>
    <s v="CUST-3448"/>
    <s v="Aditi Sen"/>
    <s v="Aditi Sen"/>
    <s v="Corporate"/>
    <x v="2"/>
    <s v="West"/>
    <x v="3"/>
    <s v="Goa"/>
    <s v="Panaji"/>
    <s v="Technology"/>
    <x v="2"/>
    <x v="6"/>
    <s v="Pro Copiers 971"/>
    <s v="First Class"/>
    <x v="2"/>
    <n v="3"/>
    <n v="1041.6600000000001"/>
    <n v="0.1"/>
    <n v="0.1"/>
    <n v="2812.4820000000004"/>
    <n v="2812.48"/>
    <n v="2282.12"/>
    <n v="530.36"/>
    <s v="Paid"/>
    <s v="Completed"/>
    <x v="0"/>
    <s v="Valid"/>
    <n v="530.36000000000013"/>
    <n v="0.18857365131581288"/>
    <x v="10"/>
    <x v="0"/>
    <s v="Clean"/>
  </r>
  <r>
    <s v="ORD-2024-10471"/>
    <s v="28-07-2024"/>
    <d v="2024-07-28T00:00:00"/>
    <s v="07/31/2024"/>
    <d v="2024-07-31T00:00:00"/>
    <s v="Valid"/>
    <n v="3"/>
    <s v="Valid"/>
    <s v="CUST-4970"/>
    <s v="Aditi Sen"/>
    <s v="Aditi Sen"/>
    <s v="Consumer"/>
    <x v="0"/>
    <s v="North"/>
    <x v="0"/>
    <s v="Rajasthan"/>
    <s v="Jaipur"/>
    <s v="Furniture"/>
    <x v="1"/>
    <x v="1"/>
    <s v="Pro Tables 833"/>
    <s v="Same Day"/>
    <x v="1"/>
    <n v="2"/>
    <n v="4424.78"/>
    <n v="0.2"/>
    <n v="0.2"/>
    <n v="7079.6480000000001"/>
    <n v="7079.65"/>
    <n v="4465.91"/>
    <n v="2613.7399999999998"/>
    <s v="Paid"/>
    <s v="Completed"/>
    <x v="0"/>
    <s v="Valid"/>
    <n v="2613.7399999999998"/>
    <n v="0.3691906716266119"/>
    <x v="0"/>
    <x v="0"/>
    <s v="Clean"/>
  </r>
  <r>
    <s v="ORD-2024-10472"/>
    <s v="11-02-2024"/>
    <d v="2024-02-11T00:00:00"/>
    <s v="02/15/2024"/>
    <d v="2024-02-15T00:00:00"/>
    <s v="Valid"/>
    <n v="4"/>
    <s v="Valid"/>
    <s v="CUST-6147"/>
    <s v="Kabir Singh"/>
    <s v="Kabir Singh"/>
    <s v="Consumer"/>
    <x v="0"/>
    <s v="South"/>
    <x v="2"/>
    <s v="Telangana"/>
    <s v="Hyderabad"/>
    <s v="Office Supplies"/>
    <x v="0"/>
    <x v="9"/>
    <s v="Prime Binders 497"/>
    <s v="Standard Class"/>
    <x v="3"/>
    <n v="3"/>
    <n v="3019.14"/>
    <n v="0.25"/>
    <n v="0.25"/>
    <n v="6793.0650000000005"/>
    <n v="6793.07"/>
    <n v="4985.22"/>
    <n v="1807.85"/>
    <s v="Paid"/>
    <s v="Completed"/>
    <x v="0"/>
    <s v="Valid"/>
    <n v="1807.8499999999995"/>
    <n v="0.26613170932414149"/>
    <x v="6"/>
    <x v="0"/>
    <s v="Clean"/>
  </r>
  <r>
    <s v="ORD-2024-10473"/>
    <s v="02-03-2024"/>
    <d v="2024-03-02T00:00:00"/>
    <s v="03/07/2024"/>
    <d v="2024-03-07T00:00:00"/>
    <s v="Valid"/>
    <n v="5"/>
    <s v="Valid"/>
    <s v="CUST-7208"/>
    <s v="Rohan Mehta"/>
    <s v="Rohan Mehta"/>
    <s v="Corporate"/>
    <x v="2"/>
    <s v="East"/>
    <x v="1"/>
    <s v="Odisha"/>
    <s v="Bhubaneswar"/>
    <s v="Office Supplies"/>
    <x v="0"/>
    <x v="8"/>
    <s v="Pro Storage 756"/>
    <s v="Standard Class"/>
    <x v="3"/>
    <n v="7"/>
    <n v="263.45999999999998"/>
    <n v="0"/>
    <n v="0"/>
    <n v="1844.2199999999998"/>
    <n v="1844.22"/>
    <n v="1094.21"/>
    <n v="750.01"/>
    <s v="Paid"/>
    <s v="Completed"/>
    <x v="0"/>
    <s v="Valid"/>
    <n v="750.01"/>
    <n v="0.40668141544934988"/>
    <x v="11"/>
    <x v="0"/>
    <s v="Clean"/>
  </r>
  <r>
    <s v="ORD-2024-10474"/>
    <s v="13-11-2024"/>
    <d v="2024-11-13T00:00:00"/>
    <s v="13 Nov 2024"/>
    <d v="2024-11-13T00:00:00"/>
    <s v="Valid"/>
    <n v="0"/>
    <s v="Valid"/>
    <s v="CUST-2794"/>
    <s v="Priya Menon"/>
    <s v="Priya Menon"/>
    <s v="Consumer"/>
    <x v="0"/>
    <s v="West"/>
    <x v="3"/>
    <s v="Goa"/>
    <s v="Panaji"/>
    <s v="Technology"/>
    <x v="2"/>
    <x v="6"/>
    <s v="Max Copiers 829"/>
    <s v="Standard Class"/>
    <x v="3"/>
    <n v="6"/>
    <n v="191.45"/>
    <n v="0.2"/>
    <n v="0.2"/>
    <n v="918.95999999999992"/>
    <n v="918.96"/>
    <n v="554.17999999999995"/>
    <n v="364.78"/>
    <s v="Paid"/>
    <s v="Completed"/>
    <x v="0"/>
    <s v="Valid"/>
    <n v="364.78000000000009"/>
    <n v="0.39694872464525127"/>
    <x v="3"/>
    <x v="0"/>
    <s v="Clean"/>
  </r>
  <r>
    <s v="ORD-2024-10475"/>
    <s v="03-06-2024"/>
    <d v="2024-06-03T00:00:00"/>
    <s v="2024-06-10"/>
    <d v="2024-06-10T00:00:00"/>
    <s v="Valid"/>
    <n v="7"/>
    <s v="Valid"/>
    <s v="CUST-6249"/>
    <s v="Diya Patel"/>
    <s v="Diya Patel"/>
    <s v="Corporate"/>
    <x v="2"/>
    <s v="North"/>
    <x v="0"/>
    <s v="Punjab"/>
    <s v="Ludhiana"/>
    <s v="Furniture"/>
    <x v="1"/>
    <x v="3"/>
    <s v="Prime Furnishings 827"/>
    <s v="Standard Class"/>
    <x v="3"/>
    <n v="3"/>
    <n v="1633.57"/>
    <n v="0"/>
    <n v="0"/>
    <n v="4900.71"/>
    <n v="4900.71"/>
    <n v="2713.9"/>
    <n v="2186.81"/>
    <s v="Paid"/>
    <s v="Completed"/>
    <x v="0"/>
    <s v="Valid"/>
    <n v="2186.81"/>
    <n v="0.44622309828575857"/>
    <x v="2"/>
    <x v="0"/>
    <s v="Clean"/>
  </r>
  <r>
    <s v="ORD-2025-10476"/>
    <s v="03/01/2025"/>
    <d v="2025-03-01T00:00:00"/>
    <s v="08 Mar 2025"/>
    <d v="2025-03-08T00:00:00"/>
    <s v="Valid"/>
    <n v="7"/>
    <s v="Valid"/>
    <s v="CUST-5712"/>
    <s v="Vikram Iyer"/>
    <s v="Vikram Iyer"/>
    <s v="Consumer"/>
    <x v="0"/>
    <s v="East"/>
    <x v="1"/>
    <s v="West Bengal"/>
    <s v="Kolkata"/>
    <s v="Furniture"/>
    <x v="1"/>
    <x v="4"/>
    <s v="Eco Chairs 365"/>
    <s v="Same Day"/>
    <x v="1"/>
    <n v="8"/>
    <n v="3378.82"/>
    <n v="0.25"/>
    <n v="0.25"/>
    <n v="20272.920000000002"/>
    <n v="20272.919999999998"/>
    <n v="15873.38"/>
    <n v="4399.54"/>
    <s v="Pending"/>
    <s v="Returned"/>
    <x v="2"/>
    <s v="Valid"/>
    <n v="4399.5399999999991"/>
    <n v="0.21701560505344067"/>
    <x v="11"/>
    <x v="1"/>
    <s v="Clean"/>
  </r>
  <r>
    <s v="ORD-2024-10477"/>
    <s v="05/07/2024"/>
    <d v="2024-05-07T00:00:00"/>
    <s v="05/14/2024"/>
    <d v="2024-05-14T00:00:00"/>
    <s v="Valid"/>
    <n v="7"/>
    <s v="Valid"/>
    <s v="CUST-3004"/>
    <s v="Sneha Kapoor"/>
    <s v="Sneha Kapoor"/>
    <s v="Small Business"/>
    <x v="1"/>
    <s v="North"/>
    <x v="0"/>
    <s v="Rajasthan"/>
    <s v="Jaipur"/>
    <s v="Office Supplies"/>
    <x v="0"/>
    <x v="8"/>
    <s v="Classic Storage 545"/>
    <s v="First Class"/>
    <x v="2"/>
    <n v="3"/>
    <n v="383.58"/>
    <n v="0.1"/>
    <n v="0.1"/>
    <n v="1035.6659999999999"/>
    <n v="1035.67"/>
    <n v="595.41999999999996"/>
    <n v="440.25"/>
    <s v="Paid"/>
    <s v="Completed"/>
    <x v="0"/>
    <s v="Valid"/>
    <n v="440.25000000000011"/>
    <n v="0.42508878344949058"/>
    <x v="4"/>
    <x v="0"/>
    <s v="Clean"/>
  </r>
  <r>
    <s v="ORD-2025-10478"/>
    <s v="08/23/2025"/>
    <d v="2025-08-23T00:00:00"/>
    <s v="28-08-2025"/>
    <d v="2025-08-28T00:00:00"/>
    <s v="Valid"/>
    <n v="5"/>
    <s v="Valid"/>
    <s v="CUST-6920"/>
    <s v="Vikram Iyer"/>
    <s v="Vikram Iyer"/>
    <s v="Corporate"/>
    <x v="2"/>
    <s v="West"/>
    <x v="3"/>
    <s v="Gujarat"/>
    <s v="Ahmedabad"/>
    <s v="Furniture"/>
    <x v="1"/>
    <x v="4"/>
    <s v="Pro Chairs 186"/>
    <s v="Standard Class"/>
    <x v="3"/>
    <n v="6"/>
    <n v="2193.23"/>
    <n v="0.1"/>
    <n v="0.1"/>
    <n v="11843.442000000001"/>
    <n v="11843.44"/>
    <n v="9356.8799999999992"/>
    <n v="2486.56"/>
    <s v="Paid"/>
    <s v="Cancelled"/>
    <x v="1"/>
    <s v="Valid"/>
    <n v="2486.5600000000013"/>
    <n v="0.20995247834202263"/>
    <x v="1"/>
    <x v="1"/>
    <s v="Clean"/>
  </r>
  <r>
    <s v="ORD-2024-10479"/>
    <s v="06/09/2024"/>
    <d v="2024-06-09T00:00:00"/>
    <s v="2024-06-13"/>
    <d v="2024-06-13T00:00:00"/>
    <s v="Valid"/>
    <n v="4"/>
    <s v="Valid"/>
    <s v="CUST-4838"/>
    <s v="Mira Das"/>
    <s v="Mira Das"/>
    <s v="Home Office"/>
    <x v="3"/>
    <m/>
    <x v="4"/>
    <s v="Uttar Pradesh"/>
    <s v="Noida"/>
    <s v="Technology"/>
    <x v="2"/>
    <x v="12"/>
    <s v="Classic Machines 561"/>
    <s v="Same Day"/>
    <x v="1"/>
    <n v="7"/>
    <n v="4079.71"/>
    <n v="0.1"/>
    <n v="0.1"/>
    <n v="25702.173000000003"/>
    <n v="25702.17"/>
    <n v="14571.48"/>
    <n v="11130.69"/>
    <s v="Refunded"/>
    <s v="Returned"/>
    <x v="2"/>
    <s v="Valid"/>
    <n v="11130.689999999999"/>
    <n v="0.43306416153995997"/>
    <x v="2"/>
    <x v="0"/>
    <s v="Clean"/>
  </r>
  <r>
    <s v="ORD-2024-10480"/>
    <s v="23 Feb 2024"/>
    <d v="2024-02-23T00:00:00"/>
    <s v="2024-02-20"/>
    <d v="2024-02-20T00:00:00"/>
    <s v="Invalid Shipping Record"/>
    <n v="-3"/>
    <s v="Invalid Shipping Record"/>
    <s v="CUST-7520"/>
    <s v="Arjun Bose"/>
    <s v="Arjun Bose"/>
    <s v="Corporate"/>
    <x v="2"/>
    <s v="East"/>
    <x v="1"/>
    <s v="Odisha"/>
    <s v="Bhubaneswar"/>
    <s v="Furniture"/>
    <x v="1"/>
    <x v="4"/>
    <s v="Max Chairs 594"/>
    <s v="Second Class"/>
    <x v="0"/>
    <n v="1"/>
    <n v="2202.5500000000002"/>
    <m/>
    <n v="0"/>
    <n v="2202.5500000000002"/>
    <n v="1651.91"/>
    <n v="1034.57"/>
    <n v="617.34"/>
    <s v="Paid"/>
    <s v="Completed"/>
    <x v="0"/>
    <s v="Valid"/>
    <n v="617.34000000000015"/>
    <n v="0.28028421602233777"/>
    <x v="6"/>
    <x v="0"/>
    <s v="Invalid"/>
  </r>
  <r>
    <s v="ORD-2025-10481"/>
    <s v="2025-01-05"/>
    <d v="2025-01-05T00:00:00"/>
    <s v="09 Jan 2025"/>
    <d v="2025-01-09T00:00:00"/>
    <s v="Valid"/>
    <n v="4"/>
    <s v="Valid"/>
    <s v="CUST-9947"/>
    <s v="Neha Gupta"/>
    <s v="Neha Gupta"/>
    <s v="Small Business"/>
    <x v="1"/>
    <s v="South"/>
    <x v="2"/>
    <s v="Tamil Nadu"/>
    <s v="Chennai"/>
    <s v="Office Supplies"/>
    <x v="0"/>
    <x v="8"/>
    <s v="Eco Storage 923"/>
    <m/>
    <x v="4"/>
    <n v="5"/>
    <n v="905.16"/>
    <n v="0"/>
    <n v="0"/>
    <n v="4525.8"/>
    <n v="4525.8"/>
    <n v="2714.51"/>
    <n v="1811.29"/>
    <s v="Paid"/>
    <s v="Completed"/>
    <x v="0"/>
    <s v="Valid"/>
    <n v="1811.29"/>
    <n v="0.40021432674886204"/>
    <x v="10"/>
    <x v="1"/>
    <s v="Clean"/>
  </r>
  <r>
    <s v="ORD-2025-10482"/>
    <s v="2025-06-05"/>
    <d v="2025-06-05T00:00:00"/>
    <s v="06/13/2025"/>
    <d v="2025-06-13T00:00:00"/>
    <s v="Valid"/>
    <n v="8"/>
    <s v="Valid"/>
    <s v="CUST-4403"/>
    <s v="Isha Nair"/>
    <s v="Isha Nair"/>
    <s v="Consumer"/>
    <x v="0"/>
    <s v="North"/>
    <x v="0"/>
    <s v="Uttar Pradesh"/>
    <s v="Noida"/>
    <s v="Technology"/>
    <x v="2"/>
    <x v="12"/>
    <s v="Classic Machines 287"/>
    <s v="Same Day"/>
    <x v="1"/>
    <n v="4"/>
    <n v="2793.88"/>
    <s v="85%"/>
    <s v="85%"/>
    <n v="1676.3280000000002"/>
    <n v="10616.74"/>
    <n v="6353.59"/>
    <n v="4263.1499999999996"/>
    <s v="Paid"/>
    <s v="Completed"/>
    <x v="0"/>
    <s v="Invalid - Discount Above Range"/>
    <n v="4263.1499999999996"/>
    <n v="2.5431478803670875"/>
    <x v="2"/>
    <x v="1"/>
    <s v="Clean"/>
  </r>
  <r>
    <s v="ORD-2024-10483"/>
    <s v="07/22/2024"/>
    <d v="2024-07-22T00:00:00"/>
    <s v="07/22/2024"/>
    <d v="2024-07-22T00:00:00"/>
    <s v="Valid"/>
    <n v="0"/>
    <s v="Valid"/>
    <s v="CUST-3583"/>
    <s v="Priya Menon"/>
    <s v="Priya Menon"/>
    <s v="Consumer"/>
    <x v="0"/>
    <s v="South"/>
    <x v="2"/>
    <s v="Karnataka"/>
    <s v="Bengaluru"/>
    <s v="Technology"/>
    <x v="2"/>
    <x v="5"/>
    <s v="Basic Accessories 518"/>
    <s v="Second Class"/>
    <x v="0"/>
    <n v="3"/>
    <n v="1286.22"/>
    <n v="0.25"/>
    <n v="0.25"/>
    <n v="2893.9949999999999"/>
    <n v="2893.99"/>
    <n v="1856.03"/>
    <n v="1037.96"/>
    <s v="Paid"/>
    <s v="Completed"/>
    <x v="0"/>
    <s v="Valid"/>
    <n v="1037.9599999999998"/>
    <n v="0.35865991475451747"/>
    <x v="0"/>
    <x v="0"/>
    <s v="Clean"/>
  </r>
  <r>
    <s v="ORD-2024-10484"/>
    <s v="25 Dec 2024"/>
    <d v="2024-12-25T00:00:00"/>
    <s v="25-12-2024"/>
    <d v="2024-12-25T00:00:00"/>
    <s v="Valid"/>
    <n v="0"/>
    <s v="Valid"/>
    <s v="CUST-9432"/>
    <s v="Mira Das"/>
    <s v="Mira Das"/>
    <s v="Corporate"/>
    <x v="2"/>
    <s v="East"/>
    <x v="1"/>
    <s v="Bihar"/>
    <s v="Patna"/>
    <s v="Technology"/>
    <x v="2"/>
    <x v="6"/>
    <s v="Pro Copiers 984"/>
    <s v="Standard Class"/>
    <x v="3"/>
    <n v="1"/>
    <n v="829.66"/>
    <n v="0.15"/>
    <n v="0.15"/>
    <n v="705.2109999999999"/>
    <n v="705.21"/>
    <n v="438.32"/>
    <n v="266.89"/>
    <s v="Paid"/>
    <s v="Completed"/>
    <x v="0"/>
    <s v="Valid"/>
    <n v="266.89000000000004"/>
    <n v="0.37845410806127538"/>
    <x v="8"/>
    <x v="0"/>
    <s v="Clean"/>
  </r>
  <r>
    <s v="ORD-2024-10485"/>
    <s v="2024-12-28"/>
    <d v="2024-12-28T00:00:00"/>
    <s v="12/31/2024"/>
    <d v="2024-12-31T00:00:00"/>
    <s v="Valid"/>
    <n v="3"/>
    <s v="Valid"/>
    <s v="CUST-1801"/>
    <s v="Mira Das"/>
    <s v="Mira Das"/>
    <s v="Small Business"/>
    <x v="1"/>
    <s v="South"/>
    <x v="2"/>
    <s v="Andhra Pradesh"/>
    <s v="Vijayawada"/>
    <s v="Furniture"/>
    <x v="1"/>
    <x v="3"/>
    <s v="Max Furnishings 297"/>
    <s v="First Class"/>
    <x v="2"/>
    <n v="6"/>
    <n v="3641.22"/>
    <n v="0.25"/>
    <n v="0.25"/>
    <n v="16385.489999999998"/>
    <n v="16385.490000000002"/>
    <n v="13679.24"/>
    <n v="2706.25"/>
    <s v="Paid"/>
    <s v="Completed"/>
    <x v="0"/>
    <s v="Valid"/>
    <n v="2706.2500000000018"/>
    <n v="0.16516137143289594"/>
    <x v="8"/>
    <x v="0"/>
    <s v="Clean"/>
  </r>
  <r>
    <s v="ORD-2025-10486"/>
    <s v="2025-01-22"/>
    <d v="2025-01-22T00:00:00"/>
    <s v="23 Jan 2025"/>
    <d v="2025-01-23T00:00:00"/>
    <s v="Valid"/>
    <n v="1"/>
    <s v="Valid"/>
    <s v="CUST-1594"/>
    <s v="Rahul Verma"/>
    <s v="Rahul Verma"/>
    <s v="Corporate"/>
    <x v="2"/>
    <s v="West"/>
    <x v="3"/>
    <s v="Goa"/>
    <s v="Panaji"/>
    <s v="Furniture"/>
    <x v="1"/>
    <x v="10"/>
    <s v="Elite Bookcases 802"/>
    <s v="Standard Class"/>
    <x v="3"/>
    <n v="4"/>
    <n v="2555.19"/>
    <n v="0.25"/>
    <n v="0.25"/>
    <n v="7665.57"/>
    <n v="7665.57"/>
    <n v="5595.6"/>
    <n v="2069.9699999999998"/>
    <s v="Paid"/>
    <s v="Completed"/>
    <x v="0"/>
    <s v="Valid"/>
    <n v="2069.9699999999993"/>
    <n v="0.27003471366121495"/>
    <x v="10"/>
    <x v="1"/>
    <s v="Clean"/>
  </r>
  <r>
    <s v="ORD-2025-10487"/>
    <s v="22-06-2025"/>
    <d v="2025-06-22T00:00:00"/>
    <s v="06/26/2025"/>
    <d v="2025-06-26T00:00:00"/>
    <s v="Valid"/>
    <n v="4"/>
    <s v="Valid"/>
    <s v="CUST-8132"/>
    <s v="Rahul Verma"/>
    <s v="Rahul Verma"/>
    <s v="Corporate"/>
    <x v="2"/>
    <s v="West"/>
    <x v="3"/>
    <s v="Goa"/>
    <s v="Panaji"/>
    <s v="Furniture"/>
    <x v="1"/>
    <x v="1"/>
    <s v="Pro Tables 257"/>
    <s v="Standard Class"/>
    <x v="3"/>
    <n v="3"/>
    <n v="1946.18"/>
    <n v="0.2"/>
    <n v="0.2"/>
    <n v="4670.8320000000003"/>
    <n v="4670.83"/>
    <n v="3166.49"/>
    <n v="1504.34"/>
    <s v="Paid"/>
    <s v="Completed"/>
    <x v="0"/>
    <s v="Valid"/>
    <n v="1504.3400000000001"/>
    <n v="0.32207109996677252"/>
    <x v="2"/>
    <x v="1"/>
    <s v="Clean"/>
  </r>
  <r>
    <s v="ORD-2025-10488"/>
    <s v="10 Jun 2025"/>
    <d v="2025-06-10T00:00:00"/>
    <s v="06/17/2025"/>
    <d v="2025-06-17T00:00:00"/>
    <s v="Valid"/>
    <n v="7"/>
    <s v="Valid"/>
    <s v="CUST-7685"/>
    <s v="Rahul Verma"/>
    <s v="Rahul Verma"/>
    <s v="Corporate"/>
    <x v="2"/>
    <s v="South"/>
    <x v="2"/>
    <s v="Telangana"/>
    <s v="Hyderabad"/>
    <s v="Furniture"/>
    <x v="1"/>
    <x v="3"/>
    <s v="Prime Furnishings 299"/>
    <s v="Standard Class"/>
    <x v="3"/>
    <n v="5"/>
    <n v="1231.0999999999999"/>
    <n v="0"/>
    <n v="0"/>
    <n v="6155.5"/>
    <n v="6155.5"/>
    <n v="4282.09"/>
    <n v="1873.41"/>
    <s v="Refunded"/>
    <s v="Returned"/>
    <x v="2"/>
    <s v="Valid"/>
    <n v="1873.4099999999999"/>
    <n v="0.3043473316546178"/>
    <x v="2"/>
    <x v="1"/>
    <s v="Clean"/>
  </r>
  <r>
    <s v="ORD-2024-10489"/>
    <s v="14 Oct 2024"/>
    <d v="2024-10-14T00:00:00"/>
    <s v="2024-10-20"/>
    <d v="2024-10-20T00:00:00"/>
    <s v="Valid"/>
    <n v="6"/>
    <s v="Valid"/>
    <s v="CUST-2183"/>
    <s v="Aditi Sen"/>
    <s v="Aditi Sen"/>
    <s v="Small Business"/>
    <x v="1"/>
    <s v="North"/>
    <x v="0"/>
    <s v="Rajasthan"/>
    <s v="Jaipur"/>
    <s v="Furniture"/>
    <x v="1"/>
    <x v="1"/>
    <s v="Eco Tables 487"/>
    <s v="Same Day"/>
    <x v="1"/>
    <n v="7"/>
    <n v="1547.6"/>
    <n v="0.2"/>
    <n v="0.2"/>
    <n v="8666.56"/>
    <n v="8666.56"/>
    <n v="5967.44"/>
    <n v="2699.12"/>
    <s v="Paid"/>
    <s v="Completed"/>
    <x v="0"/>
    <s v="Valid"/>
    <n v="2699.12"/>
    <n v="0.31144075619392242"/>
    <x v="9"/>
    <x v="0"/>
    <s v="Clean"/>
  </r>
  <r>
    <s v="ORD-2024-10490"/>
    <s v="2024-02-07"/>
    <d v="2024-02-07T00:00:00"/>
    <s v="2024-02-12"/>
    <d v="2024-02-12T00:00:00"/>
    <s v="Valid"/>
    <n v="5"/>
    <s v="Valid"/>
    <s v="CUST-1636"/>
    <s v="Arjun Bose"/>
    <s v="Arjun Bose"/>
    <s v="Home Office"/>
    <x v="3"/>
    <s v="East"/>
    <x v="1"/>
    <s v="West Bengal"/>
    <s v="Kolkata"/>
    <s v="Technology"/>
    <x v="2"/>
    <x v="5"/>
    <s v="Prime Accessories 960"/>
    <s v="Second Class"/>
    <x v="0"/>
    <n v="1"/>
    <n v="452.19"/>
    <n v="0.2"/>
    <n v="0.2"/>
    <n v="361.75200000000001"/>
    <n v="361.75"/>
    <n v="262.52999999999997"/>
    <n v="99.22"/>
    <s v="Paid"/>
    <s v="Completed"/>
    <x v="0"/>
    <s v="Valid"/>
    <n v="99.220000000000027"/>
    <n v="0.27427629978548845"/>
    <x v="6"/>
    <x v="0"/>
    <s v="Clean"/>
  </r>
  <r>
    <s v="ORD-2024-10491"/>
    <s v="2024-09-16"/>
    <d v="2024-09-16T00:00:00"/>
    <s v="09/19/2024"/>
    <d v="2024-09-19T00:00:00"/>
    <s v="Valid"/>
    <n v="3"/>
    <s v="Valid"/>
    <s v="CUST-1350"/>
    <s v="Aditi Sen"/>
    <s v="Aditi Sen"/>
    <s v="Consumer"/>
    <x v="0"/>
    <s v="West"/>
    <x v="3"/>
    <s v="Rajasthan"/>
    <s v="Udaipur"/>
    <s v="Office Supplies"/>
    <x v="0"/>
    <x v="9"/>
    <s v="Smart Binders 191"/>
    <s v="First Class"/>
    <x v="2"/>
    <n v="7"/>
    <n v="406.42"/>
    <n v="0.15"/>
    <n v="0.15"/>
    <n v="2418.1990000000001"/>
    <n v="2418.1999999999998"/>
    <n v="1613.82"/>
    <n v="804.38"/>
    <s v="Paid"/>
    <s v="Completed"/>
    <x v="0"/>
    <s v="Valid"/>
    <n v="804.37999999999988"/>
    <n v="0.33263598239847086"/>
    <x v="7"/>
    <x v="0"/>
    <s v="Clean"/>
  </r>
  <r>
    <s v="ORD-2025-10492"/>
    <s v="2025-04-29"/>
    <d v="2025-04-29T00:00:00"/>
    <s v="30-04-2025"/>
    <d v="2025-04-30T00:00:00"/>
    <s v="Valid"/>
    <n v="1"/>
    <s v="Valid"/>
    <s v="CUST-4101"/>
    <s v="Mira Das"/>
    <s v="Mira Das"/>
    <s v="Corporate"/>
    <x v="2"/>
    <s v="South"/>
    <x v="2"/>
    <s v="Kerala"/>
    <s v="Kochi"/>
    <s v="Technology"/>
    <x v="2"/>
    <x v="5"/>
    <s v="Prime Accessories 118"/>
    <s v="Standard Class"/>
    <x v="3"/>
    <n v="4"/>
    <n v="606.58000000000004"/>
    <n v="0.2"/>
    <n v="0.2"/>
    <n v="1941.0560000000003"/>
    <n v="1941.06"/>
    <n v="1207.42"/>
    <n v="733.64"/>
    <s v="Paid"/>
    <s v="Completed"/>
    <x v="0"/>
    <s v="Valid"/>
    <n v="733.63999999999987"/>
    <n v="0.37795921395364163"/>
    <x v="5"/>
    <x v="1"/>
    <s v="Clean"/>
  </r>
  <r>
    <s v="ORD-2025-10493"/>
    <s v="28-06-2025"/>
    <d v="2025-06-28T00:00:00"/>
    <s v="07/02/2025"/>
    <d v="2025-07-02T00:00:00"/>
    <s v="Valid"/>
    <n v="4"/>
    <s v="Valid"/>
    <s v="CUST-4679"/>
    <s v="Ananya Rao"/>
    <s v="Ananya Rao"/>
    <s v="Corporate"/>
    <x v="2"/>
    <s v="South"/>
    <x v="2"/>
    <s v="Andhra Pradesh"/>
    <s v="Vijayawada"/>
    <s v="Office Supplies"/>
    <x v="0"/>
    <x v="8"/>
    <s v="Elite Storage 331"/>
    <s v="Second Class"/>
    <x v="0"/>
    <n v="2"/>
    <n v="2725.44"/>
    <n v="0.25"/>
    <n v="0.25"/>
    <n v="4088.16"/>
    <n v="4088.16"/>
    <n v="3205.68"/>
    <n v="882.48"/>
    <s v="Paid"/>
    <s v="Completed"/>
    <x v="0"/>
    <s v="Valid"/>
    <n v="882.48"/>
    <n v="0.21586239286133616"/>
    <x v="2"/>
    <x v="1"/>
    <s v="Clean"/>
  </r>
  <r>
    <s v="ORD-2025-10494"/>
    <s v="13 Feb 2025"/>
    <d v="2025-02-13T00:00:00"/>
    <s v="2025-02-13"/>
    <d v="2025-02-13T00:00:00"/>
    <s v="Valid"/>
    <n v="0"/>
    <s v="Valid"/>
    <s v="CUST-3765"/>
    <s v="Kabir Singh"/>
    <s v="Kabir Singh"/>
    <s v="Corporate"/>
    <x v="2"/>
    <s v="East"/>
    <x v="1"/>
    <s v="Odisha"/>
    <s v="Bhubaneswar"/>
    <s v="Office Supplies"/>
    <x v="0"/>
    <x v="0"/>
    <s v="Prime Paper 996"/>
    <s v="Second Class"/>
    <x v="0"/>
    <n v="7"/>
    <n v="2296.6999999999998"/>
    <n v="0.05"/>
    <n v="0.05"/>
    <n v="15273.054999999997"/>
    <n v="15273.05"/>
    <n v="11088.76"/>
    <n v="4184.29"/>
    <s v="Paid"/>
    <s v="Completed"/>
    <x v="0"/>
    <s v="Valid"/>
    <n v="4184.2899999999991"/>
    <n v="0.27396549020480843"/>
    <x v="6"/>
    <x v="1"/>
    <s v="Clean"/>
  </r>
  <r>
    <s v="ORD-2024-10495"/>
    <s v="2024-11-14"/>
    <d v="2024-11-14T00:00:00"/>
    <s v="2024-11-22"/>
    <d v="2024-11-22T00:00:00"/>
    <s v="Valid"/>
    <n v="8"/>
    <s v="Valid"/>
    <s v="CUST-9056"/>
    <s v="Isha Nair"/>
    <s v="Isha Nair"/>
    <s v="Consumer"/>
    <x v="0"/>
    <s v="West"/>
    <x v="3"/>
    <s v="Madhya Pradesh"/>
    <s v="Indore"/>
    <s v="Technology"/>
    <x v="2"/>
    <x v="11"/>
    <s v="Smart Phones 125"/>
    <s v="Standard Class"/>
    <x v="3"/>
    <n v="3"/>
    <n v="671.68"/>
    <n v="-0.13"/>
    <n v="-0.13"/>
    <n v="2276.9951999999998"/>
    <n v="1712.78"/>
    <n v="1569.38"/>
    <n v="360.66"/>
    <s v="Failed"/>
    <s v="Cancelled"/>
    <x v="1"/>
    <s v="Invalid - Negative Discount"/>
    <n v="143.39999999999986"/>
    <n v="6.2977734867425222E-2"/>
    <x v="3"/>
    <x v="0"/>
    <s v="Clean"/>
  </r>
  <r>
    <s v="ORD-2024-10496"/>
    <s v="05/09/2024"/>
    <d v="2024-05-09T00:00:00"/>
    <s v="05/15/2024"/>
    <d v="2024-05-15T00:00:00"/>
    <s v="Valid"/>
    <n v="6"/>
    <s v="Valid"/>
    <s v="CUST-9801"/>
    <s v="Mira Das"/>
    <s v="Mira Das"/>
    <s v="Small Business"/>
    <x v="1"/>
    <s v="East"/>
    <x v="1"/>
    <s v="Assam"/>
    <s v="Guwahati"/>
    <s v="Technology"/>
    <x v="2"/>
    <x v="11"/>
    <s v="Eco Phones 220"/>
    <s v="Second Class"/>
    <x v="0"/>
    <n v="4"/>
    <n v="995.98"/>
    <n v="0.05"/>
    <n v="0.05"/>
    <n v="3784.7239999999997"/>
    <n v="3784.72"/>
    <n v="2419.2399999999998"/>
    <n v="1365.48"/>
    <s v="Refunded"/>
    <s v="Returned"/>
    <x v="2"/>
    <s v="Valid"/>
    <n v="1365.48"/>
    <n v="0.36078720667610109"/>
    <x v="4"/>
    <x v="0"/>
    <s v="Clean"/>
  </r>
  <r>
    <s v="ORD-2025-10497"/>
    <s v="2025-07-04"/>
    <d v="2025-07-04T00:00:00"/>
    <s v="2025-07-06"/>
    <d v="2025-07-06T00:00:00"/>
    <s v="Valid"/>
    <n v="2"/>
    <s v="Valid"/>
    <s v="CUST-2038"/>
    <s v="Kabir Singh"/>
    <s v="Kabir Singh"/>
    <s v="Small Business"/>
    <x v="1"/>
    <s v="East"/>
    <x v="1"/>
    <s v="Jharkhand"/>
    <s v="Ranchi"/>
    <s v="Furniture"/>
    <x v="1"/>
    <x v="4"/>
    <s v="Eco Chairs 795"/>
    <s v="Second Class"/>
    <x v="0"/>
    <n v="2"/>
    <n v="3686.42"/>
    <n v="0.1"/>
    <n v="0.1"/>
    <n v="6635.5560000000005"/>
    <n v="6635.56"/>
    <n v="3652.91"/>
    <n v="2982.65"/>
    <s v="Paid"/>
    <s v="Completed"/>
    <x v="0"/>
    <s v="Valid"/>
    <n v="2982.6500000000005"/>
    <n v="0.44949511389851887"/>
    <x v="0"/>
    <x v="1"/>
    <s v="Clean"/>
  </r>
  <r>
    <s v="ORD-2024-10498"/>
    <s v="29 Aug 2024"/>
    <d v="2024-08-29T00:00:00"/>
    <s v="29 Aug 2024"/>
    <d v="2024-08-29T00:00:00"/>
    <s v="Valid"/>
    <n v="0"/>
    <s v="Valid"/>
    <s v="CUST-1567"/>
    <s v="Sneha Kapoor"/>
    <s v="Sneha Kapoor"/>
    <s v="Small Business"/>
    <x v="1"/>
    <s v="North"/>
    <x v="0"/>
    <s v="Uttar Pradesh"/>
    <s v="Noida"/>
    <s v="Technology"/>
    <x v="2"/>
    <x v="5"/>
    <s v="Smart Accessories 896"/>
    <s v="Second Class"/>
    <x v="0"/>
    <n v="1"/>
    <n v="3106.88"/>
    <n v="0.2"/>
    <n v="0.2"/>
    <n v="2485.5040000000004"/>
    <n v="2485.5"/>
    <n v="2028.43"/>
    <n v="457.07"/>
    <s v="Paid"/>
    <s v="Cancelled"/>
    <x v="1"/>
    <s v="Valid"/>
    <n v="457.06999999999994"/>
    <n v="0.18389429266659796"/>
    <x v="1"/>
    <x v="0"/>
    <s v="Clean"/>
  </r>
  <r>
    <s v="ORD-2025-10499"/>
    <s v="2025-09-07"/>
    <d v="2025-09-07T00:00:00"/>
    <s v="10 Sep 2025"/>
    <d v="2025-09-10T00:00:00"/>
    <s v="Valid"/>
    <n v="3"/>
    <s v="Valid"/>
    <s v="CUST-1190"/>
    <s v="Karan Malhotra"/>
    <s v="Karan Malhotra"/>
    <s v="Consumer"/>
    <x v="0"/>
    <s v="North"/>
    <x v="0"/>
    <s v="Punjab"/>
    <s v="Ludhiana"/>
    <s v="Furniture"/>
    <x v="1"/>
    <x v="4"/>
    <s v="Basic Chairs 255"/>
    <s v="Same Day"/>
    <x v="1"/>
    <n v="2"/>
    <n v="447.55"/>
    <n v="0.05"/>
    <n v="0.05"/>
    <n v="850.34500000000003"/>
    <n v="850.35"/>
    <n v="600.98"/>
    <n v="249.37"/>
    <s v="Refunded"/>
    <s v="Cancelled"/>
    <x v="1"/>
    <s v="Valid"/>
    <n v="249.37"/>
    <n v="0.29325744256742853"/>
    <x v="7"/>
    <x v="1"/>
    <s v="Clean"/>
  </r>
  <r>
    <s v="ORD-2024-10500"/>
    <s v="2024-12-22"/>
    <d v="2024-12-22T00:00:00"/>
    <s v="26-12-2024"/>
    <d v="2024-12-26T00:00:00"/>
    <s v="Valid"/>
    <n v="4"/>
    <s v="Valid"/>
    <s v="CUST-5604"/>
    <s v="Rahul Verma"/>
    <s v="Rahul Verma"/>
    <s v="Home Office"/>
    <x v="3"/>
    <s v="North"/>
    <x v="0"/>
    <s v="Uttar Pradesh"/>
    <s v="Noida"/>
    <s v="Furniture"/>
    <x v="1"/>
    <x v="4"/>
    <s v="Eco Chairs 210"/>
    <s v="Standard Class"/>
    <x v="3"/>
    <n v="9"/>
    <n v="1110.8699999999999"/>
    <m/>
    <n v="0"/>
    <n v="9997.8299999999981"/>
    <n v="7498.37"/>
    <n v="6059.07"/>
    <n v="1439.3"/>
    <s v="Paid"/>
    <s v="Cancelled"/>
    <x v="1"/>
    <s v="Valid"/>
    <n v="1439.3000000000002"/>
    <n v="0.14396123958899085"/>
    <x v="8"/>
    <x v="0"/>
    <s v="Clean"/>
  </r>
  <r>
    <s v="ORD-2024-10501"/>
    <s v="05/17/2024"/>
    <d v="2024-05-17T00:00:00"/>
    <s v="05/22/2024"/>
    <d v="2024-05-22T00:00:00"/>
    <s v="Valid"/>
    <n v="5"/>
    <s v="Valid"/>
    <s v="CUST-7661"/>
    <s v="Sneha Kapoor"/>
    <s v="Sneha Kapoor"/>
    <s v="Consumer"/>
    <x v="0"/>
    <s v="South"/>
    <x v="2"/>
    <s v="Kerala"/>
    <s v="Kochi"/>
    <s v="Technology"/>
    <x v="2"/>
    <x v="11"/>
    <s v="Prime Phones 533"/>
    <s v="Same Day"/>
    <x v="1"/>
    <n v="9"/>
    <n v="3795.99"/>
    <s v="85%"/>
    <s v="85%"/>
    <n v="5124.5865000000003"/>
    <n v="34163.910000000003"/>
    <n v="28577.15"/>
    <n v="5586.76"/>
    <s v="Paid"/>
    <s v="Completed"/>
    <x v="0"/>
    <s v="Invalid - Discount Above Range"/>
    <n v="5586.760000000002"/>
    <n v="1.0901874717111326"/>
    <x v="4"/>
    <x v="0"/>
    <s v="Clean"/>
  </r>
  <r>
    <s v="ORD-2024-10502"/>
    <s v="11 Aug 2024"/>
    <d v="2024-08-11T00:00:00"/>
    <s v="08/17/2024"/>
    <d v="2024-08-17T00:00:00"/>
    <s v="Valid"/>
    <n v="6"/>
    <s v="Valid"/>
    <s v="CUST-3710"/>
    <s v="Neha Gupta"/>
    <s v="Neha Gupta"/>
    <s v="Consumer"/>
    <x v="0"/>
    <s v="East"/>
    <x v="1"/>
    <s v="Jharkhand"/>
    <s v="Ranchi"/>
    <s v="Office Supplies"/>
    <x v="0"/>
    <x v="2"/>
    <s v="Elite Art 325"/>
    <s v="Second Class"/>
    <x v="0"/>
    <n v="6"/>
    <n v="3497.54"/>
    <n v="0.15"/>
    <n v="0.15"/>
    <n v="17837.453999999998"/>
    <n v="17837.45"/>
    <n v="13627.02"/>
    <n v="4210.43"/>
    <s v="Paid"/>
    <s v="Completed"/>
    <x v="0"/>
    <s v="Valid"/>
    <n v="4210.43"/>
    <n v="0.23604433682071449"/>
    <x v="1"/>
    <x v="0"/>
    <s v="Clean"/>
  </r>
  <r>
    <s v="ORD-2024-10503"/>
    <s v="04/01/2024"/>
    <d v="2024-04-01T00:00:00"/>
    <s v="2024-04-09"/>
    <d v="2024-04-09T00:00:00"/>
    <s v="Valid"/>
    <n v="8"/>
    <s v="Valid"/>
    <s v="CUST-1534"/>
    <s v="Priya Menon"/>
    <s v="Priya Menon"/>
    <s v="Small Business"/>
    <x v="1"/>
    <s v="East"/>
    <x v="1"/>
    <s v="Odisha"/>
    <s v="Bhubaneswar"/>
    <s v="Technology"/>
    <x v="2"/>
    <x v="6"/>
    <s v="Prime Copiers 557"/>
    <s v="Second Class"/>
    <x v="0"/>
    <n v="6"/>
    <n v="826.93"/>
    <n v="0.1"/>
    <n v="0.1"/>
    <n v="4465.4220000000005"/>
    <n v="4465.42"/>
    <n v="3377.1"/>
    <n v="1088.32"/>
    <s v="Paid"/>
    <s v="Completed"/>
    <x v="0"/>
    <s v="Valid"/>
    <n v="1088.3200000000002"/>
    <n v="0.24372164601688262"/>
    <x v="5"/>
    <x v="0"/>
    <s v="Clean"/>
  </r>
  <r>
    <s v="ORD-2024-10504"/>
    <s v="2024-09-28"/>
    <d v="2024-09-28T00:00:00"/>
    <s v="2024-10-05"/>
    <d v="2024-10-05T00:00:00"/>
    <s v="Valid"/>
    <n v="7"/>
    <s v="Valid"/>
    <s v="CUST-7422"/>
    <s v="Aarav Sharma"/>
    <s v="Aarav Sharma"/>
    <s v="Consumer"/>
    <x v="0"/>
    <s v="South"/>
    <x v="2"/>
    <s v="Tamil Nadu"/>
    <s v="Chennai"/>
    <s v="Technology"/>
    <x v="2"/>
    <x v="11"/>
    <s v="Smart Phones 674"/>
    <s v="Standard Class"/>
    <x v="3"/>
    <n v="7"/>
    <n v="1681.6"/>
    <n v="0.1"/>
    <n v="0.1"/>
    <n v="10594.08"/>
    <n v="10594.08"/>
    <n v="7160.31"/>
    <n v="3433.77"/>
    <s v="Paid"/>
    <s v="Completed"/>
    <x v="0"/>
    <s v="Valid"/>
    <n v="3433.7699999999995"/>
    <n v="0.32412158488514337"/>
    <x v="7"/>
    <x v="0"/>
    <s v="Clean"/>
  </r>
  <r>
    <s v="ORD-2025-10505"/>
    <s v="2025-02-12"/>
    <d v="2025-02-12T00:00:00"/>
    <s v="2025-02-17"/>
    <d v="2025-02-17T00:00:00"/>
    <s v="Valid"/>
    <n v="5"/>
    <s v="Valid"/>
    <s v="CUST-9693"/>
    <s v="Arjun Bose"/>
    <s v="Arjun Bose"/>
    <s v="Corporate"/>
    <x v="2"/>
    <s v="West"/>
    <x v="3"/>
    <s v="Gujarat"/>
    <s v="Ahmedabad"/>
    <s v="Office Supplies"/>
    <x v="0"/>
    <x v="2"/>
    <s v="Elite Art 553"/>
    <s v="Standard Class"/>
    <x v="3"/>
    <n v="4"/>
    <n v="4328.12"/>
    <n v="0"/>
    <n v="0"/>
    <n v="17312.48"/>
    <n v="17312.48"/>
    <n v="14424.22"/>
    <n v="2888.26"/>
    <s v="Paid"/>
    <s v="Completed"/>
    <x v="0"/>
    <s v="Valid"/>
    <n v="2888.26"/>
    <n v="0.16683109525613893"/>
    <x v="6"/>
    <x v="1"/>
    <s v="Clean"/>
  </r>
  <r>
    <s v="ORD-2024-10506"/>
    <s v="2024-11-09"/>
    <d v="2024-11-09T00:00:00"/>
    <s v="14 Nov 2024"/>
    <d v="2024-11-14T00:00:00"/>
    <s v="Valid"/>
    <n v="5"/>
    <s v="Valid"/>
    <s v="CUST-5458"/>
    <s v="Neha Gupta"/>
    <s v="Neha Gupta"/>
    <s v="Corporate"/>
    <x v="2"/>
    <s v="West"/>
    <x v="3"/>
    <s v="Madhya Pradesh"/>
    <s v="Indore"/>
    <s v="Office Supplies"/>
    <x v="0"/>
    <x v="2"/>
    <s v="Classic Art 339"/>
    <s v="First Class"/>
    <x v="2"/>
    <n v="9"/>
    <n v="2438.29"/>
    <n v="0.2"/>
    <n v="0.2"/>
    <n v="17555.688000000002"/>
    <n v="17555.689999999999"/>
    <n v="13293.2"/>
    <n v="4262.49"/>
    <s v="Paid"/>
    <s v="Cancelled"/>
    <x v="1"/>
    <s v="Valid"/>
    <n v="4262.489999999998"/>
    <n v="0.24279823154751881"/>
    <x v="3"/>
    <x v="0"/>
    <s v="Clean"/>
  </r>
  <r>
    <s v="ORD-2024-10507"/>
    <s v="15-12-2024"/>
    <d v="2024-12-15T00:00:00"/>
    <s v="2024-12-15"/>
    <d v="2024-12-15T00:00:00"/>
    <s v="Valid"/>
    <n v="0"/>
    <s v="Valid"/>
    <s v="CUST-3011"/>
    <s v="Aarav Sharma"/>
    <s v="Aarav Sharma"/>
    <s v="Small Business"/>
    <x v="1"/>
    <s v="North"/>
    <x v="0"/>
    <s v="Punjab"/>
    <s v="Ludhiana"/>
    <s v="Furniture"/>
    <x v="1"/>
    <x v="3"/>
    <s v="Smart Furnishings 352"/>
    <s v="First Class"/>
    <x v="2"/>
    <n v="2"/>
    <n v="669.8"/>
    <n v="0.1"/>
    <n v="0.1"/>
    <n v="1205.6399999999999"/>
    <n v="1205.6400000000001"/>
    <n v="842.07"/>
    <n v="363.57"/>
    <s v="Refunded"/>
    <s v="Returned"/>
    <x v="2"/>
    <s v="Valid"/>
    <n v="363.57000000000005"/>
    <n v="0.30155767890912716"/>
    <x v="8"/>
    <x v="0"/>
    <s v="Clean"/>
  </r>
  <r>
    <s v="ORD-2025-10508"/>
    <s v="2025-04-15"/>
    <d v="2025-04-15T00:00:00"/>
    <s v="2025-04-22"/>
    <d v="2025-04-22T00:00:00"/>
    <s v="Valid"/>
    <n v="7"/>
    <s v="Valid"/>
    <s v="CUST-1826"/>
    <s v="Isha Nair"/>
    <s v="Isha Nair"/>
    <s v="Small Business"/>
    <x v="1"/>
    <s v="North"/>
    <x v="0"/>
    <s v="Haryana"/>
    <s v="Gurugram"/>
    <s v="Office Supplies"/>
    <x v="0"/>
    <x v="9"/>
    <s v="Classic Binders 602"/>
    <s v="Same Day"/>
    <x v="1"/>
    <n v="4"/>
    <n v="2990.42"/>
    <n v="0.25"/>
    <n v="0.25"/>
    <n v="8971.26"/>
    <n v="8971.26"/>
    <n v="6814.35"/>
    <n v="2156.91"/>
    <s v="Paid"/>
    <s v="Completed"/>
    <x v="0"/>
    <s v="Valid"/>
    <n v="2156.91"/>
    <n v="0.24042442198754688"/>
    <x v="5"/>
    <x v="1"/>
    <s v="Clean"/>
  </r>
  <r>
    <s v="ORD-2024-10509"/>
    <s v="31 Mar 2024"/>
    <d v="2024-03-31T00:00:00"/>
    <s v="07-04-2024"/>
    <d v="2024-04-07T00:00:00"/>
    <s v="Valid"/>
    <n v="7"/>
    <s v="Valid"/>
    <s v="CUST-3333"/>
    <s v="Isha Nair"/>
    <s v="Isha Nair"/>
    <s v="Small Business"/>
    <x v="1"/>
    <s v="North"/>
    <x v="0"/>
    <s v="Haryana"/>
    <s v="Gurugram"/>
    <s v="Technology"/>
    <x v="2"/>
    <x v="12"/>
    <s v="Smart Machines 853"/>
    <s v="Second Class"/>
    <x v="0"/>
    <n v="4"/>
    <n v="1831"/>
    <n v="0"/>
    <n v="0"/>
    <n v="7324"/>
    <n v="7324"/>
    <n v="4179.63"/>
    <n v="3144.37"/>
    <s v="Paid"/>
    <s v="Completed"/>
    <x v="0"/>
    <s v="Valid"/>
    <n v="3144.37"/>
    <n v="0.42932413981430911"/>
    <x v="11"/>
    <x v="0"/>
    <s v="Clean"/>
  </r>
  <r>
    <s v="ORD-2025-10510"/>
    <s v="2025-05-12"/>
    <d v="2025-05-12T00:00:00"/>
    <s v="05/14/2025"/>
    <d v="2025-05-14T00:00:00"/>
    <s v="Valid"/>
    <n v="2"/>
    <s v="Valid"/>
    <s v="CUST-7901"/>
    <s v="Neha Gupta"/>
    <s v="Neha Gupta"/>
    <s v="Consumer"/>
    <x v="0"/>
    <s v="West"/>
    <x v="3"/>
    <s v="Gujarat"/>
    <s v="Ahmedabad"/>
    <s v="Technology"/>
    <x v="2"/>
    <x v="12"/>
    <s v="Classic Machines 599"/>
    <s v="Same Day"/>
    <x v="1"/>
    <n v="8"/>
    <n v="3631.44"/>
    <n v="0.2"/>
    <n v="0.2"/>
    <n v="23241.216"/>
    <n v="23241.22"/>
    <n v="17220.900000000001"/>
    <n v="6020.32"/>
    <s v="Paid"/>
    <s v="Completed"/>
    <x v="0"/>
    <s v="Valid"/>
    <n v="6020.32"/>
    <n v="0.2590363602317538"/>
    <x v="4"/>
    <x v="1"/>
    <s v="Clean"/>
  </r>
  <r>
    <s v="ORD-2024-10511"/>
    <s v="10/18/2024"/>
    <d v="2024-10-18T00:00:00"/>
    <s v="21-10-2024"/>
    <d v="2024-10-21T00:00:00"/>
    <s v="Valid"/>
    <n v="3"/>
    <s v="Valid"/>
    <s v="CUST-9759"/>
    <s v="Aarav  Sharma"/>
    <s v="Aarav Sharma"/>
    <s v="Consumer"/>
    <x v="0"/>
    <s v="South"/>
    <x v="2"/>
    <s v="Karnataka"/>
    <s v="Bengaluru"/>
    <s v="Office Supplies"/>
    <x v="0"/>
    <x v="8"/>
    <s v="Pro Storage 373"/>
    <s v="Second Class"/>
    <x v="0"/>
    <n v="2"/>
    <n v="4238.51"/>
    <n v="0"/>
    <n v="0"/>
    <n v="8477.02"/>
    <n v="8477.02"/>
    <n v="6884.96"/>
    <n v="1592.06"/>
    <s v="Paid"/>
    <s v="Completed"/>
    <x v="0"/>
    <s v="Valid"/>
    <n v="1592.0600000000004"/>
    <n v="0.18780892341884298"/>
    <x v="9"/>
    <x v="0"/>
    <s v="Clean"/>
  </r>
  <r>
    <s v="ORD-2024-10512"/>
    <s v="10/23/2024"/>
    <d v="2024-10-23T00:00:00"/>
    <s v="26 Oct 2024"/>
    <d v="2024-10-26T00:00:00"/>
    <s v="Valid"/>
    <n v="3"/>
    <s v="Valid"/>
    <s v="CUST-7232"/>
    <s v="Sneha Kapoor"/>
    <s v="Sneha Kapoor"/>
    <s v="Consumer"/>
    <x v="0"/>
    <s v="West"/>
    <x v="3"/>
    <s v="Madhya Pradesh"/>
    <s v="Indore"/>
    <s v="Furniture"/>
    <x v="1"/>
    <x v="10"/>
    <s v="Smart Bookcases 920"/>
    <s v="Standard Class"/>
    <x v="3"/>
    <n v="9"/>
    <n v="544.27"/>
    <n v="0.25"/>
    <n v="0.25"/>
    <n v="3673.8225000000002"/>
    <n v="3673.82"/>
    <n v="2088.15"/>
    <n v="1585.67"/>
    <s v="Paid"/>
    <s v="Completed"/>
    <x v="0"/>
    <s v="Valid"/>
    <n v="1585.67"/>
    <n v="0.43161312229973003"/>
    <x v="9"/>
    <x v="0"/>
    <s v="Clean"/>
  </r>
  <r>
    <s v="ORD-2025-10513"/>
    <s v="03/02/2025"/>
    <d v="2025-03-02T00:00:00"/>
    <s v="2025-03-03"/>
    <d v="2025-03-03T00:00:00"/>
    <s v="Valid"/>
    <n v="1"/>
    <s v="Valid"/>
    <s v="CUST-9943"/>
    <s v="Isha Nair"/>
    <s v="Isha Nair"/>
    <s v="Corporate"/>
    <x v="2"/>
    <s v="South"/>
    <x v="2"/>
    <s v="Kerala"/>
    <s v="Kochi"/>
    <s v="Office Supplies"/>
    <x v="0"/>
    <x v="7"/>
    <s v="Pro Labels 849"/>
    <s v="Second Class"/>
    <x v="0"/>
    <n v="2"/>
    <n v="4031.45"/>
    <n v="0.25"/>
    <n v="0.25"/>
    <n v="6047.1749999999993"/>
    <n v="6047.17"/>
    <n v="3368.79"/>
    <n v="2678.38"/>
    <s v="Paid"/>
    <s v="Completed"/>
    <x v="0"/>
    <s v="Valid"/>
    <n v="2678.38"/>
    <n v="0.44291425334970469"/>
    <x v="11"/>
    <x v="1"/>
    <s v="Clean"/>
  </r>
  <r>
    <s v="ORD-2025-10514"/>
    <s v="27-06-2025"/>
    <d v="2025-06-27T00:00:00"/>
    <s v="07/02/2025"/>
    <d v="2025-07-02T00:00:00"/>
    <s v="Valid"/>
    <n v="5"/>
    <s v="Valid"/>
    <s v="CUST-8993"/>
    <s v="Aarav Sharma"/>
    <s v="Aarav Sharma"/>
    <s v="Corporate"/>
    <x v="2"/>
    <s v="South"/>
    <x v="2"/>
    <s v="Kerala"/>
    <s v="Kochi"/>
    <s v="Technology"/>
    <x v="2"/>
    <x v="5"/>
    <s v="Prime Accessories 849"/>
    <s v="First Class"/>
    <x v="2"/>
    <n v="6"/>
    <n v="1099.49"/>
    <n v="0.1"/>
    <n v="0.1"/>
    <n v="5937.246000000001"/>
    <n v="6212.38"/>
    <n v="4088.46"/>
    <n v="1848.79"/>
    <s v="Paid"/>
    <s v="Completed"/>
    <x v="0"/>
    <s v="Valid"/>
    <n v="2123.92"/>
    <n v="0.35772814533876474"/>
    <x v="2"/>
    <x v="1"/>
    <s v="Clean"/>
  </r>
  <r>
    <s v="ORD-2024-10515"/>
    <s v="18 Nov 2024"/>
    <d v="2024-11-18T00:00:00"/>
    <s v="2024-11-22"/>
    <d v="2024-11-22T00:00:00"/>
    <s v="Valid"/>
    <n v="4"/>
    <s v="Valid"/>
    <s v="CUST-7729"/>
    <s v="Karan Malhotra"/>
    <s v="Karan Malhotra"/>
    <s v="Home Office"/>
    <x v="3"/>
    <s v="South"/>
    <x v="2"/>
    <s v="Kerala"/>
    <s v="Kochi"/>
    <s v="Technology"/>
    <x v="2"/>
    <x v="5"/>
    <s v="Smart Accessories 388"/>
    <s v="Standard Class"/>
    <x v="3"/>
    <n v="6"/>
    <n v="3872.94"/>
    <n v="0.1"/>
    <n v="0.1"/>
    <n v="20913.876"/>
    <n v="20913.88"/>
    <n v="11684.68"/>
    <n v="9229.2000000000007"/>
    <s v="Paid"/>
    <s v="Completed"/>
    <x v="0"/>
    <s v="Valid"/>
    <n v="9229.2000000000007"/>
    <n v="0.44129553029768376"/>
    <x v="3"/>
    <x v="0"/>
    <s v="Clean"/>
  </r>
  <r>
    <s v="ORD-2025-10516"/>
    <s v="04/11/2025"/>
    <d v="2025-04-11T00:00:00"/>
    <s v="2025-04-11"/>
    <d v="2025-04-11T00:00:00"/>
    <s v="Valid"/>
    <n v="0"/>
    <s v="Valid"/>
    <s v="CUST-9986"/>
    <s v="Rahul Verma"/>
    <s v="Rahul Verma"/>
    <s v="Corporate"/>
    <x v="2"/>
    <s v="North"/>
    <x v="0"/>
    <s v="Delhi"/>
    <s v="New Delhi"/>
    <s v="Office Supplies"/>
    <x v="0"/>
    <x v="0"/>
    <s v="Classic Paper 752"/>
    <s v="Standard Class"/>
    <x v="3"/>
    <n v="1"/>
    <n v="4458.49"/>
    <n v="-7.0000000000000007E-2"/>
    <n v="-7.0000000000000007E-2"/>
    <n v="4770.5843000000004"/>
    <n v="3566.79"/>
    <n v="2083.41"/>
    <n v="1483.38"/>
    <s v="Paid"/>
    <s v="Completed"/>
    <x v="0"/>
    <s v="Invalid - Negative Discount"/>
    <n v="1483.38"/>
    <n v="0.31094304318236238"/>
    <x v="5"/>
    <x v="1"/>
    <s v="Clean"/>
  </r>
  <r>
    <s v="ORD-2024-10517"/>
    <s v="09/28/2024"/>
    <d v="2024-09-28T00:00:00"/>
    <s v="04 Oct 2024"/>
    <d v="2024-10-04T00:00:00"/>
    <s v="Valid"/>
    <n v="6"/>
    <s v="Valid"/>
    <s v="CUST-2731"/>
    <s v="Kabir Singh"/>
    <s v="Kabir Singh"/>
    <s v="Home Office"/>
    <x v="3"/>
    <s v="North"/>
    <x v="0"/>
    <s v="Delhi"/>
    <s v="New Delhi"/>
    <s v="Technology"/>
    <x v="2"/>
    <x v="6"/>
    <s v="Classic Copiers 143"/>
    <s v="Standard Class"/>
    <x v="3"/>
    <n v="1"/>
    <n v="2233.1799999999998"/>
    <n v="0"/>
    <n v="0"/>
    <n v="2233.1799999999998"/>
    <n v="2233.1799999999998"/>
    <n v="1585.82"/>
    <n v="647.36"/>
    <s v="Failed"/>
    <s v="Returned"/>
    <x v="2"/>
    <s v="Valid"/>
    <n v="647.3599999999999"/>
    <n v="0.28988258895386843"/>
    <x v="7"/>
    <x v="0"/>
    <s v="Clean"/>
  </r>
  <r>
    <s v="ORD-2025-10518"/>
    <s v="2025-05-25"/>
    <d v="2025-05-25T00:00:00"/>
    <s v="27 May 2025"/>
    <d v="2025-05-27T00:00:00"/>
    <s v="Valid"/>
    <n v="2"/>
    <s v="Valid"/>
    <s v="CUST-4235"/>
    <s v="Rahul Verma"/>
    <s v="Rahul Verma"/>
    <s v="Consumer"/>
    <x v="0"/>
    <s v="East"/>
    <x v="1"/>
    <s v="Odisha"/>
    <s v="Bhubaneswar"/>
    <s v="Furniture"/>
    <x v="1"/>
    <x v="3"/>
    <s v="Basic Furnishings 386"/>
    <s v="Second Class"/>
    <x v="0"/>
    <n v="7"/>
    <n v="2123.2800000000002"/>
    <n v="0.2"/>
    <n v="0.2"/>
    <n v="11890.368000000002"/>
    <n v="11890.37"/>
    <n v="9234.5300000000007"/>
    <n v="2655.84"/>
    <s v="Refunded"/>
    <s v="Returned"/>
    <x v="2"/>
    <s v="Valid"/>
    <n v="2655.84"/>
    <n v="0.22336062264851683"/>
    <x v="4"/>
    <x v="1"/>
    <s v="Clean"/>
  </r>
  <r>
    <s v="ORD-2025-10519"/>
    <s v="30-04-2025"/>
    <d v="2025-04-30T00:00:00"/>
    <s v="26 Apr 2025"/>
    <d v="2025-04-26T00:00:00"/>
    <s v="Invalid Shipping Record"/>
    <n v="-4"/>
    <s v="Invalid Shipping Record"/>
    <s v="CUST-3377"/>
    <s v="Diya Patel"/>
    <s v="Diya Patel"/>
    <s v="Corporate"/>
    <x v="2"/>
    <s v="East"/>
    <x v="1"/>
    <s v="Odisha"/>
    <s v="Bhubaneswar"/>
    <s v="Furniture"/>
    <x v="1"/>
    <x v="1"/>
    <s v="Classic Tables 592"/>
    <s v="First Class"/>
    <x v="2"/>
    <n v="7"/>
    <n v="1604.13"/>
    <n v="0.25"/>
    <n v="0.25"/>
    <n v="8421.682499999999"/>
    <n v="8421.68"/>
    <n v="6534.47"/>
    <n v="1887.21"/>
    <s v="Paid"/>
    <s v="Cancelled"/>
    <x v="1"/>
    <s v="Valid"/>
    <n v="1887.21"/>
    <n v="0.22408942631119141"/>
    <x v="5"/>
    <x v="1"/>
    <s v="Invalid"/>
  </r>
  <r>
    <s v="ORD-2025-10520"/>
    <s v="03-07-2025"/>
    <d v="2025-07-03T00:00:00"/>
    <s v="2025-07-07"/>
    <d v="2025-07-07T00:00:00"/>
    <s v="Valid"/>
    <n v="4"/>
    <s v="Valid"/>
    <s v="CUST-3258"/>
    <s v="Priya Menon"/>
    <s v="Priya Menon"/>
    <s v="Consumer"/>
    <x v="0"/>
    <s v="North"/>
    <x v="0"/>
    <s v="Uttar Pradesh"/>
    <s v="Noida"/>
    <s v="Furniture"/>
    <x v="1"/>
    <x v="1"/>
    <s v="Pro Tables 412"/>
    <s v="Standard Class"/>
    <x v="3"/>
    <n v="4"/>
    <n v="4365.21"/>
    <n v="0.2"/>
    <n v="0.2"/>
    <n v="13968.672"/>
    <n v="13968.67"/>
    <n v="8857.58"/>
    <n v="5111.09"/>
    <s v="Pending"/>
    <s v="Cancelled"/>
    <x v="1"/>
    <s v="Valid"/>
    <n v="5111.09"/>
    <n v="0.36589662925724076"/>
    <x v="0"/>
    <x v="1"/>
    <s v="Clean"/>
  </r>
  <r>
    <s v="ORD-2024-10521"/>
    <s v="2024-07-16"/>
    <d v="2024-07-16T00:00:00"/>
    <s v="23 Jul 2024"/>
    <d v="2024-07-23T00:00:00"/>
    <s v="Valid"/>
    <n v="7"/>
    <s v="Valid"/>
    <s v="CUST-2155"/>
    <s v="Aarav Sharma"/>
    <s v="Aarav Sharma"/>
    <s v="Home Office"/>
    <x v="3"/>
    <s v="South"/>
    <x v="2"/>
    <s v="Karnataka"/>
    <s v="Bengaluru"/>
    <s v="Technology"/>
    <x v="2"/>
    <x v="12"/>
    <s v="Prime Machines 393"/>
    <s v="Same Day"/>
    <x v="1"/>
    <n v="1"/>
    <n v="1695.91"/>
    <n v="0.05"/>
    <n v="0.05"/>
    <n v="1611.1144999999999"/>
    <n v="1611.11"/>
    <n v="895.15"/>
    <n v="715.96"/>
    <s v="Paid"/>
    <s v="Completed"/>
    <x v="0"/>
    <s v="Valid"/>
    <n v="715.95999999999992"/>
    <n v="0.44438803077000422"/>
    <x v="0"/>
    <x v="0"/>
    <s v="Clean"/>
  </r>
  <r>
    <s v="ORD-2025-10522"/>
    <s v="2025-03-25"/>
    <d v="2025-03-25T00:00:00"/>
    <s v="2025-04-01"/>
    <d v="2025-04-01T00:00:00"/>
    <s v="Valid"/>
    <n v="7"/>
    <s v="Valid"/>
    <s v="CUST-8012"/>
    <s v="Diya Patel"/>
    <s v="Diya Patel"/>
    <s v="Consumer"/>
    <x v="0"/>
    <s v="North"/>
    <x v="0"/>
    <s v="Punjab"/>
    <s v="Ludhiana"/>
    <s v="Office Supplies"/>
    <x v="0"/>
    <x v="7"/>
    <s v="Classic Labels 776"/>
    <s v="Second Class"/>
    <x v="0"/>
    <n v="6"/>
    <n v="2192.11"/>
    <n v="0.05"/>
    <n v="0.05"/>
    <n v="12495.027"/>
    <n v="12495.03"/>
    <n v="9184.52"/>
    <n v="3310.51"/>
    <s v="Paid"/>
    <s v="Completed"/>
    <x v="0"/>
    <s v="Valid"/>
    <n v="3310.51"/>
    <n v="0.26494620619867409"/>
    <x v="11"/>
    <x v="1"/>
    <s v="Clean"/>
  </r>
  <r>
    <s v="ORD-2025-10523"/>
    <s v="02/28/2025"/>
    <d v="2025-02-28T00:00:00"/>
    <s v="08 Mar 2025"/>
    <d v="2025-03-08T00:00:00"/>
    <s v="Valid"/>
    <n v="8"/>
    <s v="Valid"/>
    <s v="CUST-2917"/>
    <s v="Neha Gupta"/>
    <s v="Neha Gupta"/>
    <s v="Small Business"/>
    <x v="1"/>
    <s v="East"/>
    <x v="1"/>
    <s v="Jharkhand"/>
    <s v="Ranchi"/>
    <s v="Technology"/>
    <x v="2"/>
    <x v="11"/>
    <s v="Max Phones 612"/>
    <s v="First Class"/>
    <x v="2"/>
    <n v="9"/>
    <n v="3670.54"/>
    <n v="0"/>
    <n v="0"/>
    <n v="33034.86"/>
    <n v="33034.86"/>
    <n v="24539.83"/>
    <n v="8495.0300000000007"/>
    <s v="Paid"/>
    <s v="Completed"/>
    <x v="0"/>
    <s v="Valid"/>
    <n v="8495.0299999999988"/>
    <n v="0.25715350390466307"/>
    <x v="6"/>
    <x v="1"/>
    <s v="Clean"/>
  </r>
  <r>
    <s v="ORD-2024-10524"/>
    <s v="02-04-2024"/>
    <d v="2024-04-02T00:00:00"/>
    <s v="2024-04-03"/>
    <d v="2024-04-03T00:00:00"/>
    <s v="Valid"/>
    <n v="1"/>
    <s v="Valid"/>
    <s v="CUST-4653"/>
    <s v="Kabir Singh"/>
    <s v="Kabir Singh"/>
    <s v="Home Office"/>
    <x v="3"/>
    <s v="West"/>
    <x v="3"/>
    <s v="Goa"/>
    <s v="Panaji"/>
    <s v="Office Supplies"/>
    <x v="0"/>
    <x v="0"/>
    <s v="Basic Paper 315"/>
    <s v="Second Class"/>
    <x v="0"/>
    <n v="2"/>
    <n v="2902.63"/>
    <n v="0"/>
    <n v="0"/>
    <n v="5805.26"/>
    <n v="5805.26"/>
    <n v="4654.3599999999997"/>
    <n v="1150.9000000000001"/>
    <s v="Paid"/>
    <s v="Returned"/>
    <x v="2"/>
    <s v="Valid"/>
    <n v="1150.9000000000005"/>
    <n v="0.19825124111581574"/>
    <x v="5"/>
    <x v="0"/>
    <s v="Clean"/>
  </r>
  <r>
    <s v="ORD-2024-10525"/>
    <s v="30 Nov 2024"/>
    <d v="2024-11-30T00:00:00"/>
    <s v="01 Dec 2024"/>
    <d v="2024-12-01T00:00:00"/>
    <s v="Valid"/>
    <n v="1"/>
    <s v="Valid"/>
    <s v="CUST-3311"/>
    <s v="Ananya Rao"/>
    <s v="Ananya Rao"/>
    <s v="Corporate"/>
    <x v="2"/>
    <s v="West"/>
    <x v="3"/>
    <s v="Gujarat"/>
    <s v="Ahmedabad"/>
    <s v="Furniture"/>
    <x v="1"/>
    <x v="4"/>
    <s v="Basic Chairs 333"/>
    <s v="First Class"/>
    <x v="2"/>
    <n v="9"/>
    <n v="4207.3599999999997"/>
    <n v="0.1"/>
    <n v="0.1"/>
    <n v="34079.616000000002"/>
    <n v="34079.620000000003"/>
    <n v="21871.39"/>
    <n v="12208.23"/>
    <s v="Paid"/>
    <s v="Completed"/>
    <x v="0"/>
    <s v="Valid"/>
    <n v="12208.230000000003"/>
    <n v="0.35822674762532541"/>
    <x v="3"/>
    <x v="0"/>
    <s v="Clean"/>
  </r>
  <r>
    <s v="ORD-2024-10526"/>
    <s v="10/17/2024"/>
    <d v="2024-10-17T00:00:00"/>
    <s v="2024-10-17"/>
    <d v="2024-10-17T00:00:00"/>
    <s v="Valid"/>
    <n v="0"/>
    <s v="Valid"/>
    <s v="CUST-2924"/>
    <s v="Priya Menon"/>
    <s v="Priya Menon"/>
    <s v="Home Office"/>
    <x v="3"/>
    <s v="East"/>
    <x v="1"/>
    <s v="West Bengal"/>
    <s v="Kolkata"/>
    <s v="Furniture"/>
    <x v="1"/>
    <x v="4"/>
    <s v="Prime Chairs 215"/>
    <s v="Standard Class"/>
    <x v="3"/>
    <n v="5"/>
    <n v="2524.4"/>
    <n v="0.1"/>
    <n v="0.1"/>
    <n v="11359.800000000001"/>
    <n v="11359.8"/>
    <n v="7062.44"/>
    <n v="4297.3599999999997"/>
    <s v="Paid"/>
    <s v="Completed"/>
    <x v="0"/>
    <s v="Valid"/>
    <n v="4297.3599999999997"/>
    <n v="0.37829539252451622"/>
    <x v="9"/>
    <x v="0"/>
    <s v="Clean"/>
  </r>
  <r>
    <s v="ORD-2025-10527"/>
    <s v="2025-07-18"/>
    <d v="2025-07-18T00:00:00"/>
    <s v="21 Jul 2025"/>
    <d v="2025-07-21T00:00:00"/>
    <s v="Valid"/>
    <n v="3"/>
    <s v="Valid"/>
    <s v="CUST-7198"/>
    <s v="Priya Menon"/>
    <s v="Priya Menon"/>
    <s v="Consumer"/>
    <x v="0"/>
    <s v="East"/>
    <x v="1"/>
    <s v="Odisha"/>
    <s v="Bhubaneswar"/>
    <s v="Furniture"/>
    <x v="1"/>
    <x v="1"/>
    <s v="Elite Tables 815"/>
    <s v="Second Class"/>
    <x v="0"/>
    <n v="4"/>
    <n v="284.04000000000002"/>
    <m/>
    <n v="0"/>
    <n v="1136.1600000000001"/>
    <n v="908.93"/>
    <n v="572.08000000000004"/>
    <n v="336.85"/>
    <s v="Paid"/>
    <s v="Completed"/>
    <x v="0"/>
    <s v="Valid"/>
    <n v="336.84999999999991"/>
    <n v="0.29648112941839166"/>
    <x v="0"/>
    <x v="1"/>
    <s v="Clean"/>
  </r>
  <r>
    <s v="ORD-2025-10528"/>
    <s v="01-10-2025"/>
    <d v="2025-10-01T00:00:00"/>
    <s v="2025-10-05"/>
    <d v="2025-10-05T00:00:00"/>
    <s v="Valid"/>
    <n v="4"/>
    <s v="Valid"/>
    <s v="CUST-3419"/>
    <s v="Aditi Sen"/>
    <s v="Aditi Sen"/>
    <s v="Home Office"/>
    <x v="3"/>
    <s v="North"/>
    <x v="0"/>
    <s v="Haryana"/>
    <s v="Gurugram"/>
    <s v="Office Supplies"/>
    <x v="0"/>
    <x v="0"/>
    <s v="Basic Paper 388"/>
    <s v="First Class"/>
    <x v="2"/>
    <n v="5"/>
    <n v="3247.56"/>
    <n v="0.15"/>
    <n v="0.15"/>
    <n v="13802.13"/>
    <n v="13802.13"/>
    <n v="10075.93"/>
    <n v="3726.2"/>
    <s v="Paid"/>
    <s v="Completed"/>
    <x v="0"/>
    <s v="Valid"/>
    <n v="3726.1999999999989"/>
    <n v="0.26997282303528508"/>
    <x v="9"/>
    <x v="1"/>
    <s v="Clean"/>
  </r>
  <r>
    <s v="ORD-2024-10529"/>
    <s v="2024-10-07"/>
    <d v="2024-10-07T00:00:00"/>
    <s v="09-10-2024"/>
    <d v="2024-10-09T00:00:00"/>
    <s v="Valid"/>
    <n v="2"/>
    <s v="Valid"/>
    <s v="CUST-2390"/>
    <s v="Diya Patel"/>
    <s v="Diya Patel"/>
    <s v="Consumer"/>
    <x v="0"/>
    <s v="South"/>
    <x v="2"/>
    <s v="Tamil Nadu"/>
    <s v="Chennai"/>
    <s v="Office Supplies"/>
    <x v="0"/>
    <x v="9"/>
    <s v="Eco Binders 855"/>
    <s v="Standard Class"/>
    <x v="3"/>
    <n v="9"/>
    <n v="3457.09"/>
    <n v="0.05"/>
    <n v="0.05"/>
    <n v="29558.119500000001"/>
    <n v="29558.12"/>
    <n v="21302.13"/>
    <n v="8255.99"/>
    <s v="Pending"/>
    <s v="Returned"/>
    <x v="2"/>
    <s v="Valid"/>
    <n v="8255.989999999998"/>
    <n v="0.27931377704863797"/>
    <x v="9"/>
    <x v="0"/>
    <s v="Clean"/>
  </r>
  <r>
    <s v="ORD-2024-10530"/>
    <s v="2024-02-06"/>
    <d v="2024-02-06T00:00:00"/>
    <s v="2024-02-08"/>
    <d v="2024-02-08T00:00:00"/>
    <s v="Valid"/>
    <n v="2"/>
    <s v="Valid"/>
    <s v="CUST-3362"/>
    <s v="Karan Malhotra"/>
    <s v="Karan Malhotra"/>
    <s v="Consumer"/>
    <x v="0"/>
    <s v="East"/>
    <x v="1"/>
    <s v="Jharkhand"/>
    <s v="Ranchi"/>
    <s v="Furniture"/>
    <x v="1"/>
    <x v="10"/>
    <s v="Classic Bookcases 947"/>
    <s v="Second Class"/>
    <x v="0"/>
    <n v="9"/>
    <n v="1822.25"/>
    <n v="0"/>
    <n v="0"/>
    <n v="16400.25"/>
    <n v="16400.25"/>
    <n v="12146.96"/>
    <n v="4253.29"/>
    <s v="Paid"/>
    <s v="Completed"/>
    <x v="0"/>
    <s v="Valid"/>
    <n v="4253.2900000000009"/>
    <n v="0.25934299782015524"/>
    <x v="6"/>
    <x v="0"/>
    <s v="Clean"/>
  </r>
  <r>
    <s v="ORD-2025-10531"/>
    <s v="05/30/2025"/>
    <d v="2025-05-30T00:00:00"/>
    <s v="2025-06-01"/>
    <d v="2025-06-01T00:00:00"/>
    <s v="Valid"/>
    <n v="2"/>
    <s v="Valid"/>
    <s v="CUST-8177"/>
    <s v="Rahul Verma"/>
    <s v="Rahul Verma"/>
    <s v="Home Office"/>
    <x v="3"/>
    <s v="South"/>
    <x v="2"/>
    <s v="Tamil Nadu"/>
    <s v="Chennai"/>
    <s v="Office Supplies"/>
    <x v="0"/>
    <x v="9"/>
    <s v="Eco Binders 352"/>
    <s v="Standard Class"/>
    <x v="3"/>
    <n v="9"/>
    <n v="1994.51"/>
    <n v="0.05"/>
    <n v="0.05"/>
    <n v="17053.0605"/>
    <n v="17053.060000000001"/>
    <n v="10742.38"/>
    <n v="6310.68"/>
    <s v="Paid"/>
    <s v="Completed"/>
    <x v="0"/>
    <s v="Valid"/>
    <n v="6310.6800000000021"/>
    <n v="0.37006143266776087"/>
    <x v="4"/>
    <x v="1"/>
    <s v="Clean"/>
  </r>
  <r>
    <s v="ORD-2024-10532"/>
    <s v="01 Aug 2024"/>
    <d v="2024-08-01T00:00:00"/>
    <s v="08-08-2024"/>
    <d v="2024-08-08T00:00:00"/>
    <s v="Valid"/>
    <n v="7"/>
    <s v="Valid"/>
    <s v="CUST-6357"/>
    <s v="Diya Patel"/>
    <s v="Diya Patel"/>
    <s v="Small Business"/>
    <x v="1"/>
    <s v="West"/>
    <x v="3"/>
    <s v="Maharashtra"/>
    <s v="Mumbai"/>
    <s v="Office Supplies"/>
    <x v="0"/>
    <x v="8"/>
    <s v="Pro Storage 364"/>
    <m/>
    <x v="4"/>
    <n v="1"/>
    <n v="442.97"/>
    <n v="0.1"/>
    <n v="0.1"/>
    <n v="398.67300000000006"/>
    <n v="398.67"/>
    <n v="311.66000000000003"/>
    <n v="87.01"/>
    <s v="Paid"/>
    <s v="Completed"/>
    <x v="0"/>
    <s v="Valid"/>
    <n v="87.009999999999991"/>
    <n v="0.21824904119416158"/>
    <x v="1"/>
    <x v="0"/>
    <s v="Clean"/>
  </r>
  <r>
    <s v="ORD-2025-10533"/>
    <s v="2025-10-05"/>
    <d v="2025-10-05T00:00:00"/>
    <s v="2025-10-10"/>
    <d v="2025-10-10T00:00:00"/>
    <s v="Valid"/>
    <n v="5"/>
    <s v="Valid"/>
    <s v="CUST-7690"/>
    <s v="Priya Menon"/>
    <s v="Priya Menon"/>
    <s v="Corporate"/>
    <x v="2"/>
    <s v="East"/>
    <x v="1"/>
    <s v="Assam"/>
    <s v="Guwahati"/>
    <s v="Furniture"/>
    <x v="1"/>
    <x v="1"/>
    <s v="Classic Tables 213"/>
    <s v="Second Class"/>
    <x v="0"/>
    <n v="9"/>
    <n v="2089.14"/>
    <n v="0.05"/>
    <n v="0.05"/>
    <n v="17862.146999999997"/>
    <n v="17862.150000000001"/>
    <n v="9892.2099999999991"/>
    <n v="7969.94"/>
    <s v="Failed"/>
    <s v="Cancelled"/>
    <x v="1"/>
    <s v="Valid"/>
    <n v="7969.9400000000023"/>
    <n v="0.44619160283475462"/>
    <x v="9"/>
    <x v="1"/>
    <s v="Clean"/>
  </r>
  <r>
    <s v="ORD-2024-10534"/>
    <s v="25 Aug 2024"/>
    <d v="2024-08-25T00:00:00"/>
    <s v="2024-09-01"/>
    <d v="2024-09-01T00:00:00"/>
    <s v="Valid"/>
    <n v="7"/>
    <s v="Valid"/>
    <s v="CUST-4487"/>
    <s v="Isha Nair"/>
    <s v="Isha Nair"/>
    <s v="Home Office"/>
    <x v="3"/>
    <s v="North"/>
    <x v="0"/>
    <s v="Rajasthan"/>
    <s v="Jaipur"/>
    <s v="Furniture"/>
    <x v="1"/>
    <x v="1"/>
    <s v="Smart Tables 659"/>
    <s v="Same Day"/>
    <x v="1"/>
    <n v="6"/>
    <n v="481.3"/>
    <n v="0.25"/>
    <n v="0.25"/>
    <n v="2165.8500000000004"/>
    <n v="2165.85"/>
    <n v="2124.48"/>
    <n v="430.45"/>
    <s v="Paid"/>
    <s v="Completed"/>
    <x v="0"/>
    <s v="Valid"/>
    <n v="41.369999999999891"/>
    <n v="1.9101045778793492E-2"/>
    <x v="1"/>
    <x v="0"/>
    <s v="Clean"/>
  </r>
  <r>
    <s v="ORD-2025-10535"/>
    <s v="04/27/2025"/>
    <d v="2025-04-27T00:00:00"/>
    <s v="2025-05-05"/>
    <d v="2025-05-05T00:00:00"/>
    <s v="Valid"/>
    <n v="8"/>
    <s v="Valid"/>
    <s v="CUST-8204"/>
    <s v="Rohan Mehta"/>
    <s v="Rohan Mehta"/>
    <s v="Home Office"/>
    <x v="3"/>
    <s v="East"/>
    <x v="1"/>
    <s v="Bihar"/>
    <s v="Patna"/>
    <s v="Technology"/>
    <x v="2"/>
    <x v="5"/>
    <s v="Classic Accessories 325"/>
    <s v="Second Class"/>
    <x v="0"/>
    <n v="4"/>
    <n v="3963.39"/>
    <n v="0.1"/>
    <n v="0.1"/>
    <n v="14268.204"/>
    <n v="14268.2"/>
    <n v="11705.3"/>
    <n v="2562.9"/>
    <s v="Pending"/>
    <s v="Returned"/>
    <x v="2"/>
    <s v="Valid"/>
    <n v="2562.9000000000015"/>
    <n v="0.17962316770912454"/>
    <x v="5"/>
    <x v="1"/>
    <s v="Clean"/>
  </r>
  <r>
    <s v="ORD-2024-10536"/>
    <s v="19-05-2024"/>
    <d v="2024-05-19T00:00:00"/>
    <s v="21 May 2024"/>
    <d v="2024-05-21T00:00:00"/>
    <s v="Valid"/>
    <n v="2"/>
    <s v="Valid"/>
    <s v="CUST-1729"/>
    <s v="Diya Patel"/>
    <s v="Diya Patel"/>
    <s v="Small Business"/>
    <x v="1"/>
    <s v="West"/>
    <x v="3"/>
    <s v="Maharashtra"/>
    <s v="Mumbai"/>
    <s v="Technology"/>
    <x v="2"/>
    <x v="6"/>
    <s v="Eco Copiers 243"/>
    <s v="First Class"/>
    <x v="2"/>
    <n v="3"/>
    <n v="4000.98"/>
    <n v="0.2"/>
    <n v="0.2"/>
    <n v="9602.3520000000008"/>
    <n v="9602.35"/>
    <n v="7387.57"/>
    <n v="2214.7800000000002"/>
    <s v="Paid"/>
    <s v="Completed"/>
    <x v="0"/>
    <s v="Valid"/>
    <n v="2214.7800000000007"/>
    <n v="0.23064974081350073"/>
    <x v="4"/>
    <x v="0"/>
    <s v="Clean"/>
  </r>
  <r>
    <s v="ORD-2025-10537"/>
    <s v="2025-04-10"/>
    <d v="2025-04-10T00:00:00"/>
    <s v="2025-04-17"/>
    <d v="2025-04-17T00:00:00"/>
    <s v="Valid"/>
    <n v="7"/>
    <s v="Valid"/>
    <s v="CUST-4269"/>
    <s v="Ananya Rao"/>
    <s v="Ananya Rao"/>
    <s v="Small Business"/>
    <x v="1"/>
    <s v="West"/>
    <x v="3"/>
    <s v="Rajasthan"/>
    <s v="Udaipur"/>
    <s v="Furniture"/>
    <x v="1"/>
    <x v="4"/>
    <s v="Elite Chairs 777"/>
    <s v="First Class"/>
    <x v="2"/>
    <n v="7"/>
    <n v="3788.9"/>
    <n v="0.25"/>
    <n v="0.25"/>
    <n v="19891.724999999999"/>
    <n v="19891.72"/>
    <n v="12295.76"/>
    <n v="7595.96"/>
    <s v="Failed"/>
    <s v="Cancelled"/>
    <x v="1"/>
    <s v="Valid"/>
    <n v="7595.9600000000009"/>
    <n v="0.38186532339452722"/>
    <x v="5"/>
    <x v="1"/>
    <s v="Clean"/>
  </r>
  <r>
    <s v="ORD-2024-10538"/>
    <s v="2024-01-22"/>
    <d v="2024-01-22T00:00:00"/>
    <s v="2024-01-30"/>
    <d v="2024-01-30T00:00:00"/>
    <s v="Valid"/>
    <n v="8"/>
    <s v="Valid"/>
    <s v="CUST-1370"/>
    <s v="Ananya Rao"/>
    <s v="Ananya Rao"/>
    <s v="Small Business"/>
    <x v="1"/>
    <s v="North"/>
    <x v="0"/>
    <s v="Haryana"/>
    <s v="Gurugram"/>
    <s v="Office Supplies"/>
    <x v="0"/>
    <x v="2"/>
    <s v="Classic Art 772"/>
    <s v="Same Day"/>
    <x v="1"/>
    <n v="3"/>
    <n v="676.37"/>
    <n v="0.05"/>
    <n v="0.05"/>
    <n v="1927.6545000000001"/>
    <n v="1927.65"/>
    <n v="1460.6"/>
    <n v="467.05"/>
    <s v="Failed"/>
    <s v="Cancelled"/>
    <x v="1"/>
    <s v="Valid"/>
    <n v="467.05000000000018"/>
    <n v="0.24228926916104529"/>
    <x v="10"/>
    <x v="0"/>
    <s v="Clean"/>
  </r>
  <r>
    <s v="ORD-2024-10539"/>
    <s v="25-09-2024"/>
    <d v="2024-09-25T00:00:00"/>
    <s v="01-10-2024"/>
    <d v="2024-10-01T00:00:00"/>
    <s v="Valid"/>
    <n v="6"/>
    <s v="Valid"/>
    <s v="CUST-5381"/>
    <s v="Diya Patel"/>
    <s v="Diya Patel"/>
    <s v="Small Business"/>
    <x v="1"/>
    <s v="East"/>
    <x v="1"/>
    <s v="Jharkhand"/>
    <s v="Ranchi"/>
    <s v="Furniture"/>
    <x v="1"/>
    <x v="1"/>
    <s v="Elite Tables 888"/>
    <s v="Second Class"/>
    <x v="0"/>
    <n v="9"/>
    <n v="3908.6"/>
    <n v="0.15"/>
    <n v="0.15"/>
    <n v="29900.79"/>
    <n v="29900.79"/>
    <n v="24650.67"/>
    <n v="5250.12"/>
    <s v="Paid"/>
    <s v="Completed"/>
    <x v="0"/>
    <s v="Valid"/>
    <n v="5250.1200000000026"/>
    <n v="0.17558465846554563"/>
    <x v="7"/>
    <x v="0"/>
    <s v="Clean"/>
  </r>
  <r>
    <s v="ORD-2025-10540"/>
    <s v="07/04/2025"/>
    <d v="2025-07-04T00:00:00"/>
    <s v="2025-07-04"/>
    <d v="2025-07-04T00:00:00"/>
    <s v="Valid"/>
    <n v="0"/>
    <s v="Valid"/>
    <s v="CUST-3694"/>
    <s v="Mira Das"/>
    <s v="Mira Das"/>
    <s v="Small Business"/>
    <x v="1"/>
    <s v="South"/>
    <x v="2"/>
    <s v="Tamil Nadu"/>
    <s v="Chennai"/>
    <s v="Furniture"/>
    <x v="1"/>
    <x v="4"/>
    <s v="Classic Chairs 666"/>
    <s v="Standard Class"/>
    <x v="3"/>
    <n v="3"/>
    <n v="705.35"/>
    <n v="0.1"/>
    <n v="0.1"/>
    <n v="1904.4450000000002"/>
    <n v="1904.45"/>
    <n v="1316.54"/>
    <n v="587.91"/>
    <s v="Paid"/>
    <s v="Cancelled"/>
    <x v="1"/>
    <s v="Valid"/>
    <n v="587.91000000000008"/>
    <n v="0.30870411064640879"/>
    <x v="0"/>
    <x v="1"/>
    <s v="Clean"/>
  </r>
  <r>
    <s v="ORD-2024-10541"/>
    <s v="26-02-2024"/>
    <d v="2024-02-26T00:00:00"/>
    <s v="23 Feb 2024"/>
    <d v="2024-02-23T00:00:00"/>
    <s v="Invalid Shipping Record"/>
    <n v="-3"/>
    <s v="Invalid Shipping Record"/>
    <s v="CUST-7563"/>
    <s v="Kabir Singh"/>
    <s v="Kabir Singh"/>
    <s v="Consumer"/>
    <x v="0"/>
    <s v="West"/>
    <x v="3"/>
    <s v="Gujarat"/>
    <s v="Ahmedabad"/>
    <s v="Furniture"/>
    <x v="1"/>
    <x v="3"/>
    <s v="Basic Furnishings 350"/>
    <s v="Standard Class"/>
    <x v="3"/>
    <n v="7"/>
    <n v="3852.07"/>
    <n v="0.2"/>
    <n v="0.2"/>
    <n v="21571.592000000004"/>
    <n v="21571.59"/>
    <n v="17118.07"/>
    <n v="4453.5200000000004"/>
    <s v="Paid"/>
    <s v="Completed"/>
    <x v="0"/>
    <s v="Valid"/>
    <n v="4453.5200000000004"/>
    <n v="0.20645300541564107"/>
    <x v="6"/>
    <x v="0"/>
    <s v="Invalid"/>
  </r>
  <r>
    <s v="ORD-2025-10542"/>
    <s v="08-07-2025"/>
    <d v="2025-07-08T00:00:00"/>
    <s v="2025-07-09"/>
    <d v="2025-07-09T00:00:00"/>
    <s v="Valid"/>
    <n v="1"/>
    <s v="Valid"/>
    <s v="CUST-4188"/>
    <s v="Sneha Kapoor"/>
    <s v="Sneha Kapoor"/>
    <s v="Consumer"/>
    <x v="0"/>
    <s v="West"/>
    <x v="3"/>
    <s v="Maharashtra"/>
    <s v="Mumbai"/>
    <s v="Technology"/>
    <x v="2"/>
    <x v="6"/>
    <s v="Elite Copiers 831"/>
    <s v="Same Day"/>
    <x v="1"/>
    <n v="3"/>
    <n v="2880.56"/>
    <n v="0"/>
    <n v="0"/>
    <n v="8641.68"/>
    <n v="8641.68"/>
    <n v="5747.09"/>
    <n v="2894.59"/>
    <s v="Paid"/>
    <s v="Returned"/>
    <x v="2"/>
    <s v="Valid"/>
    <n v="2894.59"/>
    <n v="0.33495686024013849"/>
    <x v="0"/>
    <x v="1"/>
    <s v="Clean"/>
  </r>
  <r>
    <s v="ORD-2024-10543"/>
    <s v="09/17/2024"/>
    <d v="2024-09-17T00:00:00"/>
    <s v="2024-09-23"/>
    <d v="2024-09-23T00:00:00"/>
    <s v="Valid"/>
    <n v="6"/>
    <s v="Valid"/>
    <s v="CUST-9376"/>
    <s v="Rahul Verma"/>
    <s v="Rahul Verma"/>
    <s v="Home Office"/>
    <x v="3"/>
    <s v="South"/>
    <x v="2"/>
    <s v="Kerala"/>
    <s v="Kochi"/>
    <s v="Furniture"/>
    <x v="1"/>
    <x v="10"/>
    <s v="Eco Bookcases 759"/>
    <s v="Second Class"/>
    <x v="0"/>
    <n v="3"/>
    <n v="4067.62"/>
    <n v="0.2"/>
    <n v="0.2"/>
    <n v="9762.2880000000005"/>
    <n v="9988.5300000000007"/>
    <n v="8368.24"/>
    <n v="1394.05"/>
    <s v="Paid"/>
    <s v="Cancelled"/>
    <x v="1"/>
    <s v="Valid"/>
    <n v="1620.2900000000009"/>
    <n v="0.16597441091678516"/>
    <x v="7"/>
    <x v="0"/>
    <s v="Clean"/>
  </r>
  <r>
    <s v="ORD-2024-10544"/>
    <s v="2024-07-14"/>
    <d v="2024-07-14T00:00:00"/>
    <s v="20-07-2024"/>
    <d v="2024-07-20T00:00:00"/>
    <s v="Valid"/>
    <n v="6"/>
    <s v="Valid"/>
    <s v="CUST-9094"/>
    <s v="Mira Das"/>
    <s v="Mira Das"/>
    <s v="Consumer"/>
    <x v="0"/>
    <s v="East"/>
    <x v="1"/>
    <s v="Bihar"/>
    <s v="Patna"/>
    <s v="Technology"/>
    <x v="2"/>
    <x v="6"/>
    <s v="Max Copiers 440"/>
    <s v="Same Day"/>
    <x v="1"/>
    <n v="1"/>
    <n v="492.67"/>
    <n v="0.15"/>
    <n v="0.15"/>
    <n v="418.76949999999999"/>
    <n v="418.77"/>
    <n v="313.72000000000003"/>
    <n v="105.05"/>
    <s v="Paid"/>
    <s v="Completed"/>
    <x v="0"/>
    <s v="Valid"/>
    <n v="105.04999999999995"/>
    <n v="0.25085399008284975"/>
    <x v="0"/>
    <x v="0"/>
    <s v="Clean"/>
  </r>
  <r>
    <s v="ORD-2025-10545"/>
    <s v="2025-01-29"/>
    <d v="2025-01-29T00:00:00"/>
    <s v="02/05/2025"/>
    <d v="2025-02-05T00:00:00"/>
    <s v="Valid"/>
    <n v="7"/>
    <s v="Valid"/>
    <s v="CUST-2366"/>
    <s v="Ananya Rao"/>
    <s v="Ananya Rao"/>
    <s v="Consumer"/>
    <x v="0"/>
    <s v="South"/>
    <x v="2"/>
    <s v="Kerala"/>
    <s v="Kochi"/>
    <s v="Office Supplies"/>
    <x v="0"/>
    <x v="2"/>
    <s v="Smart Art 201"/>
    <s v="Same Day"/>
    <x v="1"/>
    <n v="8"/>
    <n v="3643.62"/>
    <n v="0.25"/>
    <n v="0.25"/>
    <n v="21861.72"/>
    <n v="21861.72"/>
    <n v="18464.34"/>
    <n v="3397.38"/>
    <s v="Paid"/>
    <s v="Cancelled"/>
    <x v="1"/>
    <s v="Valid"/>
    <n v="3397.380000000001"/>
    <n v="0.1554031430280875"/>
    <x v="10"/>
    <x v="1"/>
    <s v="Clean"/>
  </r>
  <r>
    <s v="ORD-2024-10546"/>
    <s v="05/27/2024"/>
    <d v="2024-05-27T00:00:00"/>
    <s v="30 May 2024"/>
    <d v="2024-05-30T00:00:00"/>
    <s v="Valid"/>
    <n v="3"/>
    <s v="Valid"/>
    <s v="CUST-7168"/>
    <s v="Kabir Singh"/>
    <s v="Kabir Singh"/>
    <s v="Small Business"/>
    <x v="1"/>
    <s v="East"/>
    <x v="1"/>
    <s v="Jharkhand"/>
    <s v="Ranchi"/>
    <s v="Office Supplies"/>
    <x v="0"/>
    <x v="8"/>
    <s v="Classic Storage 755"/>
    <s v="Same Day"/>
    <x v="1"/>
    <n v="7"/>
    <n v="2900.86"/>
    <n v="0.15"/>
    <n v="0.15"/>
    <n v="17260.116999999998"/>
    <n v="17260.12"/>
    <n v="13513.51"/>
    <n v="3746.61"/>
    <s v="Paid"/>
    <s v="Completed"/>
    <x v="0"/>
    <s v="Valid"/>
    <n v="3746.6099999999988"/>
    <n v="0.21706747410808391"/>
    <x v="4"/>
    <x v="0"/>
    <s v="Clean"/>
  </r>
  <r>
    <s v="ORD-2025-10547"/>
    <s v="2025-08-14"/>
    <d v="2025-08-14T00:00:00"/>
    <s v="22 Aug 2025"/>
    <d v="2025-08-22T00:00:00"/>
    <s v="Valid"/>
    <n v="8"/>
    <s v="Valid"/>
    <s v="CUST-8157"/>
    <s v="Arjun Bose"/>
    <s v="Arjun Bose"/>
    <s v="Corporate"/>
    <x v="2"/>
    <s v="West"/>
    <x v="3"/>
    <s v="Gujarat"/>
    <s v="Ahmedabad"/>
    <s v="Office Supplies"/>
    <x v="0"/>
    <x v="0"/>
    <s v="Prime Paper 143"/>
    <s v="First Class"/>
    <x v="2"/>
    <n v="5"/>
    <n v="2567.37"/>
    <n v="0.15"/>
    <n v="0.15"/>
    <n v="10911.322499999998"/>
    <n v="10911.32"/>
    <n v="6966.44"/>
    <n v="4395.17"/>
    <s v="Paid"/>
    <s v="Completed"/>
    <x v="0"/>
    <s v="Valid"/>
    <n v="3944.88"/>
    <n v="0.36154004246506333"/>
    <x v="1"/>
    <x v="1"/>
    <s v="Clean"/>
  </r>
  <r>
    <s v="ORD-2024-10548"/>
    <s v="16 May 2024"/>
    <d v="2024-05-16T00:00:00"/>
    <s v="23 May 2024"/>
    <d v="2024-05-23T00:00:00"/>
    <s v="Valid"/>
    <n v="7"/>
    <s v="Valid"/>
    <s v="CUST-9146"/>
    <s v="Neha Gupta"/>
    <s v="Neha Gupta"/>
    <s v="Small Business"/>
    <x v="1"/>
    <s v="North"/>
    <x v="0"/>
    <s v="Uttar Pradesh"/>
    <s v="Noida"/>
    <s v="Technology"/>
    <x v="2"/>
    <x v="6"/>
    <s v="Max Copiers 607"/>
    <s v="Standard Class"/>
    <x v="3"/>
    <n v="9"/>
    <n v="3722.09"/>
    <n v="0.1"/>
    <n v="0.1"/>
    <n v="30148.929"/>
    <n v="30148.93"/>
    <n v="25155.07"/>
    <n v="4993.8599999999997"/>
    <s v="Paid"/>
    <s v="Completed"/>
    <x v="0"/>
    <s v="Valid"/>
    <n v="4993.8600000000006"/>
    <n v="0.16563971476399711"/>
    <x v="4"/>
    <x v="0"/>
    <s v="Clean"/>
  </r>
  <r>
    <s v="ORD-2024-10549"/>
    <s v="29 May 2024"/>
    <d v="2024-05-29T00:00:00"/>
    <s v="29-05-2024"/>
    <d v="2024-05-29T00:00:00"/>
    <s v="Valid"/>
    <n v="0"/>
    <s v="Valid"/>
    <s v="CUST-5129"/>
    <s v="Rohan Mehta"/>
    <s v="Rohan Mehta"/>
    <s v="Corporate"/>
    <x v="2"/>
    <s v="East"/>
    <x v="1"/>
    <s v="Bihar"/>
    <s v="Patna"/>
    <s v="Furniture"/>
    <x v="1"/>
    <x v="10"/>
    <s v="Prime Bookcases 402"/>
    <s v="Same Day"/>
    <x v="1"/>
    <n v="1"/>
    <n v="1072.01"/>
    <n v="0"/>
    <n v="0"/>
    <n v="1072.01"/>
    <n v="1072.01"/>
    <n v="852.62"/>
    <n v="219.39"/>
    <s v="Pending"/>
    <s v="Cancelled"/>
    <x v="1"/>
    <s v="Valid"/>
    <n v="219.39"/>
    <n v="0.20465294167032022"/>
    <x v="4"/>
    <x v="0"/>
    <s v="Clean"/>
  </r>
  <r>
    <s v="ORD-2025-10550"/>
    <s v="10/11/2025"/>
    <d v="2025-10-11T00:00:00"/>
    <s v="13 Oct 2025"/>
    <d v="2025-10-13T00:00:00"/>
    <s v="Valid"/>
    <n v="2"/>
    <s v="Valid"/>
    <s v="CUST-6028"/>
    <s v="Mira Das"/>
    <s v="Mira Das"/>
    <s v="Corporate"/>
    <x v="2"/>
    <s v="South"/>
    <x v="2"/>
    <s v="Telangana"/>
    <s v="Hyderabad"/>
    <s v="Office Supplies"/>
    <x v="0"/>
    <x v="2"/>
    <s v="Pro Art 287"/>
    <s v="Second Class"/>
    <x v="0"/>
    <n v="3"/>
    <n v="3804.27"/>
    <n v="0.1"/>
    <n v="0.1"/>
    <n v="10271.529"/>
    <n v="10271.530000000001"/>
    <n v="8272.24"/>
    <n v="1999.29"/>
    <s v="Paid"/>
    <s v="Completed"/>
    <x v="0"/>
    <s v="Valid"/>
    <n v="1999.2900000000009"/>
    <n v="0.1946438548730185"/>
    <x v="9"/>
    <x v="1"/>
    <s v="Clean"/>
  </r>
  <r>
    <s v="ORD-2024-10551"/>
    <s v="02-08-2024"/>
    <d v="2024-08-02T00:00:00"/>
    <s v="08/10/2024"/>
    <d v="2024-08-10T00:00:00"/>
    <s v="Valid"/>
    <n v="8"/>
    <s v="Valid"/>
    <s v="CUST-8687"/>
    <s v="Mira Das"/>
    <s v="Mira Das"/>
    <s v="Home Office"/>
    <x v="3"/>
    <s v="East"/>
    <x v="1"/>
    <s v="Odisha"/>
    <s v="Bhubaneswar"/>
    <s v="Technology"/>
    <x v="2"/>
    <x v="5"/>
    <s v="Max Accessories 591"/>
    <s v="Standard Class"/>
    <x v="3"/>
    <n v="6"/>
    <n v="2126.44"/>
    <n v="0.2"/>
    <n v="0.2"/>
    <n v="10206.912"/>
    <n v="10206.91"/>
    <n v="6764.53"/>
    <n v="3442.38"/>
    <s v="Paid"/>
    <s v="Completed"/>
    <x v="0"/>
    <s v="Valid"/>
    <n v="3442.38"/>
    <n v="0.33725969225560093"/>
    <x v="1"/>
    <x v="0"/>
    <s v="Clean"/>
  </r>
  <r>
    <s v="ORD-2024-10552"/>
    <s v="27-02-2024"/>
    <d v="2024-02-27T00:00:00"/>
    <s v="2024-02-27"/>
    <d v="2024-02-27T00:00:00"/>
    <s v="Valid"/>
    <n v="0"/>
    <s v="Valid"/>
    <s v="CUST-8172"/>
    <s v="Sneha Kapoor"/>
    <s v="Sneha Kapoor"/>
    <s v="Consumer"/>
    <x v="0"/>
    <s v="East"/>
    <x v="1"/>
    <s v="Jharkhand"/>
    <s v="Ranchi"/>
    <s v="Furniture"/>
    <x v="1"/>
    <x v="4"/>
    <s v="Elite Chairs 314"/>
    <s v="Second Class"/>
    <x v="0"/>
    <n v="3"/>
    <n v="3148.09"/>
    <n v="0.15"/>
    <n v="0.15"/>
    <n v="8027.6295"/>
    <n v="8027.63"/>
    <n v="5496.09"/>
    <n v="2531.54"/>
    <s v="Paid"/>
    <s v="Completed"/>
    <x v="0"/>
    <s v="Valid"/>
    <n v="2531.54"/>
    <n v="0.31535336801480435"/>
    <x v="6"/>
    <x v="0"/>
    <s v="Clean"/>
  </r>
  <r>
    <s v="ORD-2025-10553"/>
    <s v="24-01-2025"/>
    <d v="2025-01-24T00:00:00"/>
    <s v="30 Jan 2025"/>
    <d v="2025-01-30T00:00:00"/>
    <s v="Valid"/>
    <n v="6"/>
    <s v="Valid"/>
    <s v="CUST-8861"/>
    <s v="Ananya Rao"/>
    <s v="Ananya Rao"/>
    <s v="Corporate"/>
    <x v="2"/>
    <s v="East"/>
    <x v="1"/>
    <s v="West Bengal"/>
    <s v="Kolkata"/>
    <s v="Technology"/>
    <x v="2"/>
    <x v="6"/>
    <s v="Pro Copiers 246"/>
    <s v="Standard Class"/>
    <x v="3"/>
    <n v="8"/>
    <n v="312.52999999999997"/>
    <s v="70%"/>
    <s v="70%"/>
    <n v="750.072"/>
    <n v="1875.18"/>
    <n v="1579.17"/>
    <n v="296.01"/>
    <s v="Paid"/>
    <s v="Completed"/>
    <x v="0"/>
    <s v="Invalid - Discount Above Range"/>
    <n v="296.01"/>
    <n v="0.39464211435702173"/>
    <x v="10"/>
    <x v="1"/>
    <s v="Clean"/>
  </r>
  <r>
    <s v="ORD-2025-10554"/>
    <s v="04/25/2025"/>
    <d v="2025-04-25T00:00:00"/>
    <s v="2025-04-28"/>
    <d v="2025-04-28T00:00:00"/>
    <s v="Valid"/>
    <n v="3"/>
    <s v="Valid"/>
    <s v="CUST-9241"/>
    <s v="Aarav Sharma"/>
    <s v="Aarav Sharma"/>
    <s v="Small Business"/>
    <x v="1"/>
    <s v="West"/>
    <x v="3"/>
    <s v="Gujarat"/>
    <s v="Ahmedabad"/>
    <s v="Office Supplies"/>
    <x v="0"/>
    <x v="8"/>
    <s v="Pro Storage 128"/>
    <s v="First Class"/>
    <x v="2"/>
    <n v="9"/>
    <n v="1294.1099999999999"/>
    <n v="0.25"/>
    <n v="0.25"/>
    <n v="8735.2425000000003"/>
    <n v="8735.24"/>
    <n v="6620.07"/>
    <n v="2115.17"/>
    <s v="Paid"/>
    <s v="Completed"/>
    <x v="0"/>
    <s v="Valid"/>
    <n v="2115.17"/>
    <n v="0.24214210424038027"/>
    <x v="5"/>
    <x v="1"/>
    <s v="Clean"/>
  </r>
  <r>
    <s v="ORD-2024-10555"/>
    <s v="2024-10-12"/>
    <d v="2024-10-12T00:00:00"/>
    <s v="17 Oct 2024"/>
    <d v="2024-10-17T00:00:00"/>
    <s v="Valid"/>
    <n v="5"/>
    <s v="Valid"/>
    <s v="CUST-2126"/>
    <s v="Arjun Bose"/>
    <s v="Arjun Bose"/>
    <s v="Consumer"/>
    <x v="0"/>
    <m/>
    <x v="4"/>
    <s v="Jharkhand"/>
    <s v="Ranchi"/>
    <s v="Furniture"/>
    <x v="1"/>
    <x v="3"/>
    <s v="Prime Furnishings 892"/>
    <s v="Standard Class"/>
    <x v="3"/>
    <n v="4"/>
    <n v="1071.22"/>
    <n v="0.05"/>
    <n v="0.05"/>
    <n v="4070.636"/>
    <n v="4070.64"/>
    <n v="2831.62"/>
    <n v="1239.02"/>
    <s v="Paid"/>
    <s v="Completed"/>
    <x v="0"/>
    <s v="Valid"/>
    <n v="1239.02"/>
    <n v="0.30437995438550636"/>
    <x v="9"/>
    <x v="0"/>
    <s v="Clean"/>
  </r>
  <r>
    <s v="ORD-2025-10556"/>
    <s v="04-02-2025"/>
    <d v="2025-02-04T00:00:00"/>
    <s v="10 Feb 2025"/>
    <d v="2025-02-10T00:00:00"/>
    <s v="Valid"/>
    <n v="6"/>
    <s v="Valid"/>
    <s v="CUST-7513"/>
    <s v="Ananya Rao"/>
    <s v="Ananya Rao"/>
    <s v="Small Business"/>
    <x v="1"/>
    <s v="South"/>
    <x v="2"/>
    <s v="Telangana"/>
    <s v="Hyderabad"/>
    <s v="Office Supplies"/>
    <x v="0"/>
    <x v="8"/>
    <s v="Prime Storage 689"/>
    <s v="Standard Class"/>
    <x v="3"/>
    <n v="6"/>
    <n v="1042.8"/>
    <n v="0.05"/>
    <n v="0.05"/>
    <n v="5943.9599999999991"/>
    <n v="5943.96"/>
    <n v="3604.14"/>
    <n v="2339.8200000000002"/>
    <s v="Paid"/>
    <s v="Completed"/>
    <x v="0"/>
    <s v="Valid"/>
    <n v="2339.8200000000002"/>
    <n v="0.39364665980255598"/>
    <x v="6"/>
    <x v="1"/>
    <s v="Clean"/>
  </r>
  <r>
    <s v="ORD-2024-10557"/>
    <s v="23 Jun 2024"/>
    <d v="2024-06-23T00:00:00"/>
    <s v="2024-06-29"/>
    <d v="2024-06-29T00:00:00"/>
    <s v="Valid"/>
    <n v="6"/>
    <s v="Valid"/>
    <s v="CUST-1992"/>
    <s v="Neha Gupta"/>
    <s v="Neha Gupta"/>
    <s v="Consumer"/>
    <x v="0"/>
    <s v="North"/>
    <x v="0"/>
    <s v="Haryana"/>
    <s v="Gurugram"/>
    <s v="Furniture"/>
    <x v="1"/>
    <x v="1"/>
    <s v="Classic Tables 769"/>
    <s v="First Class"/>
    <x v="2"/>
    <n v="1"/>
    <n v="4426.66"/>
    <n v="0"/>
    <n v="0"/>
    <n v="4426.66"/>
    <n v="4426.66"/>
    <n v="3035.2"/>
    <n v="1816.23"/>
    <s v="Paid"/>
    <s v="Returned"/>
    <x v="2"/>
    <s v="Valid"/>
    <n v="1391.46"/>
    <n v="0.31433631677156143"/>
    <x v="2"/>
    <x v="0"/>
    <s v="Clean"/>
  </r>
  <r>
    <s v="ORD-2024-10558"/>
    <s v="2024-05-08"/>
    <d v="2024-05-08T00:00:00"/>
    <s v="14-05-2024"/>
    <d v="2024-05-14T00:00:00"/>
    <s v="Valid"/>
    <n v="6"/>
    <s v="Valid"/>
    <s v="CUST-8848"/>
    <s v="Vikram Iyer"/>
    <s v="Vikram Iyer"/>
    <s v="Home Office"/>
    <x v="3"/>
    <s v="North"/>
    <x v="0"/>
    <s v="Haryana"/>
    <s v="Gurugram"/>
    <s v="Technology"/>
    <x v="2"/>
    <x v="11"/>
    <s v="Prime Phones 503"/>
    <s v="First Class"/>
    <x v="2"/>
    <n v="9"/>
    <n v="3769.46"/>
    <n v="0.05"/>
    <n v="0.05"/>
    <n v="32228.882999999998"/>
    <n v="32228.880000000001"/>
    <n v="24971.360000000001"/>
    <n v="7257.52"/>
    <s v="Paid"/>
    <s v="Cancelled"/>
    <x v="1"/>
    <s v="Valid"/>
    <n v="7257.52"/>
    <n v="0.22518683008654072"/>
    <x v="4"/>
    <x v="0"/>
    <s v="Clean"/>
  </r>
  <r>
    <s v="ORD-2025-10559"/>
    <s v="2025-09-04"/>
    <d v="2025-09-04T00:00:00"/>
    <s v="09/04/2025"/>
    <d v="2025-09-04T00:00:00"/>
    <s v="Valid"/>
    <n v="0"/>
    <s v="Valid"/>
    <s v="CUST-9368"/>
    <s v="Aditi Sen"/>
    <s v="Aditi Sen"/>
    <s v="Corporate"/>
    <x v="2"/>
    <s v="North"/>
    <x v="0"/>
    <s v="Punjab"/>
    <s v="Ludhiana"/>
    <s v="Technology"/>
    <x v="2"/>
    <x v="12"/>
    <s v="Basic Machines 136"/>
    <s v="First Class"/>
    <x v="2"/>
    <n v="8"/>
    <n v="3079.95"/>
    <n v="0.2"/>
    <n v="0.2"/>
    <n v="19711.68"/>
    <n v="19711.68"/>
    <n v="14461.8"/>
    <n v="5249.88"/>
    <s v="Paid"/>
    <s v="Completed"/>
    <x v="0"/>
    <s v="Valid"/>
    <n v="5249.880000000001"/>
    <n v="0.26633346320557155"/>
    <x v="7"/>
    <x v="1"/>
    <s v="Clean"/>
  </r>
  <r>
    <s v="ORD-2025-10560"/>
    <s v="30 Sep 2025"/>
    <d v="2025-09-30T00:00:00"/>
    <s v="2025-10-07"/>
    <d v="2025-10-07T00:00:00"/>
    <s v="Valid"/>
    <n v="7"/>
    <s v="Valid"/>
    <s v="CUST-6797"/>
    <s v="Diya Patel"/>
    <s v="Diya Patel"/>
    <s v="Corporate"/>
    <x v="2"/>
    <s v="East"/>
    <x v="1"/>
    <s v="Bihar"/>
    <s v="Patna"/>
    <s v="Technology"/>
    <x v="2"/>
    <x v="6"/>
    <s v="Basic Copiers 512"/>
    <s v="Second Class"/>
    <x v="0"/>
    <n v="5"/>
    <n v="3277.82"/>
    <n v="0.1"/>
    <n v="0.1"/>
    <n v="14750.190000000002"/>
    <n v="14750.19"/>
    <n v="9482.58"/>
    <n v="5267.61"/>
    <s v="Paid"/>
    <s v="Returned"/>
    <x v="2"/>
    <s v="Valid"/>
    <n v="5267.6100000000006"/>
    <n v="0.35712150148574356"/>
    <x v="7"/>
    <x v="1"/>
    <s v="Clean"/>
  </r>
  <r>
    <s v="ORD-2024-10561"/>
    <s v="2024-01-16"/>
    <d v="2024-01-16T00:00:00"/>
    <s v="22-01-2024"/>
    <d v="2024-01-22T00:00:00"/>
    <s v="Valid"/>
    <n v="6"/>
    <s v="Valid"/>
    <s v="CUST-9333"/>
    <s v="Arjun Bose"/>
    <s v="Arjun Bose"/>
    <s v="Consumer"/>
    <x v="0"/>
    <s v="West"/>
    <x v="3"/>
    <s v="Goa"/>
    <s v="Panaji"/>
    <s v="Office Supplies"/>
    <x v="0"/>
    <x v="8"/>
    <s v="Smart Storage 767"/>
    <s v="Standard Class"/>
    <x v="3"/>
    <n v="4"/>
    <n v="282.52999999999997"/>
    <n v="0"/>
    <n v="0"/>
    <n v="1130.1199999999999"/>
    <n v="1130.1199999999999"/>
    <n v="848.62"/>
    <n v="281.5"/>
    <s v="Paid"/>
    <s v="Cancelled"/>
    <x v="1"/>
    <s v="Valid"/>
    <n v="281.49999999999989"/>
    <n v="0.249088592361873"/>
    <x v="10"/>
    <x v="0"/>
    <s v="Clean"/>
  </r>
  <r>
    <s v="ORD-2025-10562"/>
    <s v="2025-07-14"/>
    <d v="2025-07-14T00:00:00"/>
    <s v="18 Jul 2025"/>
    <d v="2025-07-18T00:00:00"/>
    <s v="Valid"/>
    <n v="4"/>
    <s v="Valid"/>
    <s v="CUST-6654"/>
    <s v="Aditi Sen"/>
    <s v="Aditi Sen"/>
    <s v="Consumer"/>
    <x v="0"/>
    <s v="North"/>
    <x v="0"/>
    <s v="Punjab"/>
    <s v="Ludhiana"/>
    <s v="Technology"/>
    <x v="2"/>
    <x v="6"/>
    <s v="Eco Copiers 954"/>
    <s v="First Class"/>
    <x v="2"/>
    <n v="4"/>
    <n v="725.22"/>
    <n v="0"/>
    <n v="0"/>
    <n v="2900.88"/>
    <n v="2900.88"/>
    <n v="2391.85"/>
    <n v="509.03"/>
    <s v="Pending"/>
    <s v="Returned"/>
    <x v="2"/>
    <s v="Valid"/>
    <n v="509.0300000000002"/>
    <n v="0.17547433882132324"/>
    <x v="0"/>
    <x v="1"/>
    <s v="Clean"/>
  </r>
  <r>
    <s v="ORD-2024-10563"/>
    <s v="10 May 2024"/>
    <d v="2024-05-10T00:00:00"/>
    <s v="16 May 2024"/>
    <d v="2024-05-16T00:00:00"/>
    <s v="Valid"/>
    <n v="6"/>
    <s v="Valid"/>
    <s v="CUST-8622"/>
    <s v="Karan Malhotra"/>
    <s v="Karan Malhotra"/>
    <s v="Consumer"/>
    <x v="0"/>
    <s v="North"/>
    <x v="0"/>
    <s v="Punjab"/>
    <s v="Ludhiana"/>
    <s v="Office Supplies"/>
    <x v="0"/>
    <x v="9"/>
    <s v="Elite Binders 143"/>
    <s v="Same Day"/>
    <x v="1"/>
    <n v="7"/>
    <n v="121.54"/>
    <n v="0.2"/>
    <n v="0.2"/>
    <n v="680.62400000000014"/>
    <n v="680.62"/>
    <n v="463.49"/>
    <n v="217.13"/>
    <s v="Failed"/>
    <s v="Returned"/>
    <x v="2"/>
    <s v="Valid"/>
    <n v="217.13"/>
    <n v="0.31901607936246729"/>
    <x v="4"/>
    <x v="0"/>
    <s v="Clean"/>
  </r>
  <r>
    <s v="ORD-2024-10564"/>
    <s v="05/06/2024"/>
    <d v="2024-05-06T00:00:00"/>
    <s v="12-05-2024"/>
    <d v="2024-05-12T00:00:00"/>
    <s v="Valid"/>
    <n v="6"/>
    <s v="Valid"/>
    <s v="CUST-8776"/>
    <s v="Arjun Bose"/>
    <s v="Arjun Bose"/>
    <s v="Corporate"/>
    <x v="2"/>
    <s v="West"/>
    <x v="3"/>
    <s v="Goa"/>
    <s v="Panaji"/>
    <s v="Furniture"/>
    <x v="1"/>
    <x v="1"/>
    <s v="Classic Tables 560"/>
    <s v="Standard Class"/>
    <x v="3"/>
    <n v="9"/>
    <n v="790.97"/>
    <n v="0.2"/>
    <n v="0.2"/>
    <n v="5694.9840000000004"/>
    <n v="5694.98"/>
    <n v="4618.33"/>
    <n v="1076.6500000000001"/>
    <s v="Pending"/>
    <s v="Cancelled"/>
    <x v="1"/>
    <s v="Valid"/>
    <n v="1076.6499999999996"/>
    <n v="0.18905233096352853"/>
    <x v="4"/>
    <x v="0"/>
    <s v="Clean"/>
  </r>
  <r>
    <s v="ORD-2024-10565"/>
    <s v="11/10/2024"/>
    <d v="2024-11-10T00:00:00"/>
    <s v="14-11-2024"/>
    <d v="2024-11-14T00:00:00"/>
    <s v="Valid"/>
    <n v="4"/>
    <s v="Valid"/>
    <s v="CUST-9100"/>
    <s v="Sneha Kapoor"/>
    <s v="Sneha Kapoor"/>
    <s v="Corporate"/>
    <x v="2"/>
    <s v="South"/>
    <x v="2"/>
    <s v="Andhra Pradesh"/>
    <s v="Vijayawada"/>
    <s v="Furniture"/>
    <x v="1"/>
    <x v="1"/>
    <s v="Basic Tables 759"/>
    <s v="First Class"/>
    <x v="2"/>
    <n v="2"/>
    <n v="921.34"/>
    <n v="0.2"/>
    <n v="0.2"/>
    <n v="1474.1440000000002"/>
    <n v="1474.14"/>
    <n v="968.46"/>
    <n v="505.68"/>
    <s v="Paid"/>
    <s v="Completed"/>
    <x v="0"/>
    <s v="Valid"/>
    <n v="505.68000000000006"/>
    <n v="0.34303297371220176"/>
    <x v="3"/>
    <x v="0"/>
    <s v="Clean"/>
  </r>
  <r>
    <s v="ORD-2025-10566"/>
    <s v="07 Aug 2025"/>
    <d v="2025-08-07T00:00:00"/>
    <s v="13-08-2025"/>
    <d v="2025-08-13T00:00:00"/>
    <s v="Valid"/>
    <n v="6"/>
    <s v="Valid"/>
    <s v="CUST-5601"/>
    <s v="Mira Das"/>
    <s v="Mira Das"/>
    <s v="Corporate"/>
    <x v="2"/>
    <s v="North"/>
    <x v="0"/>
    <s v="Delhi"/>
    <s v="New Delhi"/>
    <s v="Technology"/>
    <x v="2"/>
    <x v="11"/>
    <s v="Prime Phones 564"/>
    <s v="Standard Class"/>
    <x v="3"/>
    <n v="6"/>
    <n v="1921.86"/>
    <n v="0.2"/>
    <n v="0.2"/>
    <n v="9224.9279999999999"/>
    <n v="9224.93"/>
    <n v="7005.2"/>
    <n v="2219.73"/>
    <s v="Refunded"/>
    <s v="Cancelled"/>
    <x v="1"/>
    <s v="Valid"/>
    <n v="2219.7300000000005"/>
    <n v="0.24062301624467969"/>
    <x v="1"/>
    <x v="1"/>
    <s v="Clean"/>
  </r>
  <r>
    <s v="ORD-2024-10567"/>
    <s v="11 Aug 2024"/>
    <d v="2024-08-11T00:00:00"/>
    <s v="2024-08-19"/>
    <d v="2024-08-19T00:00:00"/>
    <s v="Valid"/>
    <n v="8"/>
    <s v="Valid"/>
    <s v="CUST-5246"/>
    <s v="Sneha Kapoor"/>
    <s v="Sneha Kapoor"/>
    <s v="Small Business"/>
    <x v="1"/>
    <s v="West"/>
    <x v="3"/>
    <s v="Maharashtra"/>
    <s v="Mumbai"/>
    <s v="Office Supplies"/>
    <x v="0"/>
    <x v="0"/>
    <s v="Smart Paper 807"/>
    <s v="Same Day"/>
    <x v="1"/>
    <n v="2"/>
    <n v="2617.89"/>
    <n v="0.1"/>
    <n v="0.1"/>
    <n v="4712.2020000000002"/>
    <n v="4712.2"/>
    <n v="3851.91"/>
    <n v="860.29"/>
    <s v="Failed"/>
    <s v="Returned"/>
    <x v="2"/>
    <s v="Valid"/>
    <n v="860.29"/>
    <n v="0.18256645194751836"/>
    <x v="1"/>
    <x v="0"/>
    <s v="Clean"/>
  </r>
  <r>
    <s v="ORD-2024-10568"/>
    <s v="06 Feb 2024"/>
    <d v="2024-02-06T00:00:00"/>
    <s v="10-02-2024"/>
    <d v="2024-02-10T00:00:00"/>
    <s v="Valid"/>
    <n v="4"/>
    <s v="Valid"/>
    <s v="CUST-3128"/>
    <s v="Arjun Bose"/>
    <s v="Arjun Bose"/>
    <s v="Home Office"/>
    <x v="3"/>
    <s v="North"/>
    <x v="0"/>
    <s v="Uttar Pradesh"/>
    <s v="Noida"/>
    <s v="Furniture"/>
    <x v="1"/>
    <x v="3"/>
    <s v="Pro Furnishings 108"/>
    <s v="Same Day"/>
    <x v="1"/>
    <n v="1"/>
    <n v="1374.06"/>
    <n v="0.05"/>
    <n v="0.05"/>
    <n v="1305.357"/>
    <n v="1305.3599999999999"/>
    <n v="731.89"/>
    <n v="573.47"/>
    <s v="Paid"/>
    <s v="Completed"/>
    <x v="0"/>
    <s v="Valid"/>
    <n v="573.46999999999991"/>
    <n v="0.43932043111577901"/>
    <x v="6"/>
    <x v="0"/>
    <s v="Clean"/>
  </r>
  <r>
    <s v="ORD-2024-10569"/>
    <s v="21 Jan 2024"/>
    <d v="2024-01-21T00:00:00"/>
    <s v="24 Jan 2024"/>
    <d v="2024-01-24T00:00:00"/>
    <s v="Valid"/>
    <n v="3"/>
    <s v="Valid"/>
    <s v="CUST-4604"/>
    <s v="Kabir Singh"/>
    <s v="Kabir Singh"/>
    <s v="Corporate"/>
    <x v="2"/>
    <s v="North"/>
    <x v="0"/>
    <s v="Punjab"/>
    <s v="Ludhiana"/>
    <s v="Technology"/>
    <x v="2"/>
    <x v="12"/>
    <s v="Classic Machines 522"/>
    <s v="Same Day"/>
    <x v="1"/>
    <n v="1"/>
    <n v="3806.3"/>
    <n v="0.25"/>
    <n v="0.25"/>
    <n v="2854.7250000000004"/>
    <n v="2854.73"/>
    <n v="1968.12"/>
    <n v="886.61"/>
    <s v="Paid"/>
    <s v="Completed"/>
    <x v="0"/>
    <s v="Valid"/>
    <n v="886.61000000000013"/>
    <n v="0.31057632521521339"/>
    <x v="10"/>
    <x v="0"/>
    <s v="Clean"/>
  </r>
  <r>
    <s v="ORD-2025-10570"/>
    <s v="09/08/2025"/>
    <d v="2025-09-08T00:00:00"/>
    <s v="2025-09-10"/>
    <d v="2025-09-10T00:00:00"/>
    <s v="Valid"/>
    <n v="2"/>
    <s v="Valid"/>
    <s v="CUST-2586"/>
    <s v="Rahul Verma"/>
    <s v="Rahul Verma"/>
    <s v="Home Office"/>
    <x v="3"/>
    <s v="West"/>
    <x v="3"/>
    <s v="Maharashtra"/>
    <s v="Mumbai"/>
    <s v="Furniture"/>
    <x v="1"/>
    <x v="3"/>
    <s v="Elite Furnishings 822"/>
    <s v="Standard Class"/>
    <x v="3"/>
    <n v="6"/>
    <n v="3251.17"/>
    <n v="0.25"/>
    <n v="0.25"/>
    <n v="14630.264999999999"/>
    <n v="14630.26"/>
    <n v="11906.36"/>
    <n v="2723.9"/>
    <s v="Refunded"/>
    <s v="Returned"/>
    <x v="2"/>
    <s v="Valid"/>
    <n v="2723.8999999999996"/>
    <n v="0.18618254693267686"/>
    <x v="7"/>
    <x v="1"/>
    <s v="Clean"/>
  </r>
  <r>
    <s v="ORD-2025-10571"/>
    <s v="2025-08-18"/>
    <d v="2025-08-18T00:00:00"/>
    <s v="08/22/2025"/>
    <d v="2025-08-22T00:00:00"/>
    <s v="Valid"/>
    <n v="4"/>
    <s v="Valid"/>
    <s v="CUST-6585"/>
    <s v="Arjun Bose"/>
    <s v="Arjun Bose"/>
    <s v="Consumer"/>
    <x v="0"/>
    <s v="East"/>
    <x v="1"/>
    <s v="Jharkhand"/>
    <s v="Ranchi"/>
    <s v="Furniture"/>
    <x v="1"/>
    <x v="3"/>
    <s v="Max Furnishings 647"/>
    <s v="Second Class"/>
    <x v="0"/>
    <n v="3"/>
    <n v="3946.44"/>
    <n v="0.25"/>
    <n v="0.25"/>
    <n v="8879.49"/>
    <n v="8879.49"/>
    <n v="6344.57"/>
    <n v="2534.92"/>
    <s v="Failed"/>
    <s v="Returned"/>
    <x v="2"/>
    <s v="Valid"/>
    <n v="2534.92"/>
    <n v="0.28548035979543873"/>
    <x v="1"/>
    <x v="1"/>
    <s v="Clean"/>
  </r>
  <r>
    <s v="ORD-2025-10572"/>
    <s v="10 Feb 2025"/>
    <d v="2025-02-10T00:00:00"/>
    <s v="2025-02-14"/>
    <d v="2025-02-14T00:00:00"/>
    <s v="Valid"/>
    <n v="4"/>
    <s v="Valid"/>
    <s v="CUST-3425"/>
    <s v="Priya Menon"/>
    <s v="Priya Menon"/>
    <s v="Small Business"/>
    <x v="1"/>
    <s v="North"/>
    <x v="0"/>
    <s v="Uttar Pradesh"/>
    <s v="Noida"/>
    <s v="Technology"/>
    <x v="2"/>
    <x v="11"/>
    <s v="Prime Phones 895"/>
    <m/>
    <x v="4"/>
    <n v="5"/>
    <n v="4276.29"/>
    <n v="0"/>
    <n v="0"/>
    <n v="21381.45"/>
    <n v="21381.45"/>
    <n v="13240.21"/>
    <n v="8141.24"/>
    <s v="Failed"/>
    <s v="Returned"/>
    <x v="2"/>
    <s v="Valid"/>
    <n v="8141.2400000000016"/>
    <n v="0.38076182859441249"/>
    <x v="6"/>
    <x v="1"/>
    <s v="Clean"/>
  </r>
  <r>
    <s v="ORD-2024-10573"/>
    <s v="01/02/2024"/>
    <d v="2024-01-02T00:00:00"/>
    <s v="09-01-2024"/>
    <d v="2024-01-09T00:00:00"/>
    <s v="Valid"/>
    <n v="7"/>
    <s v="Valid"/>
    <s v="CUST-8633"/>
    <s v="Diya Patel"/>
    <s v="Diya Patel"/>
    <s v="Corporate"/>
    <x v="2"/>
    <s v="North"/>
    <x v="0"/>
    <s v="Delhi"/>
    <s v="New Delhi"/>
    <s v="Technology"/>
    <x v="2"/>
    <x v="11"/>
    <s v="Eco Phones 368"/>
    <s v="Standard Class"/>
    <x v="3"/>
    <n v="3"/>
    <n v="739.56"/>
    <n v="0.2"/>
    <n v="0.2"/>
    <n v="1774.944"/>
    <n v="1774.94"/>
    <n v="1007.4"/>
    <n v="767.54"/>
    <s v="Paid"/>
    <s v="Completed"/>
    <x v="0"/>
    <s v="Valid"/>
    <n v="767.54000000000008"/>
    <n v="0.43243054428759448"/>
    <x v="10"/>
    <x v="0"/>
    <s v="Clean"/>
  </r>
  <r>
    <s v="ORD-2025-10574"/>
    <s v="09/22/2025"/>
    <d v="2025-09-22T00:00:00"/>
    <s v="09/26/2025"/>
    <d v="2025-09-26T00:00:00"/>
    <s v="Valid"/>
    <n v="4"/>
    <s v="Valid"/>
    <s v="CUST-8243"/>
    <s v="Isha Nair"/>
    <s v="Isha Nair"/>
    <s v="Consumer"/>
    <x v="0"/>
    <s v="South"/>
    <x v="2"/>
    <s v="Andhra Pradesh"/>
    <s v="Vijayawada"/>
    <s v="Technology"/>
    <x v="2"/>
    <x v="11"/>
    <s v="Pro Phones 644"/>
    <s v="Standard Class"/>
    <x v="3"/>
    <n v="1"/>
    <n v="573.65"/>
    <n v="0"/>
    <n v="0"/>
    <n v="573.65"/>
    <n v="573.65"/>
    <n v="322.67"/>
    <n v="250.98"/>
    <s v="Paid"/>
    <s v="Completed"/>
    <x v="0"/>
    <s v="Valid"/>
    <n v="250.97999999999996"/>
    <n v="0.43751416368866031"/>
    <x v="7"/>
    <x v="1"/>
    <s v="Clean"/>
  </r>
  <r>
    <s v="ORD-2024-10575"/>
    <s v="20 Feb 2024"/>
    <d v="2024-02-20T00:00:00"/>
    <s v="25-02-2024"/>
    <d v="2024-02-25T00:00:00"/>
    <s v="Valid"/>
    <n v="5"/>
    <s v="Valid"/>
    <s v="CUST-9139"/>
    <s v="Diya Patel"/>
    <s v="Diya Patel"/>
    <s v="Home Office"/>
    <x v="3"/>
    <s v="North"/>
    <x v="0"/>
    <s v="Punjab"/>
    <s v="Ludhiana"/>
    <s v="Technology"/>
    <x v="2"/>
    <x v="12"/>
    <s v="Smart Machines 566"/>
    <s v="Standard Class"/>
    <x v="3"/>
    <n v="4"/>
    <n v="1355.8"/>
    <n v="0"/>
    <n v="0"/>
    <n v="5423.2"/>
    <n v="5423.2"/>
    <n v="4072.44"/>
    <n v="1350.76"/>
    <s v="Paid"/>
    <s v="Completed"/>
    <x v="0"/>
    <s v="Valid"/>
    <n v="1350.7599999999998"/>
    <n v="0.24907065938929043"/>
    <x v="6"/>
    <x v="0"/>
    <s v="Clean"/>
  </r>
  <r>
    <s v="ORD-2025-10576"/>
    <s v="11 Mar 2025"/>
    <d v="2025-03-11T00:00:00"/>
    <s v="14 Mar 2025"/>
    <d v="2025-03-14T00:00:00"/>
    <s v="Valid"/>
    <n v="3"/>
    <s v="Valid"/>
    <s v="CUST-5496"/>
    <s v="Sneha Kapoor"/>
    <s v="Sneha Kapoor"/>
    <s v="Home Office"/>
    <x v="3"/>
    <s v="South"/>
    <x v="2"/>
    <s v="Kerala"/>
    <s v="Kochi"/>
    <s v="Furniture"/>
    <x v="1"/>
    <x v="3"/>
    <s v="Elite Furnishings 173"/>
    <s v="Same Day"/>
    <x v="1"/>
    <n v="4"/>
    <n v="1244.82"/>
    <n v="0.2"/>
    <n v="0.2"/>
    <n v="3983.424"/>
    <n v="3983.42"/>
    <n v="3174.91"/>
    <n v="808.51"/>
    <s v="Failed"/>
    <s v="Returned"/>
    <x v="2"/>
    <s v="Valid"/>
    <n v="808.51000000000022"/>
    <n v="0.20296860188621654"/>
    <x v="11"/>
    <x v="1"/>
    <s v="Clean"/>
  </r>
  <r>
    <s v="ORD-2024-10577"/>
    <s v="17-02-2024"/>
    <d v="2024-02-17T00:00:00"/>
    <s v="02/23/2024"/>
    <d v="2024-02-23T00:00:00"/>
    <s v="Valid"/>
    <n v="6"/>
    <s v="Valid"/>
    <s v="CUST-2228"/>
    <s v="Rohan Mehta"/>
    <s v="Rohan Mehta"/>
    <s v="Home Office"/>
    <x v="3"/>
    <m/>
    <x v="4"/>
    <s v="Bihar"/>
    <s v="Patna"/>
    <s v="Office Supplies"/>
    <x v="0"/>
    <x v="9"/>
    <s v="Smart Binders 417"/>
    <s v="Standard Class"/>
    <x v="3"/>
    <n v="9"/>
    <n v="2614.46"/>
    <n v="0"/>
    <n v="0"/>
    <n v="23530.14"/>
    <n v="23530.14"/>
    <n v="19537.79"/>
    <n v="3992.35"/>
    <s v="Refunded"/>
    <s v="Returned"/>
    <x v="2"/>
    <s v="Valid"/>
    <n v="3992.3499999999985"/>
    <n v="0.16966962372514566"/>
    <x v="6"/>
    <x v="0"/>
    <s v="Clean"/>
  </r>
  <r>
    <s v="ORD-2025-10578"/>
    <s v="08/28/2025"/>
    <d v="2025-08-28T00:00:00"/>
    <s v="2025-09-03"/>
    <d v="2025-09-03T00:00:00"/>
    <s v="Valid"/>
    <n v="6"/>
    <s v="Valid"/>
    <s v="CUST-4151"/>
    <s v="Priya Menon"/>
    <s v="Priya Menon"/>
    <s v="Corporate"/>
    <x v="2"/>
    <s v="West"/>
    <x v="3"/>
    <s v="Madhya Pradesh"/>
    <s v="Indore"/>
    <s v="Furniture"/>
    <x v="1"/>
    <x v="3"/>
    <s v="Smart Furnishings 714"/>
    <s v="Standard Class"/>
    <x v="3"/>
    <n v="7"/>
    <n v="268.45"/>
    <n v="0"/>
    <n v="0"/>
    <n v="1879.1499999999999"/>
    <n v="1879.15"/>
    <n v="1134.9000000000001"/>
    <n v="744.25"/>
    <s v="Paid"/>
    <s v="Completed"/>
    <x v="0"/>
    <s v="Valid"/>
    <n v="744.25"/>
    <n v="0.39605672777585615"/>
    <x v="1"/>
    <x v="1"/>
    <s v="Clean"/>
  </r>
  <r>
    <s v="ORD-2024-10579"/>
    <s v="2024-02-21"/>
    <d v="2024-02-21T00:00:00"/>
    <s v="23-02-2024"/>
    <d v="2024-02-23T00:00:00"/>
    <s v="Valid"/>
    <n v="2"/>
    <s v="Valid"/>
    <s v="CUST-4900"/>
    <s v="Neha Gupta"/>
    <s v="Neha Gupta"/>
    <s v="Small Business"/>
    <x v="1"/>
    <s v="West"/>
    <x v="3"/>
    <s v="Gujarat"/>
    <s v="Ahmedabad"/>
    <s v="Technology"/>
    <x v="2"/>
    <x v="6"/>
    <s v="Elite Copiers 682"/>
    <s v="First Class"/>
    <x v="2"/>
    <n v="6"/>
    <n v="2633.65"/>
    <n v="0.05"/>
    <n v="0.05"/>
    <n v="15011.805"/>
    <n v="15011.81"/>
    <n v="9660.36"/>
    <n v="5351.45"/>
    <s v="Paid"/>
    <s v="Completed"/>
    <x v="0"/>
    <s v="Valid"/>
    <n v="5351.4499999999989"/>
    <n v="0.35648278138438372"/>
    <x v="6"/>
    <x v="0"/>
    <s v="Clean"/>
  </r>
  <r>
    <s v="ORD-2024-10580"/>
    <s v="19-06-2024"/>
    <d v="2024-06-19T00:00:00"/>
    <s v="24 Jun 2024"/>
    <d v="2024-06-24T00:00:00"/>
    <s v="Valid"/>
    <n v="5"/>
    <s v="Valid"/>
    <s v="CUST-9617"/>
    <s v="Aarav Sharma"/>
    <s v="Aarav Sharma"/>
    <s v="Small Business"/>
    <x v="1"/>
    <s v="South"/>
    <x v="2"/>
    <s v="Tamil Nadu"/>
    <s v="Chennai"/>
    <s v="Office Supplies"/>
    <x v="0"/>
    <x v="8"/>
    <s v="Pro Storage 482"/>
    <s v="Same Day"/>
    <x v="1"/>
    <n v="1"/>
    <n v="3202.41"/>
    <n v="0"/>
    <n v="0"/>
    <n v="3202.41"/>
    <n v="3202.41"/>
    <n v="2608.44"/>
    <n v="593.97"/>
    <s v="Paid"/>
    <s v="Completed"/>
    <x v="0"/>
    <s v="Valid"/>
    <n v="593.9699999999998"/>
    <n v="0.18547593843386695"/>
    <x v="2"/>
    <x v="0"/>
    <s v="Clean"/>
  </r>
  <r>
    <s v="ORD-2025-10581"/>
    <s v="06-03-2025"/>
    <d v="2025-03-06T00:00:00"/>
    <s v="03/13/2025"/>
    <d v="2025-03-13T00:00:00"/>
    <s v="Valid"/>
    <n v="7"/>
    <s v="Valid"/>
    <s v="CUST-7958"/>
    <s v="Kabir Singh"/>
    <s v="Kabir Singh"/>
    <s v="Consumer"/>
    <x v="0"/>
    <s v="South"/>
    <x v="2"/>
    <s v="Kerala"/>
    <s v="Kochi"/>
    <s v="Furniture"/>
    <x v="1"/>
    <x v="4"/>
    <s v="Pro Chairs 888"/>
    <s v="Standard Class"/>
    <x v="3"/>
    <n v="3"/>
    <n v="163.72"/>
    <n v="0.15"/>
    <n v="0.15"/>
    <n v="417.48599999999999"/>
    <n v="417.49"/>
    <n v="261.67"/>
    <n v="155.82"/>
    <s v="Failed"/>
    <s v="Returned"/>
    <x v="2"/>
    <s v="Valid"/>
    <n v="155.82"/>
    <n v="0.37323407251979707"/>
    <x v="11"/>
    <x v="1"/>
    <s v="Clean"/>
  </r>
  <r>
    <s v="ORD-2025-10582"/>
    <s v="2025-08-09"/>
    <d v="2025-08-09T00:00:00"/>
    <s v="08/10/2025"/>
    <d v="2025-08-10T00:00:00"/>
    <s v="Valid"/>
    <n v="1"/>
    <s v="Valid"/>
    <s v="CUST-9931"/>
    <s v="Neha Gupta"/>
    <s v="Neha Gupta"/>
    <s v="Consumer"/>
    <x v="0"/>
    <s v="North"/>
    <x v="0"/>
    <s v="Delhi"/>
    <s v="New Delhi"/>
    <s v="Office Supplies"/>
    <x v="0"/>
    <x v="2"/>
    <s v="Classic Art 611"/>
    <s v="Second Class"/>
    <x v="0"/>
    <n v="4"/>
    <n v="4080.95"/>
    <n v="0"/>
    <n v="0"/>
    <n v="16323.8"/>
    <n v="16323.8"/>
    <n v="9965.7900000000009"/>
    <n v="6358.01"/>
    <s v="Refunded"/>
    <s v="Returned"/>
    <x v="2"/>
    <s v="Valid"/>
    <n v="6358.0099999999984"/>
    <n v="0.38949325524693995"/>
    <x v="1"/>
    <x v="1"/>
    <s v="Clean"/>
  </r>
  <r>
    <s v="ORD-2024-10583"/>
    <s v="2024-10-15"/>
    <d v="2024-10-15T00:00:00"/>
    <s v="10/20/2024"/>
    <d v="2024-10-20T00:00:00"/>
    <s v="Valid"/>
    <n v="5"/>
    <s v="Valid"/>
    <s v="CUST-2088"/>
    <s v="Ananya Rao"/>
    <s v="Ananya Rao"/>
    <s v="Consumer"/>
    <x v="0"/>
    <s v="East"/>
    <x v="1"/>
    <s v="Odisha"/>
    <s v="Bhubaneswar"/>
    <s v="Office Supplies"/>
    <x v="0"/>
    <x v="2"/>
    <s v="Basic Art 174"/>
    <s v="First Class"/>
    <x v="2"/>
    <n v="5"/>
    <n v="671.24"/>
    <n v="0"/>
    <n v="0"/>
    <n v="3356.2"/>
    <n v="3356.2"/>
    <n v="2205.7199999999998"/>
    <n v="1150.48"/>
    <s v="Pending"/>
    <s v="Returned"/>
    <x v="2"/>
    <s v="Valid"/>
    <n v="1150.48"/>
    <n v="0.34279244383528995"/>
    <x v="9"/>
    <x v="0"/>
    <s v="Clean"/>
  </r>
  <r>
    <s v="ORD-2024-10584"/>
    <s v="28 Feb 2024"/>
    <d v="2024-02-28T00:00:00"/>
    <s v="02/28/2024"/>
    <d v="2024-02-28T00:00:00"/>
    <s v="Valid"/>
    <n v="0"/>
    <s v="Valid"/>
    <s v="CUST-1686"/>
    <s v="Rohan Mehta"/>
    <s v="Rohan Mehta"/>
    <s v="Small Business"/>
    <x v="1"/>
    <s v="East"/>
    <x v="1"/>
    <s v="West Bengal"/>
    <s v="Kolkata"/>
    <s v="Office Supplies"/>
    <x v="0"/>
    <x v="8"/>
    <s v="Classic Storage 451"/>
    <s v="First Class"/>
    <x v="2"/>
    <n v="1"/>
    <n v="2626.84"/>
    <n v="0.2"/>
    <n v="0.2"/>
    <n v="2101.4720000000002"/>
    <n v="2101.4699999999998"/>
    <n v="1217.83"/>
    <n v="883.64"/>
    <s v="Failed"/>
    <s v="Returned"/>
    <x v="2"/>
    <s v="Valid"/>
    <n v="883.63999999999987"/>
    <n v="0.42048621156979477"/>
    <x v="6"/>
    <x v="0"/>
    <s v="Clean"/>
  </r>
  <r>
    <s v="ORD-2024-10585"/>
    <s v="08/04/2024"/>
    <d v="2024-08-04T00:00:00"/>
    <s v="10-08-2024"/>
    <d v="2024-08-10T00:00:00"/>
    <s v="Valid"/>
    <n v="6"/>
    <s v="Valid"/>
    <s v="CUST-4894"/>
    <s v="Vikram Iyer"/>
    <s v="Vikram Iyer"/>
    <s v="Consumer"/>
    <x v="0"/>
    <s v="East"/>
    <x v="1"/>
    <s v="Bihar"/>
    <s v="Patna"/>
    <s v="Office Supplies"/>
    <x v="0"/>
    <x v="2"/>
    <s v="Pro Art 172"/>
    <s v="Same Day"/>
    <x v="1"/>
    <n v="1"/>
    <n v="984.93"/>
    <n v="0.15"/>
    <n v="0.15"/>
    <n v="837.19049999999993"/>
    <n v="837.19"/>
    <n v="583.79"/>
    <n v="253.4"/>
    <s v="Pending"/>
    <s v="Returned"/>
    <x v="2"/>
    <s v="Valid"/>
    <n v="253.40000000000009"/>
    <n v="0.30267901988854401"/>
    <x v="1"/>
    <x v="0"/>
    <s v="Clean"/>
  </r>
  <r>
    <s v="ORD-2025-10586"/>
    <s v="22 Jun 2025"/>
    <d v="2025-06-22T00:00:00"/>
    <s v="2025-06-25"/>
    <d v="2025-06-25T00:00:00"/>
    <s v="Valid"/>
    <n v="3"/>
    <s v="Valid"/>
    <s v="CUST-5201"/>
    <s v="Diya Patel"/>
    <s v="Diya Patel"/>
    <s v="Small Business"/>
    <x v="1"/>
    <s v="West"/>
    <x v="3"/>
    <s v="Maharashtra"/>
    <s v="Mumbai"/>
    <s v="Technology"/>
    <x v="2"/>
    <x v="11"/>
    <s v="Prime Phones 744"/>
    <s v="First Class"/>
    <x v="2"/>
    <n v="8"/>
    <n v="3453.66"/>
    <n v="0"/>
    <n v="0"/>
    <n v="27629.279999999999"/>
    <n v="27629.279999999999"/>
    <n v="22026.48"/>
    <n v="5602.8"/>
    <s v="Paid"/>
    <s v="Completed"/>
    <x v="0"/>
    <s v="Valid"/>
    <n v="5602.7999999999993"/>
    <n v="0.20278487170132553"/>
    <x v="2"/>
    <x v="1"/>
    <s v="Clean"/>
  </r>
  <r>
    <s v="ORD-2025-10587"/>
    <s v="12-04-2025"/>
    <d v="2025-04-12T00:00:00"/>
    <s v="12 Apr 2025"/>
    <d v="2025-04-12T00:00:00"/>
    <s v="Valid"/>
    <n v="0"/>
    <s v="Valid"/>
    <s v="CUST-8626"/>
    <s v="Mira Das"/>
    <s v="Mira Das"/>
    <s v="Home Office"/>
    <x v="3"/>
    <s v="North"/>
    <x v="0"/>
    <s v="Punjab"/>
    <s v="Ludhiana"/>
    <s v="Office Supplies"/>
    <x v="0"/>
    <x v="9"/>
    <s v="Prime Binders 249"/>
    <s v="Second Class"/>
    <x v="0"/>
    <n v="7"/>
    <n v="1334.2"/>
    <n v="0.2"/>
    <n v="0.2"/>
    <n v="7471.52"/>
    <n v="7471.52"/>
    <n v="6184.32"/>
    <n v="1287.2"/>
    <s v="Paid"/>
    <s v="Completed"/>
    <x v="0"/>
    <s v="Valid"/>
    <n v="1287.2000000000007"/>
    <n v="0.17228087457438387"/>
    <x v="5"/>
    <x v="1"/>
    <s v="Clean"/>
  </r>
  <r>
    <s v="ORD-2025-10588"/>
    <s v="23-07-2025"/>
    <d v="2025-07-23T00:00:00"/>
    <s v="2025-07-31"/>
    <d v="2025-07-31T00:00:00"/>
    <s v="Valid"/>
    <n v="8"/>
    <s v="Valid"/>
    <s v="CUST-1013"/>
    <s v="Kabir Singh"/>
    <s v="Kabir Singh"/>
    <s v="Home Office"/>
    <x v="3"/>
    <s v="West"/>
    <x v="3"/>
    <s v="Madhya Pradesh"/>
    <s v="Indore"/>
    <s v="Technology"/>
    <x v="2"/>
    <x v="5"/>
    <s v="Eco Accessories 948"/>
    <s v="First Class"/>
    <x v="2"/>
    <n v="1"/>
    <n v="4253.84"/>
    <n v="0.15"/>
    <n v="0.15"/>
    <n v="3615.7640000000001"/>
    <n v="3615.76"/>
    <n v="2951.52"/>
    <n v="664.24"/>
    <s v="Refunded"/>
    <s v="Cancelled"/>
    <x v="1"/>
    <s v="Valid"/>
    <n v="664.24000000000024"/>
    <n v="0.18370667997136989"/>
    <x v="0"/>
    <x v="1"/>
    <s v="Clean"/>
  </r>
  <r>
    <s v="ORD-2025-10589"/>
    <s v="2025-03-11"/>
    <d v="2025-03-11T00:00:00"/>
    <s v="15 Mar 2025"/>
    <d v="2025-03-15T00:00:00"/>
    <s v="Valid"/>
    <n v="4"/>
    <s v="Valid"/>
    <s v="CUST-3601"/>
    <s v="Aarav Sharma"/>
    <s v="Aarav Sharma"/>
    <s v="Home Office"/>
    <x v="3"/>
    <s v="South"/>
    <x v="2"/>
    <s v="Karnataka"/>
    <s v="Bengaluru"/>
    <s v="Technology"/>
    <x v="2"/>
    <x v="5"/>
    <s v="Classic Accessories 458"/>
    <s v="Second Class"/>
    <x v="0"/>
    <n v="8"/>
    <n v="4446.3599999999997"/>
    <n v="0.1"/>
    <n v="0.1"/>
    <n v="32013.791999999998"/>
    <n v="32013.79"/>
    <n v="20896.88"/>
    <n v="11116.91"/>
    <s v="Refunded"/>
    <s v="Cancelled"/>
    <x v="1"/>
    <s v="Valid"/>
    <n v="11116.91"/>
    <n v="0.34725377112464528"/>
    <x v="11"/>
    <x v="1"/>
    <s v="Clean"/>
  </r>
  <r>
    <s v="ORD-2024-10590"/>
    <s v="06 Dec 2024"/>
    <d v="2024-12-06T00:00:00"/>
    <s v="12/12/2024"/>
    <d v="2024-12-12T00:00:00"/>
    <s v="Valid"/>
    <n v="6"/>
    <s v="Valid"/>
    <s v="CUST-7846"/>
    <s v="Rohan Mehta"/>
    <s v="Rohan Mehta"/>
    <s v="Corporate"/>
    <x v="2"/>
    <s v="North"/>
    <x v="0"/>
    <s v="Uttar Pradesh"/>
    <s v="Noida"/>
    <s v="Technology"/>
    <x v="2"/>
    <x v="11"/>
    <s v="Max Phones 318"/>
    <s v="First Class"/>
    <x v="2"/>
    <n v="3"/>
    <n v="524.75"/>
    <n v="0"/>
    <n v="0"/>
    <n v="1574.25"/>
    <n v="1574.25"/>
    <n v="1326.12"/>
    <n v="248.13"/>
    <s v="Paid"/>
    <s v="Completed"/>
    <x v="0"/>
    <s v="Valid"/>
    <n v="248.13000000000011"/>
    <n v="0.15761791329204389"/>
    <x v="8"/>
    <x v="0"/>
    <s v="Clean"/>
  </r>
  <r>
    <s v="ORD-2024-10591"/>
    <s v="29-05-2024"/>
    <d v="2024-05-29T00:00:00"/>
    <s v="2024-05-29"/>
    <d v="2024-05-29T00:00:00"/>
    <s v="Valid"/>
    <n v="0"/>
    <s v="Valid"/>
    <s v="CUST-3433"/>
    <s v="Aarav Sharma"/>
    <s v="Aarav Sharma"/>
    <s v="Home Office"/>
    <x v="3"/>
    <s v="North"/>
    <x v="0"/>
    <s v="Delhi"/>
    <s v="New Delhi"/>
    <s v="Furniture"/>
    <x v="1"/>
    <x v="4"/>
    <s v="Elite Chairs 372"/>
    <s v="Same Day"/>
    <x v="1"/>
    <n v="6"/>
    <n v="3430.35"/>
    <n v="0"/>
    <n v="0"/>
    <n v="20582.099999999999"/>
    <n v="20582.099999999999"/>
    <n v="15897.65"/>
    <n v="4684.45"/>
    <s v="Pending"/>
    <s v="Cancelled"/>
    <x v="1"/>
    <s v="Valid"/>
    <n v="4684.4499999999989"/>
    <n v="0.22759825285077806"/>
    <x v="4"/>
    <x v="0"/>
    <s v="Clean"/>
  </r>
  <r>
    <s v="ORD-2024-10592"/>
    <s v="2024-02-22"/>
    <d v="2024-02-22T00:00:00"/>
    <s v="24-02-2024"/>
    <d v="2024-02-24T00:00:00"/>
    <s v="Valid"/>
    <n v="2"/>
    <s v="Valid"/>
    <s v="CUST-2423"/>
    <s v="Sneha Kapoor"/>
    <s v="Sneha Kapoor"/>
    <s v="Consumer"/>
    <x v="0"/>
    <s v="South"/>
    <x v="2"/>
    <s v="Karnataka"/>
    <s v="Bengaluru"/>
    <s v="Technology"/>
    <x v="2"/>
    <x v="6"/>
    <s v="Eco Copiers 324"/>
    <s v="First Class"/>
    <x v="2"/>
    <n v="3"/>
    <n v="3545.08"/>
    <n v="0"/>
    <n v="0"/>
    <n v="10635.24"/>
    <n v="10635.24"/>
    <n v="6031.88"/>
    <n v="4603.3599999999997"/>
    <s v="Failed"/>
    <s v="Returned"/>
    <x v="2"/>
    <s v="Valid"/>
    <n v="4603.3599999999997"/>
    <n v="0.43284025560307055"/>
    <x v="6"/>
    <x v="0"/>
    <s v="Clean"/>
  </r>
  <r>
    <s v="ORD-2024-10593"/>
    <s v="04-03-2024"/>
    <d v="2024-03-04T00:00:00"/>
    <s v="2024-03-09"/>
    <d v="2024-03-09T00:00:00"/>
    <s v="Valid"/>
    <n v="5"/>
    <s v="Valid"/>
    <s v="CUST-3559"/>
    <s v="Mira Das"/>
    <s v="Mira Das"/>
    <s v="Consumer"/>
    <x v="0"/>
    <s v="East"/>
    <x v="1"/>
    <s v="West Bengal"/>
    <s v="Kolkata"/>
    <s v="Technology"/>
    <x v="2"/>
    <x v="5"/>
    <s v="Classic Accessories 131"/>
    <s v="Same Day"/>
    <x v="1"/>
    <n v="8"/>
    <n v="4401.41"/>
    <n v="0.15"/>
    <n v="0.15"/>
    <n v="29929.588"/>
    <n v="29929.59"/>
    <n v="22436.03"/>
    <n v="7493.56"/>
    <s v="Paid"/>
    <s v="Completed"/>
    <x v="0"/>
    <s v="Valid"/>
    <n v="7493.5600000000013"/>
    <n v="0.25037297539812448"/>
    <x v="11"/>
    <x v="0"/>
    <s v="Clean"/>
  </r>
  <r>
    <s v="ORD-2025-10594"/>
    <s v="09/27/2025"/>
    <d v="2025-09-27T00:00:00"/>
    <s v="2025-09-29"/>
    <d v="2025-09-29T00:00:00"/>
    <s v="Valid"/>
    <n v="2"/>
    <s v="Valid"/>
    <s v="CUST-2917"/>
    <s v="Arjun Bose"/>
    <s v="Arjun Bose"/>
    <s v="Home Office"/>
    <x v="3"/>
    <s v="North"/>
    <x v="0"/>
    <s v="Uttar Pradesh"/>
    <s v="Noida"/>
    <s v="Furniture"/>
    <x v="1"/>
    <x v="1"/>
    <s v="Eco Tables 550"/>
    <s v="Second Class"/>
    <x v="0"/>
    <n v="9"/>
    <n v="4100.1099999999997"/>
    <n v="0.25"/>
    <n v="0.25"/>
    <n v="27675.7425"/>
    <n v="27675.74"/>
    <n v="15571.08"/>
    <n v="12104.66"/>
    <s v="Paid"/>
    <s v="Completed"/>
    <x v="0"/>
    <s v="Valid"/>
    <n v="12104.660000000002"/>
    <n v="0.43737435409366165"/>
    <x v="7"/>
    <x v="1"/>
    <s v="Clean"/>
  </r>
  <r>
    <s v="ORD-2024-10595"/>
    <s v="2024-09-19"/>
    <d v="2024-09-19T00:00:00"/>
    <s v="2024-09-21"/>
    <d v="2024-09-21T00:00:00"/>
    <s v="Valid"/>
    <n v="2"/>
    <s v="Valid"/>
    <s v="CUST-6850"/>
    <s v="Karan Malhotra"/>
    <s v="Karan Malhotra"/>
    <s v="Small Business"/>
    <x v="1"/>
    <s v="East"/>
    <x v="1"/>
    <s v="West Bengal"/>
    <s v="Kolkata"/>
    <s v="Furniture"/>
    <x v="1"/>
    <x v="4"/>
    <s v="Basic Chairs 932"/>
    <s v="First Class"/>
    <x v="2"/>
    <n v="3"/>
    <n v="3981.76"/>
    <n v="0"/>
    <n v="0"/>
    <n v="11945.28"/>
    <n v="11945.28"/>
    <n v="9700.31"/>
    <n v="2244.9699999999998"/>
    <s v="Paid"/>
    <s v="Completed"/>
    <x v="0"/>
    <s v="Valid"/>
    <n v="2244.9700000000012"/>
    <n v="0.18793782983739193"/>
    <x v="7"/>
    <x v="0"/>
    <s v="Clean"/>
  </r>
  <r>
    <s v="ORD-2025-10596"/>
    <s v="02/11/2025"/>
    <d v="2025-02-11T00:00:00"/>
    <s v="16-02-2025"/>
    <d v="2025-02-16T00:00:00"/>
    <s v="Valid"/>
    <n v="5"/>
    <s v="Valid"/>
    <s v="CUST-5566"/>
    <s v="Mira Das"/>
    <s v="Mira Das"/>
    <s v="Corporate"/>
    <x v="2"/>
    <s v="North"/>
    <x v="0"/>
    <s v="Uttar Pradesh"/>
    <s v="Noida"/>
    <s v="Technology"/>
    <x v="2"/>
    <x v="11"/>
    <s v="Classic Phones 294"/>
    <s v="First Class"/>
    <x v="2"/>
    <n v="8"/>
    <n v="1825.56"/>
    <n v="0.1"/>
    <n v="0.1"/>
    <n v="13144.031999999999"/>
    <n v="13144.03"/>
    <n v="9764"/>
    <n v="3380.03"/>
    <s v="Paid"/>
    <s v="Completed"/>
    <x v="0"/>
    <s v="Valid"/>
    <n v="3380.0300000000007"/>
    <n v="0.25715320839145861"/>
    <x v="6"/>
    <x v="1"/>
    <s v="Clean"/>
  </r>
  <r>
    <s v="ORD-2024-10597"/>
    <s v="10 Apr 2024"/>
    <d v="2024-04-10T00:00:00"/>
    <s v="04/16/2024"/>
    <d v="2024-04-16T00:00:00"/>
    <s v="Valid"/>
    <n v="6"/>
    <s v="Valid"/>
    <s v="CUST-2593"/>
    <s v="Aditi Sen"/>
    <s v="Aditi Sen"/>
    <s v="Consumer"/>
    <x v="0"/>
    <s v="South"/>
    <x v="2"/>
    <s v="Kerala"/>
    <s v="Kochi"/>
    <s v="Furniture"/>
    <x v="1"/>
    <x v="4"/>
    <s v="Elite Chairs 700"/>
    <s v="Second Class"/>
    <x v="0"/>
    <n v="9"/>
    <n v="2723.26"/>
    <n v="0.25"/>
    <n v="0.25"/>
    <n v="18382.005000000005"/>
    <n v="18382.009999999998"/>
    <n v="13108.2"/>
    <n v="5273.81"/>
    <s v="Paid"/>
    <s v="Completed"/>
    <x v="0"/>
    <s v="Valid"/>
    <n v="5273.8099999999977"/>
    <n v="0.28690069445634447"/>
    <x v="5"/>
    <x v="0"/>
    <s v="Clean"/>
  </r>
  <r>
    <s v="ORD-2025-10598"/>
    <s v="08 Jul 2025"/>
    <d v="2025-07-08T00:00:00"/>
    <s v="07/08/2025"/>
    <d v="2025-07-08T00:00:00"/>
    <s v="Valid"/>
    <n v="0"/>
    <s v="Valid"/>
    <s v="CUST-6957"/>
    <s v="Aditi Sen"/>
    <s v="Aditi Sen"/>
    <s v="Consumer"/>
    <x v="0"/>
    <s v="South"/>
    <x v="2"/>
    <s v="Telangana"/>
    <s v="Hyderabad"/>
    <s v="Technology"/>
    <x v="2"/>
    <x v="6"/>
    <s v="Prime Copiers 969"/>
    <s v="Same Day"/>
    <x v="1"/>
    <n v="9"/>
    <n v="274.88"/>
    <n v="0.25"/>
    <n v="0.25"/>
    <n v="1855.44"/>
    <n v="1855.44"/>
    <n v="1262.74"/>
    <n v="592.70000000000005"/>
    <s v="Paid"/>
    <s v="Completed"/>
    <x v="0"/>
    <s v="Valid"/>
    <n v="592.70000000000005"/>
    <n v="0.3194390548872505"/>
    <x v="0"/>
    <x v="1"/>
    <s v="Clean"/>
  </r>
  <r>
    <s v="ORD-2024-10599"/>
    <s v="08/17/2024"/>
    <d v="2024-08-17T00:00:00"/>
    <s v="08/24/2024"/>
    <d v="2024-08-24T00:00:00"/>
    <s v="Valid"/>
    <n v="7"/>
    <s v="Valid"/>
    <s v="CUST-8498"/>
    <s v="Ananya Rao"/>
    <s v="Ananya Rao"/>
    <s v="Corporate"/>
    <x v="2"/>
    <s v="East"/>
    <x v="1"/>
    <s v="West Bengal"/>
    <s v="Kolkata"/>
    <s v="Technology"/>
    <x v="2"/>
    <x v="6"/>
    <s v="Eco Copiers 268"/>
    <s v="Same Day"/>
    <x v="1"/>
    <n v="3"/>
    <n v="1490.69"/>
    <n v="0.25"/>
    <n v="0.25"/>
    <n v="3354.0524999999998"/>
    <n v="3354.05"/>
    <n v="2672.67"/>
    <n v="681.38"/>
    <s v="Paid"/>
    <s v="Completed"/>
    <x v="0"/>
    <s v="Valid"/>
    <n v="681.38000000000011"/>
    <n v="0.20315126253986787"/>
    <x v="1"/>
    <x v="0"/>
    <s v="Clean"/>
  </r>
  <r>
    <s v="ORD-2024-10600"/>
    <s v="19-08-2024"/>
    <d v="2024-08-19T00:00:00"/>
    <s v="21 Aug 2024"/>
    <d v="2024-08-21T00:00:00"/>
    <s v="Valid"/>
    <n v="2"/>
    <s v="Valid"/>
    <s v="CUST-2612"/>
    <s v="Arjun Bose"/>
    <s v="Arjun Bose"/>
    <s v="Consumer"/>
    <x v="0"/>
    <s v="North"/>
    <x v="0"/>
    <s v="Punjab"/>
    <s v="Ludhiana"/>
    <s v="Technology"/>
    <x v="2"/>
    <x v="11"/>
    <s v="Pro Phones 588"/>
    <s v="First Class"/>
    <x v="2"/>
    <n v="3"/>
    <n v="1103.54"/>
    <n v="0.25"/>
    <n v="0.25"/>
    <n v="2482.9650000000001"/>
    <n v="2482.9699999999998"/>
    <n v="1621.72"/>
    <n v="861.25"/>
    <s v="Paid"/>
    <s v="Completed"/>
    <x v="0"/>
    <s v="Valid"/>
    <n v="861.24999999999977"/>
    <n v="0.34686352808033932"/>
    <x v="1"/>
    <x v="0"/>
    <s v="Clean"/>
  </r>
  <r>
    <s v="ORD-2025-10601"/>
    <s v="05-03-2025"/>
    <d v="2025-03-05T00:00:00"/>
    <s v="2025-03-12"/>
    <d v="2025-03-12T00:00:00"/>
    <s v="Valid"/>
    <n v="7"/>
    <s v="Valid"/>
    <s v="CUST-6013"/>
    <s v="Ananya Rao"/>
    <s v="Ananya Rao"/>
    <s v="Corporate"/>
    <x v="2"/>
    <s v="West"/>
    <x v="3"/>
    <s v="Madhya Pradesh"/>
    <s v="Indore"/>
    <s v="Office Supplies"/>
    <x v="0"/>
    <x v="8"/>
    <s v="Prime Storage 432"/>
    <s v="Same Day"/>
    <x v="1"/>
    <n v="3"/>
    <n v="3682.75"/>
    <m/>
    <n v="0"/>
    <n v="11048.25"/>
    <n v="11048.25"/>
    <n v="9062.7199999999993"/>
    <n v="1985.53"/>
    <s v="Paid"/>
    <s v="Completed"/>
    <x v="0"/>
    <s v="Valid"/>
    <n v="1985.5300000000007"/>
    <n v="0.17971443441268986"/>
    <x v="11"/>
    <x v="1"/>
    <s v="Clean"/>
  </r>
  <r>
    <s v="ORD-2024-10602"/>
    <s v="26 Jan 2024"/>
    <d v="2024-01-26T00:00:00"/>
    <s v="01/31/2024"/>
    <d v="2024-01-31T00:00:00"/>
    <s v="Valid"/>
    <n v="5"/>
    <s v="Valid"/>
    <s v="CUST-8289"/>
    <s v="Ananya Rao"/>
    <s v="Ananya Rao"/>
    <s v="Home Office"/>
    <x v="3"/>
    <s v="East"/>
    <x v="1"/>
    <s v="West Bengal"/>
    <s v="Kolkata"/>
    <s v="Office Supplies"/>
    <x v="0"/>
    <x v="0"/>
    <s v="Basic Paper 452"/>
    <s v="Second Class"/>
    <x v="0"/>
    <n v="5"/>
    <n v="1615.03"/>
    <n v="0.2"/>
    <n v="0.2"/>
    <n v="6460.12"/>
    <n v="6460.12"/>
    <n v="3604.03"/>
    <n v="2856.09"/>
    <s v="Paid"/>
    <s v="Completed"/>
    <x v="0"/>
    <s v="Valid"/>
    <n v="2856.0899999999997"/>
    <n v="0.44211098245853014"/>
    <x v="10"/>
    <x v="0"/>
    <s v="Clean"/>
  </r>
  <r>
    <s v="ORD-2024-10603"/>
    <s v="23-10-2024"/>
    <d v="2024-10-23T00:00:00"/>
    <s v="2024-10-30"/>
    <d v="2024-10-30T00:00:00"/>
    <s v="Valid"/>
    <n v="7"/>
    <s v="Valid"/>
    <s v="CUST-5668"/>
    <s v="Aarav Sharma"/>
    <s v="Aarav Sharma"/>
    <s v="Consumer"/>
    <x v="0"/>
    <s v="East"/>
    <x v="1"/>
    <s v="Jharkhand"/>
    <s v="Ranchi"/>
    <s v="Technology"/>
    <x v="2"/>
    <x v="6"/>
    <s v="Max Copiers 477"/>
    <s v="Second Class"/>
    <x v="0"/>
    <n v="9"/>
    <n v="3423.82"/>
    <n v="0.15"/>
    <n v="0.15"/>
    <n v="26192.223000000002"/>
    <n v="26192.22"/>
    <n v="20795.55"/>
    <n v="5396.67"/>
    <s v="Paid"/>
    <s v="Completed"/>
    <x v="0"/>
    <s v="Valid"/>
    <n v="5396.6700000000019"/>
    <n v="0.20604093054644509"/>
    <x v="9"/>
    <x v="0"/>
    <s v="Clean"/>
  </r>
  <r>
    <s v="ORD-2025-10604"/>
    <s v="01/03/2025"/>
    <d v="2025-01-03T00:00:00"/>
    <s v="11-01-2025"/>
    <d v="2025-01-11T00:00:00"/>
    <s v="Valid"/>
    <n v="8"/>
    <s v="Valid"/>
    <s v="CUST-5808"/>
    <s v="Vikram Iyer"/>
    <s v="Vikram Iyer"/>
    <s v="Corporate"/>
    <x v="2"/>
    <s v="East"/>
    <x v="1"/>
    <s v="Bihar"/>
    <s v="Patna"/>
    <s v="Technology"/>
    <x v="2"/>
    <x v="5"/>
    <s v="Prime Accessories 300"/>
    <s v="First Class"/>
    <x v="2"/>
    <n v="8"/>
    <n v="2574.29"/>
    <n v="0.05"/>
    <n v="0.05"/>
    <n v="19564.603999999999"/>
    <n v="19564.599999999999"/>
    <n v="11154.59"/>
    <n v="8410.01"/>
    <s v="Pending"/>
    <s v="Cancelled"/>
    <x v="1"/>
    <s v="Valid"/>
    <n v="8410.0099999999984"/>
    <n v="0.42985843209502217"/>
    <x v="10"/>
    <x v="1"/>
    <s v="Clean"/>
  </r>
  <r>
    <s v="ORD-2025-10605"/>
    <s v="05-02-2025"/>
    <d v="2025-02-05T00:00:00"/>
    <s v="02/06/2025"/>
    <d v="2025-02-06T00:00:00"/>
    <s v="Valid"/>
    <n v="1"/>
    <s v="Valid"/>
    <s v="CUST-4526"/>
    <s v="Ananya Rao"/>
    <s v="Ananya Rao"/>
    <s v="Consumer"/>
    <x v="0"/>
    <s v="West"/>
    <x v="3"/>
    <s v="Madhya Pradesh"/>
    <s v="Indore"/>
    <s v="Office Supplies"/>
    <x v="0"/>
    <x v="9"/>
    <s v="Max Binders 547"/>
    <s v="Same Day"/>
    <x v="1"/>
    <n v="3"/>
    <n v="1076.3"/>
    <n v="0"/>
    <n v="0"/>
    <n v="3228.8999999999996"/>
    <n v="3228.9"/>
    <n v="1853.23"/>
    <n v="1375.67"/>
    <s v="Paid"/>
    <s v="Completed"/>
    <x v="0"/>
    <s v="Valid"/>
    <n v="1375.67"/>
    <n v="0.42604911889497976"/>
    <x v="6"/>
    <x v="1"/>
    <s v="Clean"/>
  </r>
  <r>
    <s v="ORD-2025-10606"/>
    <s v="2025-07-09"/>
    <d v="2025-07-09T00:00:00"/>
    <s v="13 Jul 2025"/>
    <d v="2025-07-13T00:00:00"/>
    <s v="Valid"/>
    <n v="4"/>
    <s v="Valid"/>
    <s v="CUST-4447"/>
    <s v="Kabir Singh"/>
    <s v="Kabir Singh"/>
    <s v="Corporate"/>
    <x v="2"/>
    <s v="West"/>
    <x v="3"/>
    <s v="Goa"/>
    <s v="Panaji"/>
    <s v="Furniture"/>
    <x v="1"/>
    <x v="3"/>
    <s v="Pro Furnishings 267"/>
    <s v="Second Class"/>
    <x v="0"/>
    <n v="5"/>
    <n v="1680.01"/>
    <s v="85%"/>
    <s v="85%"/>
    <n v="1260.0075000000002"/>
    <n v="7560.04"/>
    <n v="6448.05"/>
    <n v="1111.99"/>
    <s v="Paid"/>
    <s v="Cancelled"/>
    <x v="1"/>
    <s v="Invalid - Discount Above Range"/>
    <n v="1111.9899999999998"/>
    <n v="0.88252649289785945"/>
    <x v="0"/>
    <x v="1"/>
    <s v="Clean"/>
  </r>
  <r>
    <s v="ORD-2025-10607"/>
    <s v="22 Feb 2025"/>
    <d v="2025-02-22T00:00:00"/>
    <s v="02/28/2025"/>
    <d v="2025-02-28T00:00:00"/>
    <s v="Valid"/>
    <n v="6"/>
    <s v="Valid"/>
    <s v="CUST-2698"/>
    <s v="Rahul Verma"/>
    <s v="Rahul Verma"/>
    <s v="Home Office"/>
    <x v="3"/>
    <s v="West"/>
    <x v="3"/>
    <s v="Madhya Pradesh"/>
    <s v="Indore"/>
    <s v="Technology"/>
    <x v="2"/>
    <x v="6"/>
    <s v="Max Copiers 520"/>
    <s v="Same Day"/>
    <x v="1"/>
    <n v="3"/>
    <n v="3890.81"/>
    <n v="0.25"/>
    <n v="0.25"/>
    <n v="8754.3225000000002"/>
    <n v="8754.32"/>
    <n v="6238.9"/>
    <n v="2515.42"/>
    <s v="Paid"/>
    <s v="Completed"/>
    <x v="0"/>
    <s v="Valid"/>
    <n v="2515.42"/>
    <n v="0.287334628122279"/>
    <x v="6"/>
    <x v="1"/>
    <s v="Clean"/>
  </r>
  <r>
    <s v="ORD-2025-10608"/>
    <s v="16-02-2025"/>
    <d v="2025-02-16T00:00:00"/>
    <s v="22 Feb 2025"/>
    <d v="2025-02-22T00:00:00"/>
    <s v="Valid"/>
    <n v="6"/>
    <s v="Valid"/>
    <s v="CUST-6297"/>
    <s v="Sneha Kapoor"/>
    <s v="Sneha Kapoor"/>
    <s v="Home Office"/>
    <x v="3"/>
    <s v="East"/>
    <x v="1"/>
    <s v="Bihar"/>
    <s v="Patna"/>
    <s v="Office Supplies"/>
    <x v="0"/>
    <x v="8"/>
    <s v="Max Storage 424"/>
    <s v="Same Day"/>
    <x v="1"/>
    <n v="5"/>
    <n v="954.67"/>
    <n v="0.15"/>
    <n v="0.15"/>
    <n v="4057.3474999999994"/>
    <n v="4057.35"/>
    <n v="2862.03"/>
    <n v="1195.32"/>
    <s v="Paid"/>
    <s v="Completed"/>
    <x v="0"/>
    <s v="Valid"/>
    <n v="1195.3199999999997"/>
    <n v="0.29460626677897317"/>
    <x v="6"/>
    <x v="1"/>
    <s v="Clean"/>
  </r>
  <r>
    <s v="ORD-2024-10609"/>
    <s v="21 Jun 2024"/>
    <d v="2024-06-21T00:00:00"/>
    <s v="23 Jun 2024"/>
    <d v="2024-06-23T00:00:00"/>
    <s v="Valid"/>
    <n v="2"/>
    <s v="Valid"/>
    <s v="CUST-7690"/>
    <s v="Karan Malhotra"/>
    <s v="Karan Malhotra"/>
    <s v="Home Office"/>
    <x v="3"/>
    <s v="West"/>
    <x v="3"/>
    <s v="Goa"/>
    <s v="Panaji"/>
    <s v="Furniture"/>
    <x v="1"/>
    <x v="3"/>
    <s v="Elite Furnishings 706"/>
    <s v="Second Class"/>
    <x v="0"/>
    <n v="9"/>
    <n v="2153.75"/>
    <n v="0"/>
    <n v="0"/>
    <n v="19383.75"/>
    <n v="19383.75"/>
    <n v="11667.43"/>
    <n v="7716.32"/>
    <s v="Paid"/>
    <s v="Completed"/>
    <x v="0"/>
    <s v="Valid"/>
    <n v="7716.32"/>
    <n v="0.39808189849745274"/>
    <x v="2"/>
    <x v="0"/>
    <s v="Clean"/>
  </r>
  <r>
    <s v="ORD-2025-10610"/>
    <s v="2025-01-08"/>
    <d v="2025-01-08T00:00:00"/>
    <s v="12-01-2025"/>
    <d v="2025-01-12T00:00:00"/>
    <s v="Valid"/>
    <n v="4"/>
    <s v="Valid"/>
    <s v="CUST-4380"/>
    <s v="Sneha Kapoor"/>
    <s v="Sneha Kapoor"/>
    <s v="Home Office"/>
    <x v="3"/>
    <s v="South"/>
    <x v="2"/>
    <s v="Karnataka"/>
    <s v="Bengaluru"/>
    <s v="Furniture"/>
    <x v="1"/>
    <x v="4"/>
    <s v="Pro Chairs 908"/>
    <s v="Standard Class"/>
    <x v="3"/>
    <n v="7"/>
    <n v="4337.4799999999996"/>
    <n v="0"/>
    <n v="0"/>
    <n v="30362.359999999997"/>
    <n v="30362.36"/>
    <n v="25065.4"/>
    <n v="5296.96"/>
    <s v="Paid"/>
    <s v="Completed"/>
    <x v="0"/>
    <s v="Valid"/>
    <n v="5296.9599999999991"/>
    <n v="0.17445811195177185"/>
    <x v="10"/>
    <x v="1"/>
    <s v="Clean"/>
  </r>
  <r>
    <s v="ORD-2024-10611"/>
    <s v="20 May 2024"/>
    <d v="2024-05-20T00:00:00"/>
    <s v="05/20/2024"/>
    <d v="2024-05-20T00:00:00"/>
    <s v="Valid"/>
    <n v="0"/>
    <s v="Valid"/>
    <s v="CUST-2779"/>
    <s v="Karan Malhotra"/>
    <s v="Karan Malhotra"/>
    <s v="Home Office"/>
    <x v="3"/>
    <s v="West"/>
    <x v="3"/>
    <s v="Madhya Pradesh"/>
    <s v="Indore"/>
    <s v="Furniture"/>
    <x v="1"/>
    <x v="4"/>
    <s v="Pro Chairs 712"/>
    <s v="Standard Class"/>
    <x v="3"/>
    <n v="1"/>
    <n v="3032.95"/>
    <n v="0.1"/>
    <n v="0.1"/>
    <n v="2729.6549999999997"/>
    <n v="2729.65"/>
    <n v="1715.36"/>
    <n v="1014.29"/>
    <s v="Paid"/>
    <s v="Completed"/>
    <x v="0"/>
    <s v="Valid"/>
    <n v="1014.2900000000002"/>
    <n v="0.37158175666888316"/>
    <x v="4"/>
    <x v="0"/>
    <s v="Clean"/>
  </r>
  <r>
    <s v="ORD-2025-10612"/>
    <s v="08-07-2025"/>
    <d v="2025-07-08T00:00:00"/>
    <s v="15 Jul 2025"/>
    <d v="2025-07-15T00:00:00"/>
    <s v="Valid"/>
    <n v="7"/>
    <s v="Valid"/>
    <s v="CUST-6108"/>
    <s v="Ananya Rao"/>
    <s v="Ananya Rao"/>
    <s v="Small Business"/>
    <x v="1"/>
    <s v="North"/>
    <x v="0"/>
    <s v="Rajasthan"/>
    <s v="Jaipur"/>
    <s v="Office Supplies"/>
    <x v="0"/>
    <x v="9"/>
    <s v="Max Binders 785"/>
    <s v="Same Day"/>
    <x v="1"/>
    <n v="8"/>
    <n v="655.28"/>
    <n v="0.1"/>
    <n v="0.1"/>
    <n v="4718.0159999999996"/>
    <n v="4718.0200000000004"/>
    <n v="3908.23"/>
    <n v="809.79"/>
    <s v="Paid"/>
    <s v="Completed"/>
    <x v="0"/>
    <s v="Valid"/>
    <n v="809.79000000000042"/>
    <n v="0.17163782403450953"/>
    <x v="0"/>
    <x v="1"/>
    <s v="Clean"/>
  </r>
  <r>
    <s v="ORD-2025-10613"/>
    <s v="06 Apr 2025"/>
    <d v="2025-04-06T00:00:00"/>
    <s v="13-04-2025"/>
    <d v="2025-04-13T00:00:00"/>
    <s v="Valid"/>
    <n v="7"/>
    <s v="Valid"/>
    <s v="CUST-5663"/>
    <s v="Aditi Sen"/>
    <s v="Aditi Sen"/>
    <s v="Consumer"/>
    <x v="0"/>
    <m/>
    <x v="4"/>
    <s v="Odisha"/>
    <s v="Bhubaneswar"/>
    <s v="Technology"/>
    <x v="2"/>
    <x v="11"/>
    <s v="Elite Phones 239"/>
    <s v="Standard Class"/>
    <x v="3"/>
    <n v="1"/>
    <n v="3844.01"/>
    <n v="0"/>
    <n v="0"/>
    <n v="3844.01"/>
    <n v="3844.01"/>
    <n v="2195.79"/>
    <n v="1648.22"/>
    <s v="Paid"/>
    <s v="Completed"/>
    <x v="0"/>
    <s v="Valid"/>
    <n v="1648.2200000000003"/>
    <n v="0.42877619985379856"/>
    <x v="5"/>
    <x v="1"/>
    <s v="Clean"/>
  </r>
  <r>
    <s v="ORD-2024-10614"/>
    <s v="2024-10-05"/>
    <d v="2024-10-05T00:00:00"/>
    <s v="10/10/2024"/>
    <d v="2024-10-10T00:00:00"/>
    <s v="Valid"/>
    <n v="5"/>
    <s v="Valid"/>
    <s v="CUST-9311"/>
    <s v="Diya Patel"/>
    <s v="Diya Patel"/>
    <s v="Home Office"/>
    <x v="3"/>
    <s v="West"/>
    <x v="3"/>
    <s v="Gujarat"/>
    <s v="Ahmedabad"/>
    <s v="Technology"/>
    <x v="2"/>
    <x v="12"/>
    <s v="Basic Machines 413"/>
    <s v="Same Day"/>
    <x v="1"/>
    <n v="9"/>
    <n v="3361.3"/>
    <n v="0.25"/>
    <n v="0.25"/>
    <n v="22688.775000000001"/>
    <n v="22688.78"/>
    <n v="14672.41"/>
    <n v="8016.37"/>
    <s v="Paid"/>
    <s v="Completed"/>
    <x v="0"/>
    <s v="Valid"/>
    <n v="8016.369999999999"/>
    <n v="0.35331876665884332"/>
    <x v="9"/>
    <x v="0"/>
    <s v="Clean"/>
  </r>
  <r>
    <s v="ORD-2024-10615"/>
    <s v="11-02-2024"/>
    <d v="2024-02-11T00:00:00"/>
    <s v="19-02-2024"/>
    <d v="2024-02-19T00:00:00"/>
    <s v="Valid"/>
    <n v="8"/>
    <s v="Valid"/>
    <s v="CUST-8154"/>
    <s v="Ananya Rao"/>
    <s v="Ananya Rao"/>
    <s v="Home Office"/>
    <x v="3"/>
    <s v="South"/>
    <x v="2"/>
    <s v="Telangana"/>
    <s v="Hyderabad"/>
    <s v="Furniture"/>
    <x v="1"/>
    <x v="4"/>
    <s v="Elite Chairs 140"/>
    <s v="Standard Class"/>
    <x v="3"/>
    <n v="8"/>
    <n v="3398.32"/>
    <n v="0.25"/>
    <n v="0.25"/>
    <n v="20389.920000000002"/>
    <n v="20389.919999999998"/>
    <n v="16661.080000000002"/>
    <n v="3728.84"/>
    <s v="Refunded"/>
    <s v="Cancelled"/>
    <x v="1"/>
    <s v="Valid"/>
    <n v="3728.8399999999965"/>
    <n v="0.18287663708342142"/>
    <x v="6"/>
    <x v="0"/>
    <s v="Clean"/>
  </r>
  <r>
    <s v="ORD-2024-10616"/>
    <s v="2024-10-04"/>
    <d v="2024-10-04T00:00:00"/>
    <s v="10/07/2024"/>
    <d v="2024-10-07T00:00:00"/>
    <s v="Valid"/>
    <n v="3"/>
    <s v="Valid"/>
    <s v="CUST-4462"/>
    <s v="Rahul Verma"/>
    <s v="Rahul Verma"/>
    <s v="Corporate"/>
    <x v="2"/>
    <s v="South"/>
    <x v="2"/>
    <s v="Kerala"/>
    <s v="Kochi"/>
    <s v="Office Supplies"/>
    <x v="0"/>
    <x v="2"/>
    <s v="Basic Art 771"/>
    <s v="Second Class"/>
    <x v="0"/>
    <n v="2"/>
    <n v="3144.38"/>
    <n v="0.1"/>
    <n v="0.1"/>
    <n v="5659.884"/>
    <n v="5904.57"/>
    <n v="4337.79"/>
    <n v="1322.09"/>
    <s v="Paid"/>
    <s v="Completed"/>
    <x v="0"/>
    <s v="Valid"/>
    <n v="1566.7799999999997"/>
    <n v="0.27682192779922693"/>
    <x v="9"/>
    <x v="0"/>
    <s v="Clean"/>
  </r>
  <r>
    <s v="ORD-2024-10617"/>
    <s v="16 Aug 2024"/>
    <d v="2024-08-16T00:00:00"/>
    <s v="19-08-2024"/>
    <d v="2024-08-19T00:00:00"/>
    <s v="Valid"/>
    <n v="3"/>
    <s v="Valid"/>
    <s v="CUST-4660"/>
    <s v="Kabir Singh"/>
    <s v="Kabir Singh"/>
    <s v="Consumer"/>
    <x v="0"/>
    <s v="South"/>
    <x v="2"/>
    <s v="Telangana"/>
    <s v="Hyderabad"/>
    <s v="Office Supplies"/>
    <x v="0"/>
    <x v="0"/>
    <s v="Prime Paper 664"/>
    <s v="Standard Class"/>
    <x v="3"/>
    <n v="6"/>
    <n v="3925.55"/>
    <n v="0.2"/>
    <n v="0.2"/>
    <n v="18842.640000000003"/>
    <n v="18842.64"/>
    <n v="11840.58"/>
    <n v="7002.06"/>
    <s v="Paid"/>
    <s v="Completed"/>
    <x v="0"/>
    <s v="Valid"/>
    <n v="7002.0599999999995"/>
    <n v="0.37160716332743171"/>
    <x v="1"/>
    <x v="0"/>
    <s v="Clean"/>
  </r>
  <r>
    <s v="ORD-2024-10618"/>
    <s v="09/29/2024"/>
    <d v="2024-09-29T00:00:00"/>
    <s v="2024-09-30"/>
    <d v="2024-09-30T00:00:00"/>
    <s v="Valid"/>
    <n v="1"/>
    <s v="Valid"/>
    <s v="CUST-9002"/>
    <s v="Mira Das"/>
    <s v="Mira Das"/>
    <s v="Home Office"/>
    <x v="3"/>
    <s v="South"/>
    <x v="2"/>
    <s v="Telangana"/>
    <s v="Hyderabad"/>
    <s v="Technology"/>
    <x v="2"/>
    <x v="11"/>
    <s v="Pro Phones 226"/>
    <s v="Standard Class"/>
    <x v="3"/>
    <n v="9"/>
    <n v="2741.91"/>
    <n v="0"/>
    <n v="0"/>
    <n v="24677.19"/>
    <n v="24677.19"/>
    <n v="20350.849999999999"/>
    <n v="4326.34"/>
    <s v="Paid"/>
    <s v="Completed"/>
    <x v="0"/>
    <s v="Valid"/>
    <n v="4326.34"/>
    <n v="0.17531736798233513"/>
    <x v="7"/>
    <x v="0"/>
    <s v="Clean"/>
  </r>
  <r>
    <s v="ORD-2024-10619"/>
    <s v="2024-07-23"/>
    <d v="2024-07-23T00:00:00"/>
    <s v="2024-07-30"/>
    <d v="2024-07-30T00:00:00"/>
    <s v="Valid"/>
    <n v="7"/>
    <s v="Valid"/>
    <s v="CUST-1057"/>
    <s v="Kabir Singh"/>
    <s v="Kabir Singh"/>
    <s v="Corporate"/>
    <x v="2"/>
    <s v="North"/>
    <x v="0"/>
    <s v="Rajasthan"/>
    <s v="Jaipur"/>
    <s v="Furniture"/>
    <x v="1"/>
    <x v="1"/>
    <s v="Basic Tables 684"/>
    <s v="Same Day"/>
    <x v="1"/>
    <n v="9"/>
    <n v="1870.11"/>
    <n v="0.25"/>
    <n v="0.25"/>
    <n v="12623.242499999998"/>
    <n v="12623.24"/>
    <n v="10540.8"/>
    <n v="2082.44"/>
    <s v="Failed"/>
    <s v="Cancelled"/>
    <x v="1"/>
    <s v="Valid"/>
    <n v="2082.4400000000005"/>
    <n v="0.16496870752502779"/>
    <x v="0"/>
    <x v="0"/>
    <s v="Clean"/>
  </r>
  <r>
    <s v="ORD-2024-10620"/>
    <s v="11/22/2024"/>
    <d v="2024-11-22T00:00:00"/>
    <s v="27 Nov 2024"/>
    <d v="2024-11-27T00:00:00"/>
    <s v="Valid"/>
    <n v="5"/>
    <s v="Valid"/>
    <s v="CUST-9596"/>
    <s v="Priya Menon"/>
    <s v="Priya Menon"/>
    <s v="Corporate"/>
    <x v="2"/>
    <s v="South"/>
    <x v="2"/>
    <s v="Tamil Nadu"/>
    <s v="Chennai"/>
    <s v="Office Supplies"/>
    <x v="0"/>
    <x v="9"/>
    <s v="Prime Binders 938"/>
    <s v="First Class"/>
    <x v="2"/>
    <n v="1"/>
    <n v="4251.26"/>
    <n v="0.2"/>
    <n v="0.2"/>
    <n v="3401.0080000000003"/>
    <n v="3401.01"/>
    <n v="2917.54"/>
    <n v="483.47"/>
    <s v="Refunded"/>
    <s v="Returned"/>
    <x v="2"/>
    <s v="Valid"/>
    <n v="483.47000000000025"/>
    <n v="0.14215491407253386"/>
    <x v="3"/>
    <x v="0"/>
    <s v="Clean"/>
  </r>
  <r>
    <s v="ORD-2024-10621"/>
    <s v="18-08-2024"/>
    <d v="2024-08-18T00:00:00"/>
    <s v="08/21/2024"/>
    <d v="2024-08-21T00:00:00"/>
    <s v="Valid"/>
    <n v="3"/>
    <s v="Valid"/>
    <s v="CUST-6947"/>
    <s v="Vikram Iyer"/>
    <s v="Vikram Iyer"/>
    <s v="Consumer"/>
    <x v="0"/>
    <s v="North"/>
    <x v="0"/>
    <s v="Uttar Pradesh"/>
    <s v="Noida"/>
    <s v="Technology"/>
    <x v="2"/>
    <x v="12"/>
    <s v="Classic Machines 337"/>
    <s v="Standard Class"/>
    <x v="3"/>
    <n v="9"/>
    <n v="734.34"/>
    <n v="0"/>
    <n v="0"/>
    <n v="6609.06"/>
    <n v="6609.06"/>
    <n v="4946.78"/>
    <n v="1662.28"/>
    <s v="Paid"/>
    <s v="Completed"/>
    <x v="0"/>
    <s v="Valid"/>
    <n v="1662.2800000000007"/>
    <n v="0.25151534408826681"/>
    <x v="1"/>
    <x v="0"/>
    <s v="Clean"/>
  </r>
  <r>
    <s v="ORD-2024-10622"/>
    <s v="28-11-2024"/>
    <d v="2024-11-28T00:00:00"/>
    <s v="06-12-2024"/>
    <d v="2024-12-06T00:00:00"/>
    <s v="Valid"/>
    <n v="8"/>
    <s v="Valid"/>
    <s v="CUST-7236"/>
    <s v="Aditi Sen"/>
    <s v="Aditi Sen"/>
    <s v="Consumer"/>
    <x v="0"/>
    <s v="West"/>
    <x v="3"/>
    <s v="Maharashtra"/>
    <s v="Mumbai"/>
    <s v="Furniture"/>
    <x v="1"/>
    <x v="4"/>
    <s v="Max Chairs 748"/>
    <s v="Same Day"/>
    <x v="1"/>
    <n v="5"/>
    <n v="1092.8399999999999"/>
    <m/>
    <n v="0"/>
    <n v="5464.2"/>
    <n v="5464.2"/>
    <n v="3318.09"/>
    <n v="2146.11"/>
    <s v="Paid"/>
    <s v="Completed"/>
    <x v="0"/>
    <s v="Valid"/>
    <n v="2146.1099999999997"/>
    <n v="0.39275831777753373"/>
    <x v="3"/>
    <x v="0"/>
    <s v="Clean"/>
  </r>
  <r>
    <s v="ORD-2025-10623"/>
    <s v="29-01-2025"/>
    <d v="2025-01-29T00:00:00"/>
    <s v="06 Feb 2025"/>
    <d v="2025-02-06T00:00:00"/>
    <s v="Valid"/>
    <n v="8"/>
    <s v="Valid"/>
    <s v="CUST-1127"/>
    <s v="Vikram Iyer"/>
    <s v="Vikram Iyer"/>
    <s v="Consumer"/>
    <x v="0"/>
    <s v="East"/>
    <x v="1"/>
    <s v="Bihar"/>
    <s v="Patna"/>
    <s v="Office Supplies"/>
    <x v="0"/>
    <x v="8"/>
    <s v="Basic Storage 934"/>
    <s v="Standard Class"/>
    <x v="3"/>
    <n v="4"/>
    <n v="2759.01"/>
    <n v="0.05"/>
    <n v="0.05"/>
    <n v="10484.238000000001"/>
    <n v="10484.24"/>
    <n v="6680.15"/>
    <n v="3804.09"/>
    <s v="Paid"/>
    <s v="Completed"/>
    <x v="0"/>
    <s v="Valid"/>
    <n v="3804.09"/>
    <n v="0.36283895882561989"/>
    <x v="10"/>
    <x v="1"/>
    <s v="Clean"/>
  </r>
  <r>
    <s v="ORD-2024-10624"/>
    <s v="08 Aug 2024"/>
    <d v="2024-08-08T00:00:00"/>
    <s v="14 Aug 2024"/>
    <d v="2024-08-14T00:00:00"/>
    <s v="Valid"/>
    <n v="6"/>
    <s v="Valid"/>
    <s v="CUST-6262"/>
    <s v="Vikram Iyer"/>
    <s v="Vikram Iyer"/>
    <s v="Home Office"/>
    <x v="3"/>
    <s v="North"/>
    <x v="0"/>
    <s v="Punjab"/>
    <s v="Ludhiana"/>
    <s v="Office Supplies"/>
    <x v="0"/>
    <x v="8"/>
    <s v="Pro Storage 509"/>
    <s v="Second Class"/>
    <x v="0"/>
    <n v="8"/>
    <n v="1359.19"/>
    <n v="0.05"/>
    <n v="0.05"/>
    <n v="10329.843999999999"/>
    <n v="10329.84"/>
    <n v="7512.22"/>
    <n v="2817.62"/>
    <s v="Paid"/>
    <s v="Completed"/>
    <x v="0"/>
    <s v="Valid"/>
    <n v="2817.62"/>
    <n v="0.27276500981040952"/>
    <x v="1"/>
    <x v="0"/>
    <s v="Clean"/>
  </r>
  <r>
    <s v="ORD-2024-10625"/>
    <s v="01/30/2024"/>
    <d v="2024-01-30T00:00:00"/>
    <s v="2024-02-01"/>
    <d v="2024-02-01T00:00:00"/>
    <s v="Valid"/>
    <n v="2"/>
    <s v="Valid"/>
    <s v="CUST-5070"/>
    <s v="Neha Gupta"/>
    <s v="Neha Gupta"/>
    <s v="Home Office"/>
    <x v="3"/>
    <s v="East"/>
    <x v="1"/>
    <s v="Assam"/>
    <s v="Guwahati"/>
    <s v="Furniture"/>
    <x v="1"/>
    <x v="4"/>
    <s v="Prime Chairs 765"/>
    <s v="First Class"/>
    <x v="2"/>
    <n v="2"/>
    <n v="4451.03"/>
    <n v="0.05"/>
    <n v="0.05"/>
    <n v="8456.9569999999985"/>
    <n v="8456.9599999999991"/>
    <n v="5462.85"/>
    <n v="2994.11"/>
    <s v="Paid"/>
    <s v="Completed"/>
    <x v="0"/>
    <s v="Valid"/>
    <n v="2994.1099999999988"/>
    <n v="0.35404105755770066"/>
    <x v="10"/>
    <x v="0"/>
    <s v="Clean"/>
  </r>
  <r>
    <s v="ORD-2024-10626"/>
    <s v="12/15/2024"/>
    <d v="2024-12-15T00:00:00"/>
    <s v="21 Dec 2024"/>
    <d v="2024-12-21T00:00:00"/>
    <s v="Valid"/>
    <n v="6"/>
    <s v="Valid"/>
    <s v="CUST-7946"/>
    <s v="Diya Patel"/>
    <s v="Diya Patel"/>
    <s v="Corporate"/>
    <x v="2"/>
    <s v="West"/>
    <x v="3"/>
    <s v="Rajasthan"/>
    <s v="Udaipur"/>
    <s v="Furniture"/>
    <x v="1"/>
    <x v="4"/>
    <s v="Elite Chairs 358"/>
    <s v="Same Day"/>
    <x v="1"/>
    <n v="3"/>
    <n v="527.66999999999996"/>
    <n v="0.2"/>
    <n v="0.2"/>
    <n v="1266.4079999999999"/>
    <n v="1266.4100000000001"/>
    <n v="983.92"/>
    <n v="282.49"/>
    <s v="Paid"/>
    <s v="Completed"/>
    <x v="0"/>
    <s v="Valid"/>
    <n v="282.49000000000012"/>
    <n v="0.22306397306397319"/>
    <x v="8"/>
    <x v="0"/>
    <s v="Clean"/>
  </r>
  <r>
    <s v="ORD-2025-10627"/>
    <s v="04-06-2025"/>
    <d v="2025-06-04T00:00:00"/>
    <s v="06/07/2025"/>
    <d v="2025-06-07T00:00:00"/>
    <s v="Valid"/>
    <n v="3"/>
    <s v="Valid"/>
    <s v="CUST-1793"/>
    <s v="Sneha Kapoor"/>
    <s v="Sneha Kapoor"/>
    <s v="Home Office"/>
    <x v="3"/>
    <s v="East"/>
    <x v="1"/>
    <s v="Assam"/>
    <s v="Guwahati"/>
    <s v="Technology"/>
    <x v="2"/>
    <x v="12"/>
    <s v="Elite Machines 971"/>
    <s v="Standard Class"/>
    <x v="3"/>
    <n v="8"/>
    <n v="1434.13"/>
    <n v="0"/>
    <n v="0"/>
    <n v="11473.04"/>
    <n v="11473.04"/>
    <n v="8931.33"/>
    <n v="2541.71"/>
    <s v="Pending"/>
    <s v="Returned"/>
    <x v="2"/>
    <s v="Valid"/>
    <n v="2541.7100000000009"/>
    <n v="0.22153762211236086"/>
    <x v="2"/>
    <x v="1"/>
    <s v="Clean"/>
  </r>
  <r>
    <s v="ORD-2025-10628"/>
    <s v="02/13/2025"/>
    <d v="2025-02-13T00:00:00"/>
    <s v="21-02-2025"/>
    <d v="2025-02-21T00:00:00"/>
    <s v="Valid"/>
    <n v="8"/>
    <s v="Valid"/>
    <s v="CUST-8839"/>
    <s v="Karan Malhotra"/>
    <s v="Karan Malhotra"/>
    <s v="Small Business"/>
    <x v="1"/>
    <s v="South"/>
    <x v="2"/>
    <s v="Kerala"/>
    <s v="Kochi"/>
    <s v="Technology"/>
    <x v="2"/>
    <x v="11"/>
    <s v="Max Phones 825"/>
    <s v="Second Class"/>
    <x v="0"/>
    <n v="2"/>
    <n v="2360.02"/>
    <n v="0.15"/>
    <n v="0.15"/>
    <n v="4012.0339999999997"/>
    <n v="4012.03"/>
    <n v="3142.92"/>
    <n v="869.11"/>
    <s v="Pending"/>
    <s v="Cancelled"/>
    <x v="1"/>
    <s v="Valid"/>
    <n v="869.11000000000013"/>
    <n v="0.21662578133684815"/>
    <x v="6"/>
    <x v="1"/>
    <s v="Clean"/>
  </r>
  <r>
    <s v="ORD-2025-10629"/>
    <s v="2025-10-05"/>
    <d v="2025-10-05T00:00:00"/>
    <s v="12 Oct 2025"/>
    <d v="2025-10-12T00:00:00"/>
    <s v="Valid"/>
    <n v="7"/>
    <s v="Valid"/>
    <s v="CUST-6725"/>
    <s v="Ananya Rao"/>
    <s v="Ananya Rao"/>
    <s v="Home Office"/>
    <x v="3"/>
    <s v="East"/>
    <x v="1"/>
    <s v="Jharkhand"/>
    <s v="Ranchi"/>
    <s v="Technology"/>
    <x v="2"/>
    <x v="5"/>
    <s v="Eco Accessories 933"/>
    <s v="Same Day"/>
    <x v="1"/>
    <n v="7"/>
    <n v="806.67"/>
    <n v="0.05"/>
    <n v="0.05"/>
    <n v="5364.3554999999997"/>
    <n v="5364.36"/>
    <n v="4391.29"/>
    <n v="973.07"/>
    <s v="Paid"/>
    <s v="Completed"/>
    <x v="0"/>
    <s v="Valid"/>
    <n v="973.06999999999971"/>
    <n v="0.18139550967492735"/>
    <x v="9"/>
    <x v="1"/>
    <s v="Clean"/>
  </r>
  <r>
    <s v="ORD-2025-10630"/>
    <s v="09/10/2025"/>
    <d v="2025-09-10T00:00:00"/>
    <s v="14 Sep 2025"/>
    <d v="2025-09-14T00:00:00"/>
    <s v="Valid"/>
    <n v="4"/>
    <s v="Valid"/>
    <s v="CUST-3793"/>
    <s v="Arjun Bose"/>
    <s v="Arjun Bose"/>
    <s v="Home Office"/>
    <x v="3"/>
    <s v="West"/>
    <x v="3"/>
    <s v="Gujarat"/>
    <s v="Ahmedabad"/>
    <s v="Furniture"/>
    <x v="1"/>
    <x v="1"/>
    <s v="Max Tables 908"/>
    <s v="Same Day"/>
    <x v="1"/>
    <n v="3"/>
    <n v="4198.46"/>
    <n v="0.15"/>
    <n v="0.15"/>
    <n v="10706.073"/>
    <n v="10706.07"/>
    <n v="5927.1"/>
    <n v="4778.97"/>
    <s v="Paid"/>
    <s v="Completed"/>
    <x v="0"/>
    <s v="Valid"/>
    <n v="4778.9699999999993"/>
    <n v="0.44637935870603529"/>
    <x v="7"/>
    <x v="1"/>
    <s v="Clean"/>
  </r>
  <r>
    <s v="ORD-2024-10631"/>
    <s v="2024-04-09"/>
    <d v="2024-04-09T00:00:00"/>
    <s v="2024-04-10"/>
    <d v="2024-04-10T00:00:00"/>
    <s v="Valid"/>
    <n v="1"/>
    <s v="Valid"/>
    <s v="CUST-6075"/>
    <s v="Priya Menon"/>
    <s v="Priya Menon"/>
    <s v="Corporate"/>
    <x v="2"/>
    <s v="East"/>
    <x v="1"/>
    <s v="Assam"/>
    <s v="Guwahati"/>
    <s v="Office Supplies"/>
    <x v="0"/>
    <x v="0"/>
    <s v="Elite Paper 239"/>
    <s v="Standard Class"/>
    <x v="3"/>
    <n v="4"/>
    <n v="3047.05"/>
    <n v="0.1"/>
    <n v="0.1"/>
    <n v="10969.380000000001"/>
    <n v="10969.38"/>
    <n v="9254.4599999999991"/>
    <n v="1714.92"/>
    <s v="Paid"/>
    <s v="Completed"/>
    <x v="0"/>
    <s v="Valid"/>
    <n v="1714.92"/>
    <n v="0.15633700354988156"/>
    <x v="5"/>
    <x v="0"/>
    <s v="Clean"/>
  </r>
  <r>
    <s v="ORD-2024-10632"/>
    <s v="10 Apr 2024"/>
    <d v="2024-04-10T00:00:00"/>
    <s v="15-04-2024"/>
    <d v="2024-04-15T00:00:00"/>
    <s v="Valid"/>
    <n v="5"/>
    <s v="Valid"/>
    <s v="CUST-6381"/>
    <s v="Aarav Sharma"/>
    <s v="Aarav Sharma"/>
    <s v="Home Office"/>
    <x v="3"/>
    <s v="West"/>
    <x v="3"/>
    <s v="Rajasthan"/>
    <s v="Udaipur"/>
    <s v="Furniture"/>
    <x v="1"/>
    <x v="4"/>
    <s v="Eco Chairs 452"/>
    <s v="Standard Class"/>
    <x v="3"/>
    <n v="8"/>
    <n v="4362.4799999999996"/>
    <n v="0.1"/>
    <n v="0.1"/>
    <n v="31409.855999999996"/>
    <n v="31409.86"/>
    <n v="22523.54"/>
    <n v="8886.32"/>
    <s v="Paid"/>
    <s v="Completed"/>
    <x v="0"/>
    <s v="Valid"/>
    <n v="8886.32"/>
    <n v="0.28291501877627201"/>
    <x v="5"/>
    <x v="0"/>
    <s v="Clean"/>
  </r>
  <r>
    <s v="ORD-2025-10633"/>
    <s v="15-04-2025"/>
    <d v="2025-04-15T00:00:00"/>
    <s v="16-04-2025"/>
    <d v="2025-04-16T00:00:00"/>
    <s v="Valid"/>
    <n v="1"/>
    <s v="Valid"/>
    <s v="CUST-4593"/>
    <s v="Sneha Kapoor"/>
    <s v="Sneha Kapoor"/>
    <s v="Small Business"/>
    <x v="1"/>
    <s v="South"/>
    <x v="2"/>
    <s v="Karnataka"/>
    <s v="Bengaluru"/>
    <s v="Furniture"/>
    <x v="1"/>
    <x v="3"/>
    <s v="Smart Furnishings 721"/>
    <s v="First Class"/>
    <x v="2"/>
    <n v="5"/>
    <n v="2850.53"/>
    <n v="0"/>
    <n v="0"/>
    <n v="14252.650000000001"/>
    <n v="14252.65"/>
    <n v="11558.31"/>
    <n v="2694.34"/>
    <s v="Paid"/>
    <s v="Completed"/>
    <x v="0"/>
    <s v="Valid"/>
    <n v="2694.34"/>
    <n v="0.18904133617257141"/>
    <x v="5"/>
    <x v="1"/>
    <s v="Clean"/>
  </r>
  <r>
    <s v="ORD-2025-10634"/>
    <s v="04/18/2025"/>
    <d v="2025-04-18T00:00:00"/>
    <s v="20 Apr 2025"/>
    <d v="2025-04-20T00:00:00"/>
    <s v="Valid"/>
    <n v="2"/>
    <s v="Valid"/>
    <s v="CUST-5043"/>
    <s v="Aarav Sharma"/>
    <s v="Aarav Sharma"/>
    <s v="Small Business"/>
    <x v="1"/>
    <s v="South"/>
    <x v="2"/>
    <s v="Tamil Nadu"/>
    <s v="Chennai"/>
    <s v="Technology"/>
    <x v="2"/>
    <x v="5"/>
    <s v="Basic Accessories 729"/>
    <s v="Second Class"/>
    <x v="0"/>
    <n v="1"/>
    <n v="1626.08"/>
    <n v="0.15"/>
    <n v="0.15"/>
    <n v="1382.1679999999999"/>
    <n v="1382.17"/>
    <n v="810.03"/>
    <n v="572.14"/>
    <s v="Paid"/>
    <s v="Completed"/>
    <x v="0"/>
    <s v="Valid"/>
    <n v="572.1400000000001"/>
    <n v="0.4139438910465299"/>
    <x v="5"/>
    <x v="1"/>
    <s v="Clean"/>
  </r>
  <r>
    <s v="ORD-2025-10635"/>
    <s v="01/11/2025"/>
    <d v="2025-01-11T00:00:00"/>
    <s v="12 Jan 2025"/>
    <d v="2025-01-12T00:00:00"/>
    <s v="Valid"/>
    <n v="1"/>
    <s v="Valid"/>
    <s v="CUST-4722"/>
    <s v="Aditi Sen"/>
    <s v="Aditi Sen"/>
    <s v="Consumer"/>
    <x v="0"/>
    <s v="South"/>
    <x v="2"/>
    <s v="Telangana"/>
    <s v="Hyderabad"/>
    <s v="Furniture"/>
    <x v="1"/>
    <x v="4"/>
    <s v="Classic Chairs 220"/>
    <s v="Second Class"/>
    <x v="0"/>
    <n v="4"/>
    <n v="2427.15"/>
    <n v="0.05"/>
    <n v="0.05"/>
    <n v="9223.17"/>
    <n v="9223.17"/>
    <n v="5103.7"/>
    <n v="4119.47"/>
    <s v="Paid"/>
    <s v="Completed"/>
    <x v="0"/>
    <s v="Valid"/>
    <n v="4119.47"/>
    <n v="0.44664361602355807"/>
    <x v="10"/>
    <x v="1"/>
    <s v="Clean"/>
  </r>
  <r>
    <s v="ORD-2024-10636"/>
    <s v="20 May 2024"/>
    <d v="2024-05-20T00:00:00"/>
    <s v="2024-05-25"/>
    <d v="2024-05-25T00:00:00"/>
    <s v="Valid"/>
    <n v="5"/>
    <s v="Valid"/>
    <s v="CUST-7931"/>
    <s v="Mira Das"/>
    <s v="Mira Das"/>
    <s v="Corporate"/>
    <x v="2"/>
    <s v="South"/>
    <x v="2"/>
    <s v="Andhra Pradesh"/>
    <s v="Vijayawada"/>
    <s v="Furniture"/>
    <x v="1"/>
    <x v="4"/>
    <s v="Max Chairs 305"/>
    <s v="Same Day"/>
    <x v="1"/>
    <n v="7"/>
    <n v="3122.85"/>
    <n v="0.25"/>
    <n v="0.25"/>
    <n v="16394.962500000001"/>
    <n v="16394.96"/>
    <n v="10404.17"/>
    <n v="5990.79"/>
    <s v="Paid"/>
    <s v="Completed"/>
    <x v="0"/>
    <s v="Valid"/>
    <n v="5990.7899999999991"/>
    <n v="0.36540431245268162"/>
    <x v="4"/>
    <x v="0"/>
    <s v="Clean"/>
  </r>
  <r>
    <s v="ORD-2024-10637"/>
    <s v="02 Oct 2024"/>
    <d v="2024-10-02T00:00:00"/>
    <s v="09 Oct 2024"/>
    <d v="2024-10-09T00:00:00"/>
    <s v="Valid"/>
    <n v="7"/>
    <s v="Valid"/>
    <s v="CUST-7221"/>
    <s v="Ananya Rao"/>
    <s v="Ananya Rao"/>
    <s v="Consumer"/>
    <x v="0"/>
    <s v="South"/>
    <x v="2"/>
    <s v="Tamil Nadu"/>
    <s v="Chennai"/>
    <s v="Office Supplies"/>
    <x v="0"/>
    <x v="0"/>
    <s v="Smart Paper 872"/>
    <s v="Standard Class"/>
    <x v="3"/>
    <n v="8"/>
    <n v="1910.31"/>
    <n v="0.15"/>
    <n v="0.15"/>
    <n v="12990.108"/>
    <n v="12990.11"/>
    <n v="10200.799999999999"/>
    <n v="2789.31"/>
    <s v="Paid"/>
    <s v="Completed"/>
    <x v="0"/>
    <s v="Valid"/>
    <n v="2789.3100000000013"/>
    <n v="0.2147256974306912"/>
    <x v="9"/>
    <x v="0"/>
    <s v="Clean"/>
  </r>
  <r>
    <s v="ORD-2024-10638"/>
    <s v="26-05-2024"/>
    <d v="2024-05-26T00:00:00"/>
    <s v="2024-05-26"/>
    <d v="2024-05-26T00:00:00"/>
    <s v="Valid"/>
    <n v="0"/>
    <s v="Valid"/>
    <s v="CUST-2594"/>
    <s v="Rahul Verma"/>
    <s v="Rahul Verma"/>
    <s v="Small Business"/>
    <x v="1"/>
    <s v="West"/>
    <x v="3"/>
    <s v="Goa"/>
    <s v="Panaji"/>
    <s v="Technology"/>
    <x v="2"/>
    <x v="6"/>
    <s v="Max Copiers 994"/>
    <s v="First Class"/>
    <x v="2"/>
    <n v="2"/>
    <n v="3192.47"/>
    <n v="0.2"/>
    <n v="0.2"/>
    <n v="5107.9520000000002"/>
    <n v="5107.95"/>
    <n v="3133.08"/>
    <n v="1974.87"/>
    <s v="Paid"/>
    <s v="Completed"/>
    <x v="0"/>
    <s v="Valid"/>
    <n v="1974.87"/>
    <n v="0.38662657754027441"/>
    <x v="4"/>
    <x v="0"/>
    <s v="Clean"/>
  </r>
  <r>
    <s v="ORD-2024-10639"/>
    <s v="26 Jan 2024"/>
    <d v="2024-01-26T00:00:00"/>
    <s v="31-01-2024"/>
    <d v="2024-01-31T00:00:00"/>
    <s v="Valid"/>
    <n v="5"/>
    <s v="Valid"/>
    <s v="CUST-2111"/>
    <s v="Karan Malhotra"/>
    <s v="Karan Malhotra"/>
    <s v="Corporate"/>
    <x v="2"/>
    <s v="South"/>
    <x v="2"/>
    <s v="Kerala"/>
    <s v="Kochi"/>
    <s v="Office Supplies"/>
    <x v="0"/>
    <x v="8"/>
    <s v="Pro Storage 744"/>
    <s v="Second Class"/>
    <x v="0"/>
    <n v="3"/>
    <n v="3224.32"/>
    <n v="0.2"/>
    <n v="0.2"/>
    <n v="7738.3680000000013"/>
    <n v="7738.37"/>
    <n v="4626.8500000000004"/>
    <n v="3111.52"/>
    <s v="Failed"/>
    <s v="Returned"/>
    <x v="2"/>
    <s v="Valid"/>
    <n v="3111.5199999999995"/>
    <n v="0.40208994971549544"/>
    <x v="10"/>
    <x v="0"/>
    <s v="Clean"/>
  </r>
  <r>
    <s v="ORD-2024-10640"/>
    <s v="12/27/2024"/>
    <d v="2024-12-27T00:00:00"/>
    <s v="31-12-2024"/>
    <d v="2024-12-31T00:00:00"/>
    <s v="Valid"/>
    <n v="4"/>
    <s v="Valid"/>
    <s v="CUST-6829"/>
    <s v="Isha Nair"/>
    <s v="Isha Nair"/>
    <s v="Small Business"/>
    <x v="1"/>
    <s v="East"/>
    <x v="1"/>
    <s v="Odisha"/>
    <s v="Bhubaneswar"/>
    <s v="Furniture"/>
    <x v="1"/>
    <x v="4"/>
    <s v="Elite Chairs 744"/>
    <s v="Second Class"/>
    <x v="0"/>
    <n v="1"/>
    <n v="1594.7"/>
    <n v="0.05"/>
    <n v="0.05"/>
    <n v="1514.9649999999999"/>
    <n v="1514.96"/>
    <n v="1046.17"/>
    <n v="468.79"/>
    <s v="Paid"/>
    <s v="Completed"/>
    <x v="0"/>
    <s v="Valid"/>
    <n v="468.78999999999996"/>
    <n v="0.30943949200146537"/>
    <x v="8"/>
    <x v="0"/>
    <s v="Clean"/>
  </r>
  <r>
    <s v="ORD-2025-10641"/>
    <s v="14-01-2025"/>
    <d v="2025-01-14T00:00:00"/>
    <s v="17 Jan 2025"/>
    <d v="2025-01-17T00:00:00"/>
    <s v="Valid"/>
    <n v="3"/>
    <s v="Valid"/>
    <s v="CUST-5061"/>
    <s v="Vikram Iyer"/>
    <s v="Vikram Iyer"/>
    <s v="Consumer"/>
    <x v="0"/>
    <s v="West"/>
    <x v="3"/>
    <s v="Goa"/>
    <s v="Panaji"/>
    <s v="Office Supplies"/>
    <x v="0"/>
    <x v="8"/>
    <s v="Basic Storage 973"/>
    <s v="First Class"/>
    <x v="2"/>
    <n v="1"/>
    <n v="1584.12"/>
    <n v="0.2"/>
    <n v="0.2"/>
    <n v="1267.296"/>
    <n v="1267.3"/>
    <n v="923.53"/>
    <n v="343.77"/>
    <s v="Paid"/>
    <s v="Completed"/>
    <x v="0"/>
    <s v="Valid"/>
    <n v="343.77"/>
    <n v="0.27126259374289824"/>
    <x v="10"/>
    <x v="1"/>
    <s v="Clean"/>
  </r>
  <r>
    <s v="ORD-2025-10642"/>
    <s v="2025-04-09"/>
    <d v="2025-04-09T00:00:00"/>
    <s v="2025-04-14"/>
    <d v="2025-04-14T00:00:00"/>
    <s v="Valid"/>
    <n v="5"/>
    <s v="Valid"/>
    <s v="CUST-7915"/>
    <s v="Karan Malhotra"/>
    <s v="Karan Malhotra"/>
    <s v="Consumer"/>
    <x v="0"/>
    <s v="North"/>
    <x v="0"/>
    <s v="Delhi"/>
    <s v="New Delhi"/>
    <s v="Furniture"/>
    <x v="1"/>
    <x v="3"/>
    <s v="Smart Furnishings 783"/>
    <s v="Same Day"/>
    <x v="1"/>
    <n v="2"/>
    <n v="3202.87"/>
    <n v="0"/>
    <n v="0"/>
    <n v="6405.74"/>
    <n v="6405.74"/>
    <n v="3561.87"/>
    <n v="2843.87"/>
    <s v="Paid"/>
    <s v="Completed"/>
    <x v="0"/>
    <s v="Valid"/>
    <n v="2843.87"/>
    <n v="0.44395651400150488"/>
    <x v="5"/>
    <x v="1"/>
    <s v="Clean"/>
  </r>
  <r>
    <s v="ORD-2024-10643"/>
    <s v="08/29/2024"/>
    <d v="2024-08-29T00:00:00"/>
    <s v="08/31/2024"/>
    <d v="2024-08-31T00:00:00"/>
    <s v="Valid"/>
    <n v="2"/>
    <s v="Valid"/>
    <s v="CUST-1940"/>
    <s v="Isha Nair"/>
    <s v="Isha Nair"/>
    <s v="Home Office"/>
    <x v="3"/>
    <s v="East"/>
    <x v="1"/>
    <s v="Assam"/>
    <s v="Guwahati"/>
    <s v="Office Supplies"/>
    <x v="0"/>
    <x v="9"/>
    <s v="Prime Binders 287"/>
    <s v="Second Class"/>
    <x v="0"/>
    <n v="9"/>
    <n v="1275.21"/>
    <n v="0.25"/>
    <n v="0.25"/>
    <n v="8607.6674999999996"/>
    <n v="8607.67"/>
    <n v="5337.64"/>
    <n v="3270.03"/>
    <s v="Failed"/>
    <s v="Returned"/>
    <x v="2"/>
    <s v="Valid"/>
    <n v="3270.0299999999997"/>
    <n v="0.37989734152719074"/>
    <x v="1"/>
    <x v="0"/>
    <s v="Clean"/>
  </r>
  <r>
    <s v="ORD-2024-10644"/>
    <s v="05-02-2024"/>
    <d v="2024-02-05T00:00:00"/>
    <s v="2024-02-13"/>
    <d v="2024-02-13T00:00:00"/>
    <s v="Valid"/>
    <n v="8"/>
    <s v="Valid"/>
    <s v="CUST-1986"/>
    <s v="Aarav Sharma"/>
    <s v="Aarav Sharma"/>
    <s v="Home Office"/>
    <x v="3"/>
    <s v="North"/>
    <x v="0"/>
    <s v="Uttar Pradesh"/>
    <s v="Noida"/>
    <s v="Office Supplies"/>
    <x v="0"/>
    <x v="7"/>
    <s v="Elite Labels 654"/>
    <s v="Standard Class"/>
    <x v="3"/>
    <n v="8"/>
    <n v="3871.18"/>
    <n v="0.15"/>
    <n v="0.15"/>
    <n v="26324.023999999998"/>
    <n v="26324.02"/>
    <n v="16277.96"/>
    <n v="10046.06"/>
    <s v="Failed"/>
    <s v="Returned"/>
    <x v="2"/>
    <s v="Valid"/>
    <n v="10046.060000000001"/>
    <n v="0.38163086312335842"/>
    <x v="6"/>
    <x v="0"/>
    <s v="Clean"/>
  </r>
  <r>
    <s v="ORD-2025-10645"/>
    <s v="2025-04-10"/>
    <d v="2025-04-10T00:00:00"/>
    <s v="04/17/2025"/>
    <d v="2025-04-17T00:00:00"/>
    <s v="Valid"/>
    <n v="7"/>
    <s v="Valid"/>
    <s v="CUST-5549"/>
    <s v="Vikram Iyer"/>
    <s v="Vikram Iyer"/>
    <s v="Consumer"/>
    <x v="0"/>
    <s v="East"/>
    <x v="1"/>
    <s v="West Bengal"/>
    <s v="Kolkata"/>
    <s v="Furniture"/>
    <x v="1"/>
    <x v="4"/>
    <s v="Pro Chairs 812"/>
    <s v="Standard Class"/>
    <x v="3"/>
    <n v="4"/>
    <n v="3750.02"/>
    <n v="0.05"/>
    <n v="0.05"/>
    <n v="14250.075999999999"/>
    <n v="14250.08"/>
    <n v="10914.92"/>
    <n v="3335.16"/>
    <s v="Paid"/>
    <s v="Completed"/>
    <x v="0"/>
    <s v="Valid"/>
    <n v="3335.16"/>
    <n v="0.23404506754911342"/>
    <x v="5"/>
    <x v="1"/>
    <s v="Clean"/>
  </r>
  <r>
    <s v="ORD-2024-10646"/>
    <s v="2024-01-04"/>
    <d v="2024-01-04T00:00:00"/>
    <s v="09-01-2024"/>
    <d v="2024-01-09T00:00:00"/>
    <s v="Valid"/>
    <n v="5"/>
    <s v="Valid"/>
    <s v="CUST-2314"/>
    <s v="Kabir Singh"/>
    <s v="Kabir Singh"/>
    <s v="Consumer"/>
    <x v="0"/>
    <s v="East"/>
    <x v="1"/>
    <s v="Bihar"/>
    <s v="Patna"/>
    <s v="Furniture"/>
    <x v="1"/>
    <x v="4"/>
    <s v="Basic Chairs 480"/>
    <s v="Second Class"/>
    <x v="0"/>
    <n v="6"/>
    <n v="2423.61"/>
    <n v="0.1"/>
    <n v="0.1"/>
    <n v="13087.494000000001"/>
    <n v="13087.49"/>
    <n v="7608.89"/>
    <n v="5133.22"/>
    <s v="Paid"/>
    <s v="Completed"/>
    <x v="0"/>
    <s v="Valid"/>
    <n v="5478.5999999999995"/>
    <n v="0.41861337243019936"/>
    <x v="10"/>
    <x v="0"/>
    <s v="Clean"/>
  </r>
  <r>
    <s v="ORD-2024-10647"/>
    <s v="09/18/2024"/>
    <d v="2024-09-18T00:00:00"/>
    <s v="24-09-2024"/>
    <d v="2024-09-24T00:00:00"/>
    <s v="Valid"/>
    <n v="6"/>
    <s v="Valid"/>
    <s v="CUST-6360"/>
    <s v="Vikram Iyer"/>
    <s v="Vikram Iyer"/>
    <s v="Small Business"/>
    <x v="1"/>
    <s v="East"/>
    <x v="1"/>
    <s v="Jharkhand"/>
    <s v="Ranchi"/>
    <s v="Technology"/>
    <x v="2"/>
    <x v="12"/>
    <s v="Elite Machines 955"/>
    <s v="First Class"/>
    <x v="2"/>
    <n v="3"/>
    <n v="729.14"/>
    <n v="0.25"/>
    <n v="0.25"/>
    <n v="1640.5650000000001"/>
    <n v="1640.57"/>
    <n v="1136.98"/>
    <n v="503.59"/>
    <s v="Paid"/>
    <s v="Completed"/>
    <x v="0"/>
    <s v="Valid"/>
    <n v="503.58999999999992"/>
    <n v="0.30696132125212955"/>
    <x v="7"/>
    <x v="0"/>
    <s v="Clean"/>
  </r>
  <r>
    <s v="ORD-2025-10648"/>
    <s v="01/01/2025"/>
    <d v="2025-01-01T00:00:00"/>
    <s v="09-01-2025"/>
    <d v="2025-01-09T00:00:00"/>
    <s v="Valid"/>
    <n v="8"/>
    <s v="Valid"/>
    <s v="CUST-9942"/>
    <s v="Rohan  Mehta"/>
    <s v="Rohan Mehta"/>
    <s v="Small Business"/>
    <x v="1"/>
    <s v="North"/>
    <x v="0"/>
    <s v="Punjab"/>
    <s v="Ludhiana"/>
    <s v="Office Supplies"/>
    <x v="0"/>
    <x v="2"/>
    <s v="Prime Art 461"/>
    <s v="First Class"/>
    <x v="2"/>
    <n v="8"/>
    <n v="2123.81"/>
    <n v="0.15"/>
    <n v="0.15"/>
    <n v="14441.907999999999"/>
    <n v="14441.91"/>
    <n v="10872.89"/>
    <n v="3569.02"/>
    <s v="Paid"/>
    <s v="Completed"/>
    <x v="0"/>
    <s v="Valid"/>
    <n v="3569.0200000000004"/>
    <n v="0.24712939592192393"/>
    <x v="10"/>
    <x v="1"/>
    <s v="Clean"/>
  </r>
  <r>
    <s v="ORD-2024-10649"/>
    <s v="21-04-2024"/>
    <d v="2024-04-21T00:00:00"/>
    <s v="24 Apr 2024"/>
    <d v="2024-04-24T00:00:00"/>
    <s v="Valid"/>
    <n v="3"/>
    <s v="Valid"/>
    <s v="CUST-1808"/>
    <s v="Neha Gupta"/>
    <s v="Neha Gupta"/>
    <s v="Small Business"/>
    <x v="1"/>
    <s v="South"/>
    <x v="2"/>
    <s v="Andhra Pradesh"/>
    <s v="Vijayawada"/>
    <s v="Office Supplies"/>
    <x v="0"/>
    <x v="2"/>
    <s v="Prime Art 301"/>
    <s v="Same Day"/>
    <x v="1"/>
    <n v="9"/>
    <n v="703.59"/>
    <n v="0.2"/>
    <n v="0.2"/>
    <n v="5065.8480000000009"/>
    <n v="5065.8500000000004"/>
    <n v="3517.23"/>
    <n v="1548.62"/>
    <s v="Failed"/>
    <s v="Returned"/>
    <x v="2"/>
    <s v="Valid"/>
    <n v="1548.6200000000003"/>
    <n v="0.30569807858427656"/>
    <x v="5"/>
    <x v="0"/>
    <s v="Clean"/>
  </r>
  <r>
    <s v="ORD-2025-10650"/>
    <s v="11 Aug 2025"/>
    <d v="2025-08-11T00:00:00"/>
    <s v="19-08-2025"/>
    <d v="2025-08-19T00:00:00"/>
    <s v="Valid"/>
    <n v="8"/>
    <s v="Valid"/>
    <s v="CUST-7277"/>
    <s v="Kabir Singh"/>
    <s v="Kabir Singh"/>
    <s v="Small Business"/>
    <x v="1"/>
    <s v="South"/>
    <x v="2"/>
    <s v="Kerala"/>
    <s v="Kochi"/>
    <s v="Technology"/>
    <x v="2"/>
    <x v="5"/>
    <s v="Classic Accessories 354"/>
    <s v="Standard Class"/>
    <x v="3"/>
    <n v="4"/>
    <n v="2258.96"/>
    <n v="0.25"/>
    <n v="0.25"/>
    <n v="6776.88"/>
    <n v="6776.88"/>
    <n v="3836.24"/>
    <n v="2940.64"/>
    <s v="Paid"/>
    <s v="Completed"/>
    <x v="0"/>
    <s v="Valid"/>
    <n v="2940.6400000000003"/>
    <n v="0.43392239496641527"/>
    <x v="1"/>
    <x v="1"/>
    <s v="Clean"/>
  </r>
  <r>
    <s v="ORD-2024-10651"/>
    <s v="04/13/2024"/>
    <d v="2024-04-13T00:00:00"/>
    <s v="21 Apr 2024"/>
    <d v="2024-04-21T00:00:00"/>
    <s v="Valid"/>
    <n v="8"/>
    <s v="Valid"/>
    <s v="CUST-7744"/>
    <s v="Aarav Sharma"/>
    <s v="Aarav Sharma"/>
    <s v="Home Office"/>
    <x v="3"/>
    <s v="East"/>
    <x v="1"/>
    <s v="Bihar"/>
    <s v="Patna"/>
    <s v="Technology"/>
    <x v="2"/>
    <x v="5"/>
    <s v="Basic Accessories 210"/>
    <s v="Same Day"/>
    <x v="1"/>
    <n v="7"/>
    <n v="2648.76"/>
    <n v="0.15"/>
    <n v="0.15"/>
    <n v="15760.121999999999"/>
    <n v="15760.12"/>
    <n v="9931.5300000000007"/>
    <n v="5828.59"/>
    <s v="Failed"/>
    <s v="Returned"/>
    <x v="2"/>
    <s v="Valid"/>
    <n v="5828.59"/>
    <n v="0.369831527953908"/>
    <x v="5"/>
    <x v="0"/>
    <s v="Clean"/>
  </r>
  <r>
    <s v="ORD-2025-10652"/>
    <s v="06 Aug 2025"/>
    <d v="2025-08-06T00:00:00"/>
    <s v="09-08-2025"/>
    <d v="2025-08-09T00:00:00"/>
    <s v="Valid"/>
    <n v="3"/>
    <s v="Valid"/>
    <s v="CUST-2660"/>
    <s v="Mira Das"/>
    <s v="Mira Das"/>
    <s v="Small Business"/>
    <x v="1"/>
    <s v="South"/>
    <x v="2"/>
    <s v="Andhra Pradesh"/>
    <s v="Vijayawada"/>
    <s v="Office Supplies"/>
    <x v="0"/>
    <x v="0"/>
    <s v="Smart Paper 364"/>
    <s v="Second Class"/>
    <x v="0"/>
    <n v="3"/>
    <n v="598.54999999999995"/>
    <n v="0"/>
    <n v="0"/>
    <n v="1795.6499999999999"/>
    <n v="1795.65"/>
    <n v="996.72"/>
    <n v="798.93"/>
    <s v="Paid"/>
    <s v="Completed"/>
    <x v="0"/>
    <s v="Valid"/>
    <n v="798.93000000000006"/>
    <n v="0.44492523598696859"/>
    <x v="1"/>
    <x v="1"/>
    <s v="Clean"/>
  </r>
  <r>
    <s v="ORD-2025-10653"/>
    <s v="03/17/2025"/>
    <d v="2025-03-17T00:00:00"/>
    <s v="2025-03-21"/>
    <d v="2025-03-21T00:00:00"/>
    <s v="Valid"/>
    <n v="4"/>
    <s v="Valid"/>
    <s v="CUST-8177"/>
    <s v="Sneha Kapoor"/>
    <s v="Sneha Kapoor"/>
    <s v="Consumer"/>
    <x v="0"/>
    <s v="North"/>
    <x v="0"/>
    <s v="Uttar Pradesh"/>
    <s v="Noida"/>
    <s v="Office Supplies"/>
    <x v="0"/>
    <x v="9"/>
    <s v="Smart Binders 999"/>
    <s v="Standard Class"/>
    <x v="3"/>
    <n v="5"/>
    <n v="4320.59"/>
    <n v="0.15"/>
    <n v="0.15"/>
    <n v="18362.5075"/>
    <n v="18362.509999999998"/>
    <n v="11133.97"/>
    <n v="7228.54"/>
    <s v="Paid"/>
    <s v="Completed"/>
    <x v="0"/>
    <s v="Valid"/>
    <n v="7228.5399999999991"/>
    <n v="0.39365756555851639"/>
    <x v="11"/>
    <x v="1"/>
    <s v="Clean"/>
  </r>
  <r>
    <s v="ORD-2025-10654"/>
    <s v="04-04-2025"/>
    <d v="2025-04-04T00:00:00"/>
    <s v="04/07/2025"/>
    <d v="2025-04-07T00:00:00"/>
    <s v="Valid"/>
    <n v="3"/>
    <s v="Valid"/>
    <s v="CUST-3970"/>
    <s v="Priya Menon"/>
    <s v="Priya Menon"/>
    <s v="Small Business"/>
    <x v="1"/>
    <s v="South"/>
    <x v="2"/>
    <s v="Tamil Nadu"/>
    <s v="Chennai"/>
    <s v="Technology"/>
    <x v="2"/>
    <x v="6"/>
    <s v="Max Copiers 356"/>
    <s v="Second Class"/>
    <x v="0"/>
    <n v="7"/>
    <n v="4457.93"/>
    <n v="0.15"/>
    <n v="0.15"/>
    <n v="26524.683500000003"/>
    <n v="26524.68"/>
    <n v="20574.3"/>
    <n v="5950.38"/>
    <s v="Paid"/>
    <s v="Completed"/>
    <x v="0"/>
    <s v="Valid"/>
    <n v="5950.380000000001"/>
    <n v="0.22433368526338873"/>
    <x v="5"/>
    <x v="1"/>
    <s v="Clean"/>
  </r>
  <r>
    <s v="ORD-2025-10655"/>
    <s v="10/12/2025"/>
    <d v="2025-10-12T00:00:00"/>
    <s v="16-10-2025"/>
    <d v="2025-10-16T00:00:00"/>
    <s v="Valid"/>
    <n v="4"/>
    <s v="Valid"/>
    <s v="CUST-8249"/>
    <s v="Diya Patel"/>
    <s v="Diya Patel"/>
    <s v="Corporate"/>
    <x v="2"/>
    <s v="East"/>
    <x v="1"/>
    <s v="Bihar"/>
    <s v="Patna"/>
    <s v="Technology"/>
    <x v="2"/>
    <x v="12"/>
    <s v="Classic Machines 639"/>
    <s v="Same Day"/>
    <x v="1"/>
    <n v="1"/>
    <n v="2570.06"/>
    <n v="0.2"/>
    <n v="0.2"/>
    <n v="2056.0480000000002"/>
    <n v="2056.0500000000002"/>
    <n v="1662.39"/>
    <n v="393.66"/>
    <s v="Paid"/>
    <s v="Completed"/>
    <x v="0"/>
    <s v="Valid"/>
    <n v="393.66000000000008"/>
    <n v="0.19146440160930098"/>
    <x v="9"/>
    <x v="1"/>
    <s v="Clean"/>
  </r>
  <r>
    <s v="ORD-2025-10656"/>
    <s v="08/26/2025"/>
    <d v="2025-08-26T00:00:00"/>
    <s v="08/26/2025"/>
    <d v="2025-08-26T00:00:00"/>
    <s v="Valid"/>
    <n v="0"/>
    <s v="Valid"/>
    <s v="CUST-8039"/>
    <s v="Neha Gupta"/>
    <s v="Neha Gupta"/>
    <s v="Home Office"/>
    <x v="3"/>
    <s v="East"/>
    <x v="1"/>
    <s v="West Bengal"/>
    <s v="Kolkata"/>
    <s v="Furniture"/>
    <x v="1"/>
    <x v="3"/>
    <s v="Smart Furnishings 748"/>
    <s v="Standard Class"/>
    <x v="3"/>
    <n v="4"/>
    <n v="2151.8200000000002"/>
    <n v="0"/>
    <n v="0"/>
    <n v="8607.2800000000007"/>
    <n v="8607.2800000000007"/>
    <n v="5124.01"/>
    <n v="3483.27"/>
    <s v="Paid"/>
    <s v="Completed"/>
    <x v="0"/>
    <s v="Valid"/>
    <n v="3483.2700000000004"/>
    <n v="0.40468882155570635"/>
    <x v="1"/>
    <x v="1"/>
    <s v="Clean"/>
  </r>
  <r>
    <s v="ORD-2024-10657"/>
    <s v="07-05-2024"/>
    <d v="2024-05-07T00:00:00"/>
    <s v="05/14/2024"/>
    <d v="2024-05-14T00:00:00"/>
    <s v="Valid"/>
    <n v="7"/>
    <s v="Valid"/>
    <s v="CUST-4446"/>
    <s v="Neha Gupta"/>
    <s v="Neha Gupta"/>
    <s v="Small Business"/>
    <x v="1"/>
    <s v="North"/>
    <x v="0"/>
    <s v="Haryana"/>
    <s v="Gurugram"/>
    <s v="Technology"/>
    <x v="2"/>
    <x v="12"/>
    <s v="Pro Machines 589"/>
    <s v="Same Day"/>
    <x v="1"/>
    <n v="4"/>
    <n v="2751.1"/>
    <n v="-0.05"/>
    <n v="-0.05"/>
    <n v="11554.62"/>
    <n v="9903.9599999999991"/>
    <n v="7696.28"/>
    <n v="2207.6799999999998"/>
    <s v="Paid"/>
    <s v="Completed"/>
    <x v="0"/>
    <s v="Invalid - Negative Discount"/>
    <n v="2207.6799999999994"/>
    <n v="0.19106469966126097"/>
    <x v="4"/>
    <x v="0"/>
    <s v="Clean"/>
  </r>
  <r>
    <s v="ORD-2025-10658"/>
    <s v="08/07/2025"/>
    <d v="2025-08-07T00:00:00"/>
    <s v="2025-08-10"/>
    <d v="2025-08-10T00:00:00"/>
    <s v="Valid"/>
    <n v="3"/>
    <s v="Valid"/>
    <s v="CUST-7787"/>
    <s v="Aditi Sen"/>
    <s v="Aditi Sen"/>
    <s v="Home Office"/>
    <x v="3"/>
    <s v="East"/>
    <x v="1"/>
    <s v="Bihar"/>
    <s v="Patna"/>
    <s v="Office Supplies"/>
    <x v="0"/>
    <x v="8"/>
    <s v="Eco Storage 316"/>
    <s v="Second Class"/>
    <x v="0"/>
    <n v="1"/>
    <n v="2541.25"/>
    <n v="0.2"/>
    <n v="0.2"/>
    <n v="2033"/>
    <n v="2033"/>
    <n v="1291.4100000000001"/>
    <n v="741.59"/>
    <s v="Paid"/>
    <s v="Completed"/>
    <x v="0"/>
    <s v="Valid"/>
    <n v="741.58999999999992"/>
    <n v="0.36477619281849477"/>
    <x v="1"/>
    <x v="1"/>
    <s v="Clean"/>
  </r>
  <r>
    <s v="ORD-2025-10659"/>
    <s v="2025-06-09"/>
    <d v="2025-06-09T00:00:00"/>
    <s v="06/12/2025"/>
    <d v="2025-06-12T00:00:00"/>
    <s v="Valid"/>
    <n v="3"/>
    <s v="Valid"/>
    <s v="CUST-9074"/>
    <s v="Sneha Kapoor"/>
    <s v="Sneha Kapoor"/>
    <s v="Consumer"/>
    <x v="0"/>
    <m/>
    <x v="4"/>
    <s v="Bihar"/>
    <s v="Patna"/>
    <s v="Office Supplies"/>
    <x v="0"/>
    <x v="2"/>
    <s v="Eco Art 763"/>
    <s v="First Class"/>
    <x v="2"/>
    <n v="7"/>
    <n v="2852.42"/>
    <n v="0"/>
    <n v="0"/>
    <n v="19966.940000000002"/>
    <n v="19966.939999999999"/>
    <n v="12690.83"/>
    <n v="7276.11"/>
    <s v="Refunded"/>
    <s v="Cancelled"/>
    <x v="1"/>
    <s v="Valid"/>
    <n v="7276.1099999999988"/>
    <n v="0.36440786620283316"/>
    <x v="2"/>
    <x v="1"/>
    <s v="Clean"/>
  </r>
  <r>
    <s v="ORD-2025-10660"/>
    <s v="21-01-2025"/>
    <d v="2025-01-21T00:00:00"/>
    <s v="2025-01-22"/>
    <d v="2025-01-22T00:00:00"/>
    <s v="Valid"/>
    <n v="1"/>
    <s v="Valid"/>
    <s v="CUST-8330"/>
    <s v="Diya Patel"/>
    <s v="Diya Patel"/>
    <s v="Corporate"/>
    <x v="2"/>
    <s v="South"/>
    <x v="2"/>
    <s v="Karnataka"/>
    <s v="Bengaluru"/>
    <s v="Technology"/>
    <x v="2"/>
    <x v="11"/>
    <s v="Pro Phones 356"/>
    <s v="Second Class"/>
    <x v="0"/>
    <n v="2"/>
    <n v="444.31"/>
    <n v="0.2"/>
    <n v="0.2"/>
    <n v="710.89600000000007"/>
    <n v="710.9"/>
    <n v="513.88"/>
    <n v="197.02"/>
    <s v="Refunded"/>
    <s v="Cancelled"/>
    <x v="1"/>
    <s v="Valid"/>
    <n v="197.01999999999998"/>
    <n v="0.27714321082127336"/>
    <x v="10"/>
    <x v="1"/>
    <s v="Clean"/>
  </r>
  <r>
    <s v="ORD-2025-10661"/>
    <s v="07/15/2025"/>
    <d v="2025-07-15T00:00:00"/>
    <s v="15-07-2025"/>
    <d v="2025-07-15T00:00:00"/>
    <s v="Valid"/>
    <n v="0"/>
    <s v="Valid"/>
    <s v="CUST-5638"/>
    <s v="Arjun Bose"/>
    <s v="Arjun Bose"/>
    <s v="Small Business"/>
    <x v="1"/>
    <s v="East"/>
    <x v="1"/>
    <s v="Jharkhand"/>
    <s v="Ranchi"/>
    <s v="Technology"/>
    <x v="2"/>
    <x v="11"/>
    <s v="Basic Phones 865"/>
    <s v="Same Day"/>
    <x v="1"/>
    <n v="4"/>
    <n v="4442.91"/>
    <n v="0.1"/>
    <n v="0.1"/>
    <n v="15994.476000000001"/>
    <n v="15994.48"/>
    <n v="9224.2800000000007"/>
    <n v="6770.2"/>
    <s v="Paid"/>
    <s v="Completed"/>
    <x v="0"/>
    <s v="Valid"/>
    <n v="6770.1999999999989"/>
    <n v="0.4232836386762529"/>
    <x v="0"/>
    <x v="1"/>
    <s v="Clean"/>
  </r>
  <r>
    <s v="ORD-2024-10662"/>
    <s v="17-05-2024"/>
    <d v="2024-05-17T00:00:00"/>
    <s v="2024-05-22"/>
    <d v="2024-05-22T00:00:00"/>
    <s v="Valid"/>
    <n v="5"/>
    <s v="Valid"/>
    <s v="CUST-4537"/>
    <s v="Sneha Kapoor"/>
    <s v="Sneha Kapoor"/>
    <s v="Consumer"/>
    <x v="0"/>
    <s v="South"/>
    <x v="2"/>
    <s v="Andhra Pradesh"/>
    <s v="Vijayawada"/>
    <s v="Technology"/>
    <x v="2"/>
    <x v="12"/>
    <s v="Max Machines 595"/>
    <s v="Second Class"/>
    <x v="0"/>
    <n v="7"/>
    <n v="232.5"/>
    <n v="0"/>
    <n v="0"/>
    <n v="1627.5"/>
    <n v="1627.5"/>
    <n v="939.9"/>
    <n v="687.6"/>
    <s v="Paid"/>
    <s v="Completed"/>
    <x v="0"/>
    <s v="Valid"/>
    <n v="687.6"/>
    <n v="0.4224884792626728"/>
    <x v="4"/>
    <x v="0"/>
    <s v="Clean"/>
  </r>
  <r>
    <s v="ORD-2024-10663"/>
    <s v="2024-01-14"/>
    <d v="2024-01-14T00:00:00"/>
    <s v="18-01-2024"/>
    <d v="2024-01-18T00:00:00"/>
    <s v="Valid"/>
    <n v="4"/>
    <s v="Valid"/>
    <s v="CUST-3181"/>
    <s v="Mira Das"/>
    <s v="Mira Das"/>
    <s v="Home Office"/>
    <x v="3"/>
    <s v="West"/>
    <x v="3"/>
    <s v="Rajasthan"/>
    <s v="Udaipur"/>
    <s v="Technology"/>
    <x v="2"/>
    <x v="12"/>
    <s v="Elite Machines 367"/>
    <s v="Same Day"/>
    <x v="1"/>
    <n v="6"/>
    <n v="1784.8"/>
    <n v="0.1"/>
    <n v="0.1"/>
    <n v="9637.92"/>
    <n v="9637.92"/>
    <n v="7329.29"/>
    <n v="2308.63"/>
    <s v="Paid"/>
    <s v="Completed"/>
    <x v="0"/>
    <s v="Valid"/>
    <n v="2308.63"/>
    <n v="0.2395361239769577"/>
    <x v="10"/>
    <x v="0"/>
    <s v="Clean"/>
  </r>
  <r>
    <s v="ORD-2024-10664"/>
    <s v="05/02/2024"/>
    <d v="2024-05-02T00:00:00"/>
    <s v="2024-05-08"/>
    <d v="2024-05-08T00:00:00"/>
    <s v="Valid"/>
    <n v="6"/>
    <s v="Valid"/>
    <s v="CUST-1015"/>
    <s v="Rahul Verma"/>
    <s v="Rahul Verma"/>
    <s v="Home Office"/>
    <x v="3"/>
    <s v="East"/>
    <x v="1"/>
    <s v="Jharkhand"/>
    <s v="Ranchi"/>
    <s v="Technology"/>
    <x v="2"/>
    <x v="6"/>
    <s v="Basic Copiers 787"/>
    <s v="Second Class"/>
    <x v="0"/>
    <n v="2"/>
    <n v="3185.01"/>
    <n v="-0.24"/>
    <n v="-0.24"/>
    <n v="7898.8248000000003"/>
    <n v="4777.5200000000004"/>
    <n v="3152.98"/>
    <n v="1624.54"/>
    <s v="Paid"/>
    <s v="Completed"/>
    <x v="0"/>
    <s v="Invalid - Negative Discount"/>
    <n v="1624.5400000000004"/>
    <n v="0.20566856983585716"/>
    <x v="4"/>
    <x v="0"/>
    <s v="Clean"/>
  </r>
  <r>
    <s v="ORD-2024-10665"/>
    <s v="07 Dec 2024"/>
    <d v="2024-12-07T00:00:00"/>
    <s v="10 Dec 2024"/>
    <d v="2024-12-10T00:00:00"/>
    <s v="Valid"/>
    <n v="3"/>
    <s v="Valid"/>
    <s v="CUST-2709"/>
    <s v="Mira Das"/>
    <s v="Mira Das"/>
    <s v="Home Office"/>
    <x v="3"/>
    <s v="South"/>
    <x v="2"/>
    <s v="Telangana"/>
    <s v="Hyderabad"/>
    <s v="Technology"/>
    <x v="2"/>
    <x v="5"/>
    <s v="Max Accessories 903"/>
    <s v="Standard Class"/>
    <x v="3"/>
    <n v="1"/>
    <n v="1908.83"/>
    <n v="0.2"/>
    <n v="0.2"/>
    <n v="1527.0640000000001"/>
    <n v="1527.06"/>
    <n v="1055.8900000000001"/>
    <n v="471.17"/>
    <s v="Paid"/>
    <s v="Completed"/>
    <x v="0"/>
    <s v="Valid"/>
    <n v="471.16999999999985"/>
    <n v="0.30854633466573755"/>
    <x v="8"/>
    <x v="0"/>
    <s v="Clean"/>
  </r>
  <r>
    <s v="ORD-2025-10666"/>
    <s v="2025-01-13"/>
    <d v="2025-01-13T00:00:00"/>
    <s v="01/13/2025"/>
    <d v="2025-01-13T00:00:00"/>
    <s v="Valid"/>
    <n v="0"/>
    <s v="Valid"/>
    <s v="CUST-1197"/>
    <s v="Rahul Verma"/>
    <s v="Rahul Verma"/>
    <s v="Home Office"/>
    <x v="3"/>
    <s v="West"/>
    <x v="3"/>
    <s v="Gujarat"/>
    <s v="Ahmedabad"/>
    <s v="Office Supplies"/>
    <x v="0"/>
    <x v="2"/>
    <s v="Max Art 660"/>
    <s v="Standard Class"/>
    <x v="3"/>
    <n v="3"/>
    <n v="2110.52"/>
    <n v="0.1"/>
    <n v="0.1"/>
    <n v="5698.4039999999995"/>
    <n v="5698.4"/>
    <n v="3640.89"/>
    <n v="2057.5100000000002"/>
    <s v="Failed"/>
    <s v="Cancelled"/>
    <x v="1"/>
    <s v="Valid"/>
    <n v="2057.5099999999998"/>
    <n v="0.36106776564104615"/>
    <x v="10"/>
    <x v="1"/>
    <s v="Clean"/>
  </r>
  <r>
    <s v="ORD-2024-10667"/>
    <s v="21 Jun 2024"/>
    <d v="2024-06-21T00:00:00"/>
    <s v="06/26/2024"/>
    <d v="2024-06-26T00:00:00"/>
    <s v="Valid"/>
    <n v="5"/>
    <s v="Valid"/>
    <s v="CUST-7758"/>
    <s v="Rohan Mehta"/>
    <s v="Rohan Mehta"/>
    <s v="Small Business"/>
    <x v="1"/>
    <s v="North"/>
    <x v="0"/>
    <s v="Punjab"/>
    <s v="Ludhiana"/>
    <s v="Technology"/>
    <x v="2"/>
    <x v="6"/>
    <s v="Classic Copiers 908"/>
    <s v="Same Day"/>
    <x v="1"/>
    <n v="1"/>
    <n v="279.83"/>
    <n v="0.05"/>
    <n v="0.05"/>
    <n v="265.83849999999995"/>
    <n v="265.83999999999997"/>
    <n v="223.49"/>
    <n v="42.35"/>
    <s v="Paid"/>
    <s v="Completed"/>
    <x v="0"/>
    <s v="Valid"/>
    <n v="42.349999999999966"/>
    <n v="0.15930724857385206"/>
    <x v="2"/>
    <x v="0"/>
    <s v="Clean"/>
  </r>
  <r>
    <s v="ORD-2025-10668"/>
    <s v="20-05-2025"/>
    <d v="2025-05-20T00:00:00"/>
    <s v="27-05-2025"/>
    <d v="2025-05-27T00:00:00"/>
    <s v="Valid"/>
    <n v="7"/>
    <s v="Valid"/>
    <s v="CUST-3912"/>
    <s v="Diya Patel"/>
    <s v="Diya Patel"/>
    <s v="Small Business"/>
    <x v="1"/>
    <s v="East"/>
    <x v="1"/>
    <s v="Bihar"/>
    <s v="Patna"/>
    <s v="Technology"/>
    <x v="2"/>
    <x v="12"/>
    <s v="Pro Machines 706"/>
    <s v="Standard Class"/>
    <x v="3"/>
    <n v="1"/>
    <n v="3959.14"/>
    <n v="0"/>
    <n v="0"/>
    <n v="3959.14"/>
    <n v="3959.14"/>
    <n v="3239.53"/>
    <n v="719.61"/>
    <s v="Pending"/>
    <s v="Returned"/>
    <x v="2"/>
    <s v="Valid"/>
    <n v="719.60999999999967"/>
    <n v="0.18175916992074029"/>
    <x v="4"/>
    <x v="1"/>
    <s v="Clean"/>
  </r>
  <r>
    <s v="ORD-2024-10669"/>
    <s v="11/21/2024"/>
    <d v="2024-11-21T00:00:00"/>
    <s v="23 Nov 2024"/>
    <d v="2024-11-23T00:00:00"/>
    <s v="Valid"/>
    <n v="2"/>
    <s v="Valid"/>
    <s v="CUST-4190"/>
    <s v="Mira Das"/>
    <s v="Mira Das"/>
    <s v="Corporate"/>
    <x v="2"/>
    <s v="West"/>
    <x v="3"/>
    <s v="Gujarat"/>
    <s v="Ahmedabad"/>
    <s v="Office Supplies"/>
    <x v="0"/>
    <x v="0"/>
    <s v="Pro Paper 187"/>
    <s v="Second Class"/>
    <x v="0"/>
    <n v="5"/>
    <n v="600.46"/>
    <n v="0.2"/>
    <n v="0.2"/>
    <n v="2401.84"/>
    <n v="2401.84"/>
    <n v="1873.11"/>
    <n v="528.73"/>
    <s v="Paid"/>
    <s v="Completed"/>
    <x v="0"/>
    <s v="Valid"/>
    <n v="528.73000000000025"/>
    <n v="0.22013539619624964"/>
    <x v="3"/>
    <x v="0"/>
    <s v="Clean"/>
  </r>
  <r>
    <s v="ORD-2024-10670"/>
    <s v="2024-03-24"/>
    <d v="2024-03-24T00:00:00"/>
    <s v="01 Apr 2024"/>
    <d v="2024-04-01T00:00:00"/>
    <s v="Valid"/>
    <n v="8"/>
    <s v="Valid"/>
    <s v="CUST-7568"/>
    <s v="Ananya Rao"/>
    <s v="Ananya Rao"/>
    <s v="Home Office"/>
    <x v="3"/>
    <s v="West"/>
    <x v="3"/>
    <s v="Maharashtra"/>
    <s v="Mumbai"/>
    <s v="Furniture"/>
    <x v="1"/>
    <x v="1"/>
    <s v="Classic Tables 606"/>
    <s v="Second Class"/>
    <x v="0"/>
    <n v="4"/>
    <n v="1700.72"/>
    <n v="0.25"/>
    <n v="0.25"/>
    <n v="5102.16"/>
    <n v="5102.16"/>
    <n v="3226.45"/>
    <n v="1875.71"/>
    <s v="Paid"/>
    <s v="Completed"/>
    <x v="0"/>
    <s v="Valid"/>
    <n v="1875.71"/>
    <n v="0.36763057214983458"/>
    <x v="11"/>
    <x v="0"/>
    <s v="Clean"/>
  </r>
  <r>
    <s v="ORD-2025-10671"/>
    <s v="02/02/2025"/>
    <d v="2025-02-02T00:00:00"/>
    <s v="06 Feb 2025"/>
    <d v="2025-02-06T00:00:00"/>
    <s v="Valid"/>
    <n v="4"/>
    <s v="Valid"/>
    <s v="CUST-5604"/>
    <s v="Sneha Kapoor"/>
    <s v="Sneha Kapoor"/>
    <s v="Corporate"/>
    <x v="2"/>
    <s v="North"/>
    <x v="0"/>
    <s v="Uttar Pradesh"/>
    <s v="Noida"/>
    <s v="Furniture"/>
    <x v="1"/>
    <x v="1"/>
    <s v="Smart Tables 835"/>
    <s v="Standard Class"/>
    <x v="3"/>
    <n v="8"/>
    <n v="857.86"/>
    <n v="0.1"/>
    <n v="0.1"/>
    <n v="6176.5920000000006"/>
    <n v="6176.59"/>
    <n v="3560.96"/>
    <n v="2615.63"/>
    <s v="Paid"/>
    <s v="Completed"/>
    <x v="0"/>
    <s v="Valid"/>
    <n v="2615.63"/>
    <n v="0.42347462807969183"/>
    <x v="6"/>
    <x v="1"/>
    <s v="Clean"/>
  </r>
  <r>
    <s v="ORD-2024-10672"/>
    <s v="2024-03-22"/>
    <d v="2024-03-22T00:00:00"/>
    <s v="27-03-2024"/>
    <d v="2024-03-27T00:00:00"/>
    <s v="Valid"/>
    <n v="5"/>
    <s v="Valid"/>
    <s v="CUST-3293"/>
    <s v="Aditi Sen"/>
    <s v="Aditi Sen"/>
    <s v="Home Office"/>
    <x v="3"/>
    <s v="West"/>
    <x v="3"/>
    <s v="Goa"/>
    <s v="Panaji"/>
    <s v="Technology"/>
    <x v="2"/>
    <x v="6"/>
    <s v="Classic Copiers 583"/>
    <s v="Second Class"/>
    <x v="0"/>
    <n v="9"/>
    <n v="3649.51"/>
    <n v="0.05"/>
    <n v="0.05"/>
    <n v="31203.310500000003"/>
    <n v="31203.31"/>
    <n v="17738.13"/>
    <n v="13465.18"/>
    <s v="Paid"/>
    <s v="Completed"/>
    <x v="0"/>
    <s v="Valid"/>
    <n v="13465.18"/>
    <n v="0.43153049417625089"/>
    <x v="11"/>
    <x v="0"/>
    <s v="Clean"/>
  </r>
  <r>
    <s v="ORD-2024-10673"/>
    <s v="2024-09-04"/>
    <d v="2024-09-04T00:00:00"/>
    <s v="2024-09-05"/>
    <d v="2024-09-05T00:00:00"/>
    <s v="Valid"/>
    <n v="1"/>
    <s v="Valid"/>
    <s v="CUST-8180"/>
    <s v="Aditi Sen"/>
    <s v="Aditi Sen"/>
    <s v="Corporate"/>
    <x v="2"/>
    <s v="West"/>
    <x v="3"/>
    <s v="Madhya Pradesh"/>
    <s v="Indore"/>
    <s v="Furniture"/>
    <x v="1"/>
    <x v="4"/>
    <s v="Classic Chairs 460"/>
    <s v="Standard Class"/>
    <x v="3"/>
    <n v="5"/>
    <n v="2528.5300000000002"/>
    <n v="0.05"/>
    <n v="0.05"/>
    <n v="12010.5175"/>
    <n v="12010.52"/>
    <n v="7864.61"/>
    <n v="4145.91"/>
    <s v="Paid"/>
    <s v="Returned"/>
    <x v="2"/>
    <s v="Valid"/>
    <n v="4145.9100000000008"/>
    <n v="0.34518995538701813"/>
    <x v="7"/>
    <x v="0"/>
    <s v="Clean"/>
  </r>
  <r>
    <s v="ORD-2025-10674"/>
    <s v="2025-02-13"/>
    <d v="2025-02-13T00:00:00"/>
    <s v="16 Feb 2025"/>
    <d v="2025-02-16T00:00:00"/>
    <s v="Valid"/>
    <n v="3"/>
    <s v="Valid"/>
    <s v="CUST-2807"/>
    <s v="Arjun Bose"/>
    <s v="Arjun Bose"/>
    <s v="Small Business"/>
    <x v="1"/>
    <s v="West"/>
    <x v="3"/>
    <s v="Rajasthan"/>
    <s v="Udaipur"/>
    <s v="Furniture"/>
    <x v="1"/>
    <x v="10"/>
    <s v="Classic Bookcases 488"/>
    <s v="Second Class"/>
    <x v="0"/>
    <n v="4"/>
    <n v="4072.9"/>
    <n v="0.15"/>
    <n v="0.15"/>
    <n v="13847.86"/>
    <n v="13847.86"/>
    <n v="8471.7800000000007"/>
    <n v="5376.08"/>
    <s v="Paid"/>
    <s v="Completed"/>
    <x v="0"/>
    <s v="Valid"/>
    <n v="5376.08"/>
    <n v="0.38822460654570451"/>
    <x v="6"/>
    <x v="1"/>
    <s v="Clean"/>
  </r>
  <r>
    <s v="ORD-2024-10675"/>
    <s v="2024-05-18"/>
    <d v="2024-05-18T00:00:00"/>
    <s v="2024-05-21"/>
    <d v="2024-05-21T00:00:00"/>
    <s v="Valid"/>
    <n v="3"/>
    <s v="Valid"/>
    <s v="CUST-4081"/>
    <s v="Vikram Iyer"/>
    <s v="Vikram Iyer"/>
    <s v="Corporate"/>
    <x v="2"/>
    <s v="East"/>
    <x v="1"/>
    <s v="Jharkhand"/>
    <s v="Ranchi"/>
    <s v="Technology"/>
    <x v="2"/>
    <x v="5"/>
    <s v="Basic Accessories 944"/>
    <s v="Second Class"/>
    <x v="0"/>
    <n v="1"/>
    <n v="1033.71"/>
    <n v="0"/>
    <n v="0"/>
    <n v="1033.71"/>
    <n v="1033.71"/>
    <n v="630.82000000000005"/>
    <n v="402.89"/>
    <s v="Pending"/>
    <s v="Returned"/>
    <x v="2"/>
    <s v="Valid"/>
    <n v="402.89"/>
    <n v="0.38975147768716562"/>
    <x v="4"/>
    <x v="0"/>
    <s v="Clean"/>
  </r>
  <r>
    <s v="ORD-2025-10676"/>
    <s v="07-06-2025"/>
    <d v="2025-06-07T00:00:00"/>
    <s v="06/10/2025"/>
    <d v="2025-06-10T00:00:00"/>
    <s v="Valid"/>
    <n v="3"/>
    <s v="Valid"/>
    <s v="CUST-5061"/>
    <s v="Aarav Sharma"/>
    <s v="Aarav Sharma"/>
    <s v="Consumer"/>
    <x v="0"/>
    <s v="North"/>
    <x v="0"/>
    <s v="Rajasthan"/>
    <s v="Jaipur"/>
    <s v="Furniture"/>
    <x v="1"/>
    <x v="3"/>
    <s v="Eco Furnishings 217"/>
    <s v="Same Day"/>
    <x v="1"/>
    <n v="3"/>
    <n v="963.26"/>
    <n v="0"/>
    <n v="0"/>
    <n v="2889.7799999999997"/>
    <n v="2889.78"/>
    <n v="1811.23"/>
    <n v="1078.55"/>
    <s v="Paid"/>
    <s v="Completed"/>
    <x v="0"/>
    <s v="Valid"/>
    <n v="1078.5500000000002"/>
    <n v="0.37322910394562919"/>
    <x v="2"/>
    <x v="1"/>
    <s v="Clean"/>
  </r>
  <r>
    <s v="ORD-2025-10677"/>
    <s v="09/11/2025"/>
    <d v="2025-09-11T00:00:00"/>
    <s v="09/18/2025"/>
    <d v="2025-09-18T00:00:00"/>
    <s v="Valid"/>
    <n v="7"/>
    <s v="Valid"/>
    <s v="CUST-9212"/>
    <s v="Rahul Verma"/>
    <s v="Rahul Verma"/>
    <s v="Small Business"/>
    <x v="1"/>
    <s v="North"/>
    <x v="0"/>
    <s v="Delhi"/>
    <s v="New Delhi"/>
    <s v="Technology"/>
    <x v="2"/>
    <x v="11"/>
    <s v="Smart Phones 967"/>
    <s v="Same Day"/>
    <x v="1"/>
    <n v="7"/>
    <n v="3411.21"/>
    <n v="0.15"/>
    <n v="0.15"/>
    <n v="20296.699499999999"/>
    <n v="20296.7"/>
    <n v="14920.87"/>
    <n v="5375.83"/>
    <s v="Paid"/>
    <s v="Completed"/>
    <x v="0"/>
    <s v="Valid"/>
    <n v="5375.83"/>
    <n v="0.2648622747752658"/>
    <x v="7"/>
    <x v="1"/>
    <s v="Clean"/>
  </r>
  <r>
    <s v="ORD-2024-10678"/>
    <s v="2024-06-22"/>
    <d v="2024-06-22T00:00:00"/>
    <s v="27-06-2024"/>
    <d v="2024-06-27T00:00:00"/>
    <s v="Valid"/>
    <n v="5"/>
    <s v="Valid"/>
    <s v="CUST-4655"/>
    <s v="Isha Nair"/>
    <s v="Isha Nair"/>
    <s v="Home Office"/>
    <x v="3"/>
    <s v="South"/>
    <x v="2"/>
    <s v="Karnataka"/>
    <s v="Bengaluru"/>
    <s v="Furniture"/>
    <x v="1"/>
    <x v="4"/>
    <s v="Smart Chairs 610"/>
    <s v="Same Day"/>
    <x v="1"/>
    <n v="7"/>
    <n v="2623.48"/>
    <n v="0"/>
    <n v="0"/>
    <n v="18364.36"/>
    <n v="18364.36"/>
    <n v="15445.81"/>
    <n v="2918.55"/>
    <s v="Paid"/>
    <s v="Completed"/>
    <x v="0"/>
    <s v="Valid"/>
    <n v="2918.5500000000011"/>
    <n v="0.15892467801763857"/>
    <x v="2"/>
    <x v="0"/>
    <s v="Clean"/>
  </r>
  <r>
    <s v="ORD-2024-10679"/>
    <s v="24-11-2024"/>
    <d v="2024-11-24T00:00:00"/>
    <s v="12/01/2024"/>
    <d v="2024-12-01T00:00:00"/>
    <s v="Valid"/>
    <n v="7"/>
    <s v="Valid"/>
    <s v="CUST-1674"/>
    <s v="Kabir Singh"/>
    <s v="Kabir Singh"/>
    <s v="Corporate"/>
    <x v="2"/>
    <s v="South"/>
    <x v="2"/>
    <s v="Karnataka"/>
    <s v="Bengaluru"/>
    <s v="Furniture"/>
    <x v="1"/>
    <x v="1"/>
    <s v="Prime Tables 123"/>
    <s v="Second Class"/>
    <x v="0"/>
    <n v="9"/>
    <n v="2763.61"/>
    <n v="0.15"/>
    <n v="0.15"/>
    <n v="21141.6165"/>
    <n v="21141.62"/>
    <n v="11676.33"/>
    <n v="9465.2900000000009"/>
    <s v="Paid"/>
    <s v="Completed"/>
    <x v="0"/>
    <s v="Valid"/>
    <n v="9465.2899999999991"/>
    <n v="0.44770890627024662"/>
    <x v="3"/>
    <x v="0"/>
    <s v="Clean"/>
  </r>
  <r>
    <s v="ORD-2025-10680"/>
    <s v="16-08-2025"/>
    <d v="2025-08-16T00:00:00"/>
    <s v="23-08-2025"/>
    <d v="2025-08-23T00:00:00"/>
    <s v="Valid"/>
    <n v="7"/>
    <s v="Valid"/>
    <s v="CUST-2897"/>
    <s v="Rohan Mehta"/>
    <s v="Rohan Mehta"/>
    <s v="Corporate"/>
    <x v="2"/>
    <s v="North"/>
    <x v="0"/>
    <s v="Punjab"/>
    <s v="Ludhiana"/>
    <s v="Technology"/>
    <x v="2"/>
    <x v="6"/>
    <s v="Smart Copiers 579"/>
    <s v="Same Day"/>
    <x v="1"/>
    <n v="4"/>
    <n v="1410.57"/>
    <s v="70%"/>
    <s v="70%"/>
    <n v="1692.6840000000002"/>
    <n v="5360.17"/>
    <n v="3881.51"/>
    <n v="1478.66"/>
    <s v="Refunded"/>
    <s v="Cancelled"/>
    <x v="1"/>
    <s v="Invalid - Discount Above Range"/>
    <n v="1478.6599999999999"/>
    <n v="0.87355938852142501"/>
    <x v="1"/>
    <x v="1"/>
    <s v="Clean"/>
  </r>
  <r>
    <s v="ORD-2024-10681"/>
    <s v="29 May 2024"/>
    <d v="2024-05-29T00:00:00"/>
    <s v="05 Jun 2024"/>
    <d v="2024-06-05T00:00:00"/>
    <s v="Valid"/>
    <n v="7"/>
    <s v="Valid"/>
    <s v="CUST-1136"/>
    <s v="Kabir Singh"/>
    <s v="Kabir Singh"/>
    <s v="Corporate"/>
    <x v="2"/>
    <s v="South"/>
    <x v="2"/>
    <s v="Tamil Nadu"/>
    <s v="Chennai"/>
    <s v="Technology"/>
    <x v="2"/>
    <x v="5"/>
    <s v="Eco Accessories 658"/>
    <s v="First Class"/>
    <x v="2"/>
    <n v="4"/>
    <n v="3700.24"/>
    <n v="0"/>
    <n v="0"/>
    <n v="14800.96"/>
    <n v="14800.96"/>
    <n v="12048.39"/>
    <n v="2752.57"/>
    <s v="Paid"/>
    <s v="Completed"/>
    <x v="0"/>
    <s v="Valid"/>
    <n v="2752.5699999999997"/>
    <n v="0.18597239638509933"/>
    <x v="4"/>
    <x v="0"/>
    <s v="Clean"/>
  </r>
  <r>
    <s v="ORD-2024-10682"/>
    <s v="07/04/2024"/>
    <d v="2024-07-04T00:00:00"/>
    <s v="2024-07-10"/>
    <d v="2024-07-10T00:00:00"/>
    <s v="Valid"/>
    <n v="6"/>
    <s v="Valid"/>
    <s v="CUST-1376"/>
    <s v="Vikram Iyer"/>
    <s v="Vikram Iyer"/>
    <s v="Corporate"/>
    <x v="2"/>
    <s v="North"/>
    <x v="0"/>
    <s v="Delhi"/>
    <s v="New Delhi"/>
    <s v="Furniture"/>
    <x v="1"/>
    <x v="1"/>
    <s v="Smart Tables 777"/>
    <s v="Second Class"/>
    <x v="0"/>
    <n v="5"/>
    <n v="1200.27"/>
    <n v="0"/>
    <n v="0"/>
    <n v="6001.35"/>
    <n v="6001.35"/>
    <n v="4182.99"/>
    <n v="1818.36"/>
    <s v="Paid"/>
    <s v="Cancelled"/>
    <x v="1"/>
    <s v="Valid"/>
    <n v="1818.3600000000006"/>
    <n v="0.30299182683896131"/>
    <x v="0"/>
    <x v="0"/>
    <s v="Clean"/>
  </r>
  <r>
    <s v="ORD-2025-10683"/>
    <s v="05 Feb 2025"/>
    <d v="2025-02-05T00:00:00"/>
    <s v="05-02-2025"/>
    <d v="2025-02-05T00:00:00"/>
    <s v="Valid"/>
    <n v="0"/>
    <s v="Valid"/>
    <s v="CUST-1553"/>
    <s v="Ananya Rao"/>
    <s v="Ananya Rao"/>
    <s v="Corporate"/>
    <x v="2"/>
    <s v="North"/>
    <x v="0"/>
    <s v="Haryana"/>
    <s v="Gurugram"/>
    <s v="Office Supplies"/>
    <x v="0"/>
    <x v="8"/>
    <s v="Eco Storage 861"/>
    <s v="Same Day"/>
    <x v="1"/>
    <n v="3"/>
    <n v="2590.7800000000002"/>
    <m/>
    <n v="0"/>
    <n v="7772.34"/>
    <n v="7383.72"/>
    <n v="4113.66"/>
    <n v="3270.06"/>
    <s v="Paid"/>
    <s v="Completed"/>
    <x v="0"/>
    <s v="Valid"/>
    <n v="3270.0600000000004"/>
    <n v="0.42073043639367297"/>
    <x v="6"/>
    <x v="1"/>
    <s v="Clean"/>
  </r>
  <r>
    <s v="ORD-2025-10684"/>
    <s v="2025-07-20"/>
    <d v="2025-07-20T00:00:00"/>
    <s v="24-07-2025"/>
    <d v="2025-07-24T00:00:00"/>
    <s v="Valid"/>
    <n v="4"/>
    <s v="Valid"/>
    <s v="CUST-5704"/>
    <s v="Arjun Bose"/>
    <s v="Arjun Bose"/>
    <s v="Small Business"/>
    <x v="1"/>
    <s v="South"/>
    <x v="2"/>
    <s v="Telangana"/>
    <s v="Hyderabad"/>
    <s v="Furniture"/>
    <x v="1"/>
    <x v="3"/>
    <s v="Eco Furnishings 875"/>
    <s v="Second Class"/>
    <x v="0"/>
    <n v="6"/>
    <n v="1646.45"/>
    <n v="0.2"/>
    <n v="0.2"/>
    <n v="7902.9600000000009"/>
    <n v="7902.96"/>
    <n v="5512.03"/>
    <n v="2390.9299999999998"/>
    <s v="Refunded"/>
    <s v="Cancelled"/>
    <x v="1"/>
    <s v="Valid"/>
    <n v="2390.9300000000003"/>
    <n v="0.30253601182341805"/>
    <x v="0"/>
    <x v="1"/>
    <s v="Clean"/>
  </r>
  <r>
    <s v="ORD-2025-10685"/>
    <s v="2025-07-21"/>
    <d v="2025-07-21T00:00:00"/>
    <s v="21-07-2025"/>
    <d v="2025-07-21T00:00:00"/>
    <s v="Valid"/>
    <n v="0"/>
    <s v="Valid"/>
    <s v="CUST-6738"/>
    <s v="Isha Nair"/>
    <s v="Isha Nair"/>
    <s v="Home Office"/>
    <x v="3"/>
    <s v="South"/>
    <x v="2"/>
    <s v="Tamil Nadu"/>
    <s v="Chennai"/>
    <s v="Furniture"/>
    <x v="1"/>
    <x v="10"/>
    <s v="Prime Bookcases 784"/>
    <s v="First Class"/>
    <x v="2"/>
    <n v="7"/>
    <n v="4396.6499999999996"/>
    <n v="0.2"/>
    <n v="0.2"/>
    <n v="24621.239999999998"/>
    <n v="24621.24"/>
    <n v="17155.48"/>
    <n v="7465.76"/>
    <s v="Refunded"/>
    <s v="Cancelled"/>
    <x v="1"/>
    <s v="Valid"/>
    <n v="7465.760000000002"/>
    <n v="0.30322437050286671"/>
    <x v="0"/>
    <x v="1"/>
    <s v="Clean"/>
  </r>
  <r>
    <s v="ORD-2025-10686"/>
    <s v="01 Oct 2025"/>
    <d v="2025-10-01T00:00:00"/>
    <s v="2025-10-03"/>
    <d v="2025-10-03T00:00:00"/>
    <s v="Valid"/>
    <n v="2"/>
    <s v="Valid"/>
    <s v="CUST-2586"/>
    <s v="Neha Gupta"/>
    <s v="Neha Gupta"/>
    <s v="Corporate"/>
    <x v="2"/>
    <s v="West"/>
    <x v="3"/>
    <s v="Goa"/>
    <s v="Panaji"/>
    <s v="Office Supplies"/>
    <x v="0"/>
    <x v="2"/>
    <s v="Classic Art 380"/>
    <s v="Standard Class"/>
    <x v="3"/>
    <n v="9"/>
    <n v="818.15"/>
    <n v="0.55000000000000004"/>
    <n v="0.55000000000000004"/>
    <n v="3313.5074999999993"/>
    <n v="6627.01"/>
    <n v="5606.79"/>
    <n v="1020.22"/>
    <s v="Failed"/>
    <s v="Cancelled"/>
    <x v="1"/>
    <s v="Valid"/>
    <n v="1020.2200000000003"/>
    <n v="0.30789729614313549"/>
    <x v="9"/>
    <x v="1"/>
    <s v="Clean"/>
  </r>
  <r>
    <s v="ORD-2024-10687"/>
    <s v="25-03-2024"/>
    <d v="2024-03-25T00:00:00"/>
    <s v="04/02/2024"/>
    <d v="2024-04-02T00:00:00"/>
    <s v="Valid"/>
    <n v="8"/>
    <s v="Valid"/>
    <s v="CUST-3127"/>
    <s v="Sneha Kapoor"/>
    <s v="Sneha Kapoor"/>
    <s v="Home Office"/>
    <x v="3"/>
    <s v="South"/>
    <x v="2"/>
    <s v="Tamil Nadu"/>
    <s v="Chennai"/>
    <s v="Technology"/>
    <x v="2"/>
    <x v="6"/>
    <s v="Pro Copiers 502"/>
    <s v="Standard Class"/>
    <x v="3"/>
    <n v="2"/>
    <n v="2349.13"/>
    <n v="0"/>
    <n v="0"/>
    <n v="4698.26"/>
    <n v="4698.26"/>
    <n v="2654.92"/>
    <n v="2043.34"/>
    <s v="Paid"/>
    <s v="Completed"/>
    <x v="0"/>
    <s v="Valid"/>
    <n v="2043.3400000000001"/>
    <n v="0.43491420227914163"/>
    <x v="11"/>
    <x v="0"/>
    <s v="Clean"/>
  </r>
  <r>
    <s v="ORD-2025-10688"/>
    <s v="08 Oct 2025"/>
    <d v="2025-10-08T00:00:00"/>
    <s v="13-10-2025"/>
    <d v="2025-10-13T00:00:00"/>
    <s v="Valid"/>
    <n v="5"/>
    <s v="Valid"/>
    <s v="CUST-9347"/>
    <s v="Mira Das"/>
    <s v="Mira Das"/>
    <s v="Home Office"/>
    <x v="3"/>
    <s v="North"/>
    <x v="0"/>
    <s v="Punjab"/>
    <s v="Ludhiana"/>
    <s v="Furniture"/>
    <x v="1"/>
    <x v="1"/>
    <s v="Prime Tables 604"/>
    <s v="First Class"/>
    <x v="2"/>
    <n v="4"/>
    <n v="172.05"/>
    <n v="0"/>
    <n v="0"/>
    <n v="688.2"/>
    <n v="688.2"/>
    <n v="497.68"/>
    <n v="190.52"/>
    <s v="Failed"/>
    <s v="Cancelled"/>
    <x v="1"/>
    <s v="Valid"/>
    <n v="190.52000000000004"/>
    <n v="0.27683812845103173"/>
    <x v="9"/>
    <x v="1"/>
    <s v="Clean"/>
  </r>
  <r>
    <s v="ORD-2025-10689"/>
    <s v="26 Feb 2025"/>
    <d v="2025-02-26T00:00:00"/>
    <s v="27 Feb 2025"/>
    <d v="2025-02-27T00:00:00"/>
    <s v="Valid"/>
    <n v="1"/>
    <s v="Valid"/>
    <s v="CUST-8575"/>
    <s v="Neha Gupta"/>
    <s v="Neha Gupta"/>
    <s v="Home Office"/>
    <x v="3"/>
    <s v="North"/>
    <x v="0"/>
    <s v="Haryana"/>
    <s v="Gurugram"/>
    <s v="Office Supplies"/>
    <x v="0"/>
    <x v="2"/>
    <s v="Basic Art 798"/>
    <s v="Second Class"/>
    <x v="0"/>
    <n v="6"/>
    <n v="3037.66"/>
    <n v="0.15"/>
    <n v="0.15"/>
    <n v="15492.065999999999"/>
    <n v="15492.07"/>
    <n v="12581.23"/>
    <n v="2910.84"/>
    <s v="Paid"/>
    <s v="Completed"/>
    <x v="0"/>
    <s v="Valid"/>
    <n v="2910.84"/>
    <n v="0.1878923056485817"/>
    <x v="6"/>
    <x v="1"/>
    <s v="Clean"/>
  </r>
  <r>
    <s v="ORD-2024-10690"/>
    <s v="05-10-2024"/>
    <d v="2024-10-05T00:00:00"/>
    <s v="06 Oct 2024"/>
    <d v="2024-10-06T00:00:00"/>
    <s v="Valid"/>
    <n v="1"/>
    <s v="Valid"/>
    <s v="CUST-4382"/>
    <s v="Rohan Mehta"/>
    <s v="Rohan Mehta"/>
    <s v="Small Business"/>
    <x v="1"/>
    <s v="North"/>
    <x v="0"/>
    <s v="Punjab"/>
    <s v="Ludhiana"/>
    <s v="Furniture"/>
    <x v="1"/>
    <x v="1"/>
    <s v="Elite Tables 717"/>
    <s v="Standard Class"/>
    <x v="3"/>
    <n v="9"/>
    <n v="489.58"/>
    <n v="0.15"/>
    <n v="0.15"/>
    <n v="3745.2870000000003"/>
    <n v="3745.29"/>
    <n v="2302.65"/>
    <n v="1442.64"/>
    <s v="Failed"/>
    <s v="Cancelled"/>
    <x v="1"/>
    <s v="Valid"/>
    <n v="1442.6399999999999"/>
    <n v="0.38518810440962198"/>
    <x v="9"/>
    <x v="0"/>
    <s v="Clean"/>
  </r>
  <r>
    <s v="ORD-2024-10691"/>
    <s v="09/11/2024"/>
    <d v="2024-09-11T00:00:00"/>
    <s v="2024-09-15"/>
    <d v="2024-09-15T00:00:00"/>
    <s v="Valid"/>
    <n v="4"/>
    <s v="Valid"/>
    <s v="CUST-6815"/>
    <s v="Sneha Kapoor"/>
    <s v="Sneha Kapoor"/>
    <s v="Corporate"/>
    <x v="2"/>
    <s v="South"/>
    <x v="2"/>
    <s v="Tamil Nadu"/>
    <s v="Chennai"/>
    <s v="Office Supplies"/>
    <x v="0"/>
    <x v="2"/>
    <s v="Max Art 725"/>
    <s v="Standard Class"/>
    <x v="3"/>
    <n v="4"/>
    <n v="865.63"/>
    <n v="0"/>
    <n v="0"/>
    <n v="3462.52"/>
    <n v="3462.52"/>
    <n v="2797.29"/>
    <n v="665.23"/>
    <s v="Failed"/>
    <s v="Returned"/>
    <x v="2"/>
    <s v="Valid"/>
    <n v="665.23"/>
    <n v="0.19212307798944123"/>
    <x v="7"/>
    <x v="0"/>
    <s v="Clean"/>
  </r>
  <r>
    <s v="ORD-2024-10692"/>
    <s v="15-12-2024"/>
    <d v="2024-12-15T00:00:00"/>
    <s v="16-12-2024"/>
    <d v="2024-12-16T00:00:00"/>
    <s v="Valid"/>
    <n v="1"/>
    <s v="Valid"/>
    <s v="CUST-7309"/>
    <s v="Rohan Mehta"/>
    <s v="Rohan Mehta"/>
    <s v="Consumer"/>
    <x v="0"/>
    <s v="East"/>
    <x v="1"/>
    <s v="Odisha"/>
    <s v="Bhubaneswar"/>
    <s v="Technology"/>
    <x v="2"/>
    <x v="6"/>
    <s v="Smart Copiers 456"/>
    <s v="Second Class"/>
    <x v="0"/>
    <n v="6"/>
    <n v="1538.1"/>
    <n v="0.05"/>
    <n v="0.05"/>
    <n v="8767.1699999999983"/>
    <n v="8767.17"/>
    <n v="5098.2"/>
    <n v="3668.97"/>
    <s v="Paid"/>
    <s v="Completed"/>
    <x v="0"/>
    <s v="Valid"/>
    <n v="3668.9700000000003"/>
    <n v="0.41848966085977585"/>
    <x v="8"/>
    <x v="0"/>
    <s v="Clean"/>
  </r>
  <r>
    <s v="ORD-2025-10693"/>
    <s v="05-10-2025"/>
    <d v="2025-10-05T00:00:00"/>
    <s v="10-10-2025"/>
    <d v="2025-10-10T00:00:00"/>
    <s v="Valid"/>
    <n v="5"/>
    <s v="Valid"/>
    <s v="CUST-9531"/>
    <s v="Isha Nair"/>
    <s v="Isha Nair"/>
    <s v="Corporate"/>
    <x v="2"/>
    <s v="South"/>
    <x v="2"/>
    <s v="Karnataka"/>
    <s v="Bengaluru"/>
    <s v="Furniture"/>
    <x v="1"/>
    <x v="3"/>
    <s v="Prime Furnishings 883"/>
    <s v="Second Class"/>
    <x v="0"/>
    <n v="4"/>
    <n v="2365.6799999999998"/>
    <n v="0.1"/>
    <n v="0.1"/>
    <n v="8516.4480000000003"/>
    <n v="8516.4500000000007"/>
    <n v="5903.81"/>
    <n v="2612.64"/>
    <s v="Paid"/>
    <s v="Completed"/>
    <x v="0"/>
    <s v="Valid"/>
    <n v="2612.6400000000003"/>
    <n v="0.30677578257977978"/>
    <x v="9"/>
    <x v="1"/>
    <s v="Clean"/>
  </r>
  <r>
    <s v="ORD-2025-10694"/>
    <s v="03-04-2025"/>
    <d v="2025-04-03T00:00:00"/>
    <s v="2025-04-11"/>
    <d v="2025-04-11T00:00:00"/>
    <s v="Valid"/>
    <n v="8"/>
    <s v="Valid"/>
    <s v="CUST-6032"/>
    <s v="Arjun Bose"/>
    <s v="Arjun Bose"/>
    <s v="Consumer"/>
    <x v="0"/>
    <s v="South"/>
    <x v="2"/>
    <s v="Tamil Nadu"/>
    <s v="Chennai"/>
    <s v="Furniture"/>
    <x v="1"/>
    <x v="10"/>
    <s v="Smart Bookcases 828"/>
    <s v="Second Class"/>
    <x v="0"/>
    <n v="3"/>
    <n v="4149.7700000000004"/>
    <n v="0.05"/>
    <n v="0.05"/>
    <n v="11826.844500000001"/>
    <n v="11826.84"/>
    <n v="8035.96"/>
    <n v="3790.88"/>
    <s v="Paid"/>
    <s v="Completed"/>
    <x v="0"/>
    <s v="Valid"/>
    <n v="3790.88"/>
    <n v="0.3205318206390555"/>
    <x v="5"/>
    <x v="1"/>
    <s v="Clean"/>
  </r>
  <r>
    <s v="ORD-2025-10695"/>
    <s v="01-08-2025"/>
    <d v="2025-08-01T00:00:00"/>
    <s v="09-08-2025"/>
    <d v="2025-08-09T00:00:00"/>
    <s v="Valid"/>
    <n v="8"/>
    <s v="Valid"/>
    <s v="CUST-8025"/>
    <s v="Isha Nair"/>
    <s v="Isha Nair"/>
    <s v="Consumer"/>
    <x v="0"/>
    <s v="South"/>
    <x v="2"/>
    <s v="Andhra Pradesh"/>
    <s v="Vijayawada"/>
    <s v="Office Supplies"/>
    <x v="0"/>
    <x v="8"/>
    <s v="Classic Storage 291"/>
    <s v="First Class"/>
    <x v="2"/>
    <n v="5"/>
    <n v="2736.24"/>
    <n v="0.15"/>
    <n v="0.15"/>
    <n v="11629.019999999999"/>
    <n v="11629.02"/>
    <n v="9627.2099999999991"/>
    <n v="2001.81"/>
    <s v="Paid"/>
    <s v="Completed"/>
    <x v="0"/>
    <s v="Valid"/>
    <n v="2001.8100000000013"/>
    <n v="0.17213918283741894"/>
    <x v="1"/>
    <x v="1"/>
    <s v="Clean"/>
  </r>
  <r>
    <s v="ORD-2024-10696"/>
    <s v="2024-07-01"/>
    <d v="2024-07-01T00:00:00"/>
    <s v="01-07-2024"/>
    <d v="2024-07-01T00:00:00"/>
    <s v="Valid"/>
    <n v="0"/>
    <s v="Valid"/>
    <s v="CUST-6257"/>
    <s v="Aarav Sharma"/>
    <s v="Aarav Sharma"/>
    <s v="Consumer"/>
    <x v="0"/>
    <s v="West"/>
    <x v="3"/>
    <s v="Madhya Pradesh"/>
    <s v="Indore"/>
    <s v="Technology"/>
    <x v="2"/>
    <x v="12"/>
    <s v="Prime Machines 102"/>
    <s v="Standard Class"/>
    <x v="3"/>
    <n v="4"/>
    <n v="257.39"/>
    <n v="0"/>
    <n v="0"/>
    <n v="1029.56"/>
    <n v="1029.56"/>
    <n v="626.33000000000004"/>
    <n v="403.23"/>
    <s v="Paid"/>
    <s v="Completed"/>
    <x v="0"/>
    <s v="Valid"/>
    <n v="403.2299999999999"/>
    <n v="0.39165274486188267"/>
    <x v="0"/>
    <x v="0"/>
    <s v="Clean"/>
  </r>
  <r>
    <s v="ORD-2025-10697"/>
    <s v="22 Sep 2025"/>
    <d v="2025-09-22T00:00:00"/>
    <s v="25 Sep 2025"/>
    <d v="2025-09-25T00:00:00"/>
    <s v="Valid"/>
    <n v="3"/>
    <s v="Valid"/>
    <s v="CUST-7812"/>
    <s v="Isha Nair"/>
    <s v="Isha Nair"/>
    <s v="Small Business"/>
    <x v="1"/>
    <s v="South"/>
    <x v="2"/>
    <s v="Kerala"/>
    <s v="Kochi"/>
    <s v="Technology"/>
    <x v="2"/>
    <x v="11"/>
    <s v="Classic Phones 842"/>
    <m/>
    <x v="4"/>
    <n v="4"/>
    <n v="1178.8399999999999"/>
    <n v="0.25"/>
    <n v="0.25"/>
    <n v="3536.5199999999995"/>
    <n v="3536.52"/>
    <n v="2102.41"/>
    <n v="1363.28"/>
    <s v="Paid"/>
    <s v="Completed"/>
    <x v="0"/>
    <s v="Valid"/>
    <n v="1434.1100000000001"/>
    <n v="0.40551446054313289"/>
    <x v="7"/>
    <x v="1"/>
    <s v="Clean"/>
  </r>
  <r>
    <s v="ORD-2025-10698"/>
    <s v="03/01/2025"/>
    <d v="2025-03-01T00:00:00"/>
    <s v="07-03-2025"/>
    <d v="2025-03-07T00:00:00"/>
    <s v="Valid"/>
    <n v="6"/>
    <s v="Valid"/>
    <s v="CUST-6205"/>
    <s v="Arjun Bose"/>
    <s v="Arjun Bose"/>
    <s v="Corporate"/>
    <x v="2"/>
    <s v="South"/>
    <x v="2"/>
    <s v="Andhra Pradesh"/>
    <s v="Vijayawada"/>
    <s v="Office Supplies"/>
    <x v="0"/>
    <x v="7"/>
    <s v="Max Labels 970"/>
    <s v="First Class"/>
    <x v="2"/>
    <n v="7"/>
    <n v="567.15"/>
    <m/>
    <n v="0"/>
    <n v="3970.0499999999997"/>
    <n v="2977.54"/>
    <n v="1849.3"/>
    <n v="1128.24"/>
    <s v="Refunded"/>
    <s v="Returned"/>
    <x v="2"/>
    <s v="Valid"/>
    <n v="1128.24"/>
    <n v="0.28418785657611367"/>
    <x v="11"/>
    <x v="1"/>
    <s v="Clean"/>
  </r>
  <r>
    <s v="ORD-2024-10699"/>
    <s v="14-09-2024"/>
    <d v="2024-09-14T00:00:00"/>
    <s v="2024-09-14"/>
    <d v="2024-09-14T00:00:00"/>
    <s v="Valid"/>
    <n v="0"/>
    <s v="Valid"/>
    <s v="CUST-5357"/>
    <s v="Mira Das"/>
    <s v="Mira Das"/>
    <s v="Corporate"/>
    <x v="2"/>
    <s v="North"/>
    <x v="0"/>
    <s v="Rajasthan"/>
    <s v="Jaipur"/>
    <s v="Technology"/>
    <x v="2"/>
    <x v="12"/>
    <s v="Classic Machines 648"/>
    <s v="Standard Class"/>
    <x v="3"/>
    <n v="8"/>
    <n v="4081.66"/>
    <n v="0.15"/>
    <n v="0.15"/>
    <n v="27755.287999999997"/>
    <n v="28208.1"/>
    <n v="23751.91"/>
    <n v="4003.38"/>
    <s v="Paid"/>
    <s v="Returned"/>
    <x v="2"/>
    <s v="Valid"/>
    <n v="4456.1899999999987"/>
    <n v="0.16055282870781235"/>
    <x v="7"/>
    <x v="0"/>
    <s v="Clean"/>
  </r>
  <r>
    <s v="ORD-2024-10700"/>
    <s v="2024-06-11"/>
    <d v="2024-06-11T00:00:00"/>
    <s v="11 Jun 2024"/>
    <d v="2024-06-11T00:00:00"/>
    <s v="Valid"/>
    <n v="0"/>
    <s v="Valid"/>
    <s v="CUST-9802"/>
    <s v="Arjun Bose"/>
    <s v="Arjun Bose"/>
    <s v="Small Business"/>
    <x v="1"/>
    <s v="South"/>
    <x v="2"/>
    <s v="Karnataka"/>
    <s v="Bengaluru"/>
    <s v="Furniture"/>
    <x v="1"/>
    <x v="10"/>
    <s v="Max Bookcases 565"/>
    <s v="Standard Class"/>
    <x v="3"/>
    <n v="9"/>
    <n v="1400.11"/>
    <n v="0.25"/>
    <n v="0.25"/>
    <n v="9450.7425000000003"/>
    <n v="9450.74"/>
    <n v="7798.56"/>
    <n v="1652.18"/>
    <s v="Paid"/>
    <s v="Completed"/>
    <x v="0"/>
    <s v="Valid"/>
    <n v="1652.1799999999994"/>
    <n v="0.17482012656677498"/>
    <x v="2"/>
    <x v="0"/>
    <s v="Clean"/>
  </r>
  <r>
    <s v="ORD-2024-10701"/>
    <s v="18-09-2024"/>
    <d v="2024-09-18T00:00:00"/>
    <s v="09/21/2024"/>
    <d v="2024-09-21T00:00:00"/>
    <s v="Valid"/>
    <n v="3"/>
    <s v="Valid"/>
    <s v="CUST-5646"/>
    <s v="Neha Gupta"/>
    <s v="Neha Gupta"/>
    <s v="Corporate"/>
    <x v="2"/>
    <s v="East"/>
    <x v="1"/>
    <s v="West Bengal"/>
    <s v="Kolkata"/>
    <s v="Technology"/>
    <x v="2"/>
    <x v="12"/>
    <s v="Basic Machines 220"/>
    <s v="Standard Class"/>
    <x v="3"/>
    <n v="3"/>
    <n v="3055.9"/>
    <n v="0.15"/>
    <n v="0.15"/>
    <n v="7792.5450000000001"/>
    <n v="7792.55"/>
    <n v="4691.7299999999996"/>
    <n v="3100.82"/>
    <s v="Paid"/>
    <s v="Completed"/>
    <x v="0"/>
    <s v="Valid"/>
    <n v="3100.8200000000006"/>
    <n v="0.39792134662039175"/>
    <x v="7"/>
    <x v="0"/>
    <s v="Clean"/>
  </r>
  <r>
    <s v="ORD-2024-10702"/>
    <s v="30-04-2024"/>
    <d v="2024-04-30T00:00:00"/>
    <s v="04 May 2024"/>
    <d v="2024-05-04T00:00:00"/>
    <s v="Valid"/>
    <n v="4"/>
    <s v="Valid"/>
    <s v="CUST-7171"/>
    <s v="Rohan Mehta"/>
    <s v="Rohan Mehta"/>
    <s v="Small Business"/>
    <x v="1"/>
    <s v="West"/>
    <x v="3"/>
    <s v="Gujarat"/>
    <s v="Ahmedabad"/>
    <s v="Office Supplies"/>
    <x v="0"/>
    <x v="2"/>
    <s v="Pro Art 151"/>
    <s v="Same Day"/>
    <x v="1"/>
    <n v="7"/>
    <n v="1224.94"/>
    <n v="0"/>
    <n v="0"/>
    <n v="8574.58"/>
    <n v="8574.58"/>
    <n v="6685.81"/>
    <n v="1888.77"/>
    <s v="Paid"/>
    <s v="Returned"/>
    <x v="2"/>
    <s v="Valid"/>
    <n v="1888.7699999999995"/>
    <n v="0.22027551203674112"/>
    <x v="5"/>
    <x v="0"/>
    <s v="Clean"/>
  </r>
  <r>
    <s v="ORD-2025-10703"/>
    <s v="2025-02-02"/>
    <d v="2025-02-02T00:00:00"/>
    <s v="02/06/2025"/>
    <d v="2025-02-06T00:00:00"/>
    <s v="Valid"/>
    <n v="4"/>
    <s v="Valid"/>
    <s v="CUST-5231"/>
    <s v="Karan Malhotra"/>
    <s v="Karan Malhotra"/>
    <s v="Small Business"/>
    <x v="1"/>
    <s v="West"/>
    <x v="3"/>
    <s v="Rajasthan"/>
    <s v="Udaipur"/>
    <s v="Furniture"/>
    <x v="1"/>
    <x v="1"/>
    <s v="Pro Tables 980"/>
    <s v="Second Class"/>
    <x v="0"/>
    <n v="3"/>
    <n v="997.34"/>
    <n v="0.1"/>
    <n v="0.1"/>
    <n v="2692.8180000000002"/>
    <n v="2692.82"/>
    <n v="1820.08"/>
    <n v="872.74"/>
    <s v="Paid"/>
    <s v="Completed"/>
    <x v="0"/>
    <s v="Valid"/>
    <n v="872.74000000000024"/>
    <n v="0.32409914075143592"/>
    <x v="6"/>
    <x v="1"/>
    <s v="Clean"/>
  </r>
  <r>
    <s v="ORD-2024-10704"/>
    <s v="19 Oct 2024"/>
    <d v="2024-10-19T00:00:00"/>
    <s v="2024-10-20"/>
    <d v="2024-10-20T00:00:00"/>
    <s v="Valid"/>
    <n v="1"/>
    <s v="Valid"/>
    <s v="CUST-8734"/>
    <s v="Aditi Sen"/>
    <s v="Aditi Sen"/>
    <s v="Corporate"/>
    <x v="2"/>
    <s v="North"/>
    <x v="0"/>
    <s v="Rajasthan"/>
    <s v="Jaipur"/>
    <s v="Furniture"/>
    <x v="1"/>
    <x v="1"/>
    <s v="Classic Tables 997"/>
    <s v="First Class"/>
    <x v="2"/>
    <n v="1"/>
    <n v="1150.03"/>
    <n v="0.1"/>
    <n v="0.1"/>
    <n v="1035.027"/>
    <n v="1035.03"/>
    <n v="854.35"/>
    <n v="180.68"/>
    <s v="Paid"/>
    <s v="Completed"/>
    <x v="0"/>
    <s v="Valid"/>
    <n v="180.67999999999995"/>
    <n v="0.17456549442671537"/>
    <x v="9"/>
    <x v="0"/>
    <s v="Clean"/>
  </r>
  <r>
    <s v="ORD-2024-10705"/>
    <s v="2024-03-13"/>
    <d v="2024-03-13T00:00:00"/>
    <s v="03/20/2024"/>
    <d v="2024-03-20T00:00:00"/>
    <s v="Valid"/>
    <n v="7"/>
    <s v="Valid"/>
    <s v="CUST-4916"/>
    <s v="Priya Menon"/>
    <s v="Priya Menon"/>
    <s v="Home Office"/>
    <x v="3"/>
    <s v="South"/>
    <x v="2"/>
    <s v="Tamil Nadu"/>
    <s v="Chennai"/>
    <s v="Furniture"/>
    <x v="1"/>
    <x v="10"/>
    <s v="Max Bookcases 738"/>
    <m/>
    <x v="4"/>
    <n v="1"/>
    <n v="2825.63"/>
    <n v="0.15"/>
    <n v="0.15"/>
    <n v="2401.7855"/>
    <n v="2401.79"/>
    <n v="1820.34"/>
    <n v="581.45000000000005"/>
    <s v="Paid"/>
    <s v="Completed"/>
    <x v="0"/>
    <s v="Valid"/>
    <n v="581.45000000000005"/>
    <n v="0.24209072791887537"/>
    <x v="11"/>
    <x v="0"/>
    <s v="Clean"/>
  </r>
  <r>
    <s v="ORD-2024-10706"/>
    <s v="08 Sep 2024"/>
    <d v="2024-09-08T00:00:00"/>
    <s v="09/14/2024"/>
    <d v="2024-09-14T00:00:00"/>
    <s v="Valid"/>
    <n v="6"/>
    <s v="Valid"/>
    <s v="CUST-3289"/>
    <s v="Rohan Mehta"/>
    <s v="Rohan Mehta"/>
    <s v="Consumer"/>
    <x v="0"/>
    <s v="North"/>
    <x v="0"/>
    <s v="Rajasthan"/>
    <s v="Jaipur"/>
    <s v="Office Supplies"/>
    <x v="0"/>
    <x v="9"/>
    <s v="Max Binders 411"/>
    <s v="Standard Class"/>
    <x v="3"/>
    <n v="5"/>
    <n v="3371.75"/>
    <n v="0.05"/>
    <n v="0.05"/>
    <n v="16015.8125"/>
    <n v="16015.81"/>
    <n v="11352.38"/>
    <n v="4663.43"/>
    <s v="Paid"/>
    <s v="Completed"/>
    <x v="0"/>
    <s v="Valid"/>
    <n v="4663.43"/>
    <n v="0.29117661061529038"/>
    <x v="7"/>
    <x v="0"/>
    <s v="Clean"/>
  </r>
  <r>
    <s v="ORD-2024-10707"/>
    <s v="24-06-2024"/>
    <d v="2024-06-24T00:00:00"/>
    <s v="28-06-2024"/>
    <d v="2024-06-28T00:00:00"/>
    <s v="Valid"/>
    <n v="4"/>
    <s v="Valid"/>
    <s v="CUST-4928"/>
    <s v="Isha Nair"/>
    <s v="Isha Nair"/>
    <s v="Small Business"/>
    <x v="1"/>
    <s v="East"/>
    <x v="1"/>
    <s v="Odisha"/>
    <s v="Bhubaneswar"/>
    <s v="Office Supplies"/>
    <x v="0"/>
    <x v="0"/>
    <s v="Max Paper 343"/>
    <s v="Same Day"/>
    <x v="1"/>
    <n v="1"/>
    <n v="2112.75"/>
    <n v="0.1"/>
    <n v="0.1"/>
    <n v="1901.4750000000001"/>
    <n v="1901.48"/>
    <n v="1354.28"/>
    <n v="547.20000000000005"/>
    <s v="Paid"/>
    <s v="Completed"/>
    <x v="0"/>
    <s v="Valid"/>
    <n v="547.20000000000005"/>
    <n v="0.28777659448585968"/>
    <x v="2"/>
    <x v="0"/>
    <s v="Clean"/>
  </r>
  <r>
    <s v="ORD-2025-10708"/>
    <s v="24-06-2025"/>
    <d v="2025-06-24T00:00:00"/>
    <s v="06/26/2025"/>
    <d v="2025-06-26T00:00:00"/>
    <s v="Valid"/>
    <n v="2"/>
    <s v="Valid"/>
    <s v="CUST-4902"/>
    <s v="Vikram Iyer"/>
    <s v="Vikram Iyer"/>
    <s v="Consumer"/>
    <x v="0"/>
    <s v="North"/>
    <x v="0"/>
    <s v="Rajasthan"/>
    <s v="Jaipur"/>
    <s v="Technology"/>
    <x v="2"/>
    <x v="5"/>
    <s v="Pro Accessories 485"/>
    <s v="Same Day"/>
    <x v="1"/>
    <n v="5"/>
    <n v="3722.66"/>
    <n v="0.55000000000000004"/>
    <n v="0.55000000000000004"/>
    <n v="8375.9849999999988"/>
    <n v="16751.97"/>
    <n v="11678.32"/>
    <n v="5073.6499999999996"/>
    <s v="Paid"/>
    <s v="Completed"/>
    <x v="0"/>
    <s v="Valid"/>
    <n v="5073.6500000000015"/>
    <n v="0.60573771323611514"/>
    <x v="2"/>
    <x v="1"/>
    <s v="Clean"/>
  </r>
  <r>
    <s v="ORD-2025-10709"/>
    <s v="03/20/2025"/>
    <d v="2025-03-20T00:00:00"/>
    <s v="2025-03-26"/>
    <d v="2025-03-26T00:00:00"/>
    <s v="Valid"/>
    <n v="6"/>
    <s v="Valid"/>
    <s v="CUST-6504"/>
    <s v="Sneha Kapoor"/>
    <s v="Sneha Kapoor"/>
    <s v="Consumer"/>
    <x v="0"/>
    <s v="East"/>
    <x v="1"/>
    <s v="Assam"/>
    <s v="Guwahati"/>
    <s v="Furniture"/>
    <x v="1"/>
    <x v="10"/>
    <s v="Elite Bookcases 113"/>
    <s v="First Class"/>
    <x v="2"/>
    <n v="4"/>
    <n v="4357.66"/>
    <n v="0.05"/>
    <n v="0.05"/>
    <n v="16559.108"/>
    <n v="16559.11"/>
    <n v="13233.79"/>
    <n v="3325.32"/>
    <s v="Paid"/>
    <s v="Completed"/>
    <x v="0"/>
    <s v="Valid"/>
    <n v="3325.3199999999997"/>
    <n v="0.20081516468157581"/>
    <x v="11"/>
    <x v="1"/>
    <s v="Clean"/>
  </r>
  <r>
    <s v="ORD-2025-10710"/>
    <s v="19 Jan 2025"/>
    <d v="2025-01-19T00:00:00"/>
    <s v="23 Jan 2025"/>
    <d v="2025-01-23T00:00:00"/>
    <s v="Valid"/>
    <n v="4"/>
    <s v="Valid"/>
    <s v="CUST-8036"/>
    <s v="Kabir Singh"/>
    <s v="Kabir Singh"/>
    <s v="Home Office"/>
    <x v="3"/>
    <s v="North"/>
    <x v="0"/>
    <s v="Punjab"/>
    <s v="Ludhiana"/>
    <s v="Technology"/>
    <x v="2"/>
    <x v="11"/>
    <s v="Eco Phones 787"/>
    <s v="Same Day"/>
    <x v="1"/>
    <n v="7"/>
    <n v="1363.04"/>
    <n v="0.15"/>
    <n v="0.15"/>
    <n v="8110.0879999999988"/>
    <n v="8110.09"/>
    <n v="6417.32"/>
    <n v="1692.77"/>
    <s v="Paid"/>
    <s v="Cancelled"/>
    <x v="1"/>
    <s v="Valid"/>
    <n v="1692.7700000000004"/>
    <n v="0.20872399904908562"/>
    <x v="10"/>
    <x v="1"/>
    <s v="Clean"/>
  </r>
  <r>
    <s v="ORD-2024-10711"/>
    <s v="07/12/2024"/>
    <d v="2024-07-12T00:00:00"/>
    <s v="07/19/2024"/>
    <d v="2024-07-19T00:00:00"/>
    <s v="Valid"/>
    <n v="7"/>
    <s v="Valid"/>
    <s v="CUST-7199"/>
    <s v="Vikram Iyer"/>
    <s v="Vikram Iyer"/>
    <s v="Corporate"/>
    <x v="2"/>
    <s v="North"/>
    <x v="0"/>
    <s v="Punjab"/>
    <s v="Ludhiana"/>
    <s v="Office Supplies"/>
    <x v="0"/>
    <x v="2"/>
    <s v="Smart Art 279"/>
    <s v="Second Class"/>
    <x v="0"/>
    <n v="5"/>
    <n v="1559.16"/>
    <n v="0.05"/>
    <n v="0.05"/>
    <n v="7406.01"/>
    <n v="7406.01"/>
    <n v="5941.74"/>
    <n v="1464.27"/>
    <s v="Paid"/>
    <s v="Completed"/>
    <x v="0"/>
    <s v="Valid"/>
    <n v="1464.2700000000004"/>
    <n v="0.19771374869869207"/>
    <x v="0"/>
    <x v="0"/>
    <s v="Clean"/>
  </r>
  <r>
    <s v="ORD-2025-10712"/>
    <s v="02-02-2025"/>
    <d v="2025-02-02T00:00:00"/>
    <s v="2025-02-02"/>
    <d v="2025-02-02T00:00:00"/>
    <s v="Valid"/>
    <n v="0"/>
    <s v="Valid"/>
    <s v="CUST-6176"/>
    <s v="Kabir Singh"/>
    <s v="Kabir Singh"/>
    <s v="Corporate"/>
    <x v="2"/>
    <s v="East"/>
    <x v="1"/>
    <s v="West Bengal"/>
    <s v="Kolkata"/>
    <s v="Technology"/>
    <x v="2"/>
    <x v="12"/>
    <s v="Basic Machines 172"/>
    <s v="First Class"/>
    <x v="2"/>
    <n v="1"/>
    <n v="4326.75"/>
    <n v="0.05"/>
    <n v="0.05"/>
    <n v="4110.4124999999995"/>
    <n v="4110.41"/>
    <n v="2394.14"/>
    <n v="1716.27"/>
    <s v="Pending"/>
    <s v="Returned"/>
    <x v="2"/>
    <s v="Valid"/>
    <n v="1716.27"/>
    <n v="0.41754203501473397"/>
    <x v="6"/>
    <x v="1"/>
    <s v="Clean"/>
  </r>
  <r>
    <s v="ORD-2024-10713"/>
    <s v="10 Feb 2024"/>
    <d v="2024-02-10T00:00:00"/>
    <s v="18 Feb 2024"/>
    <d v="2024-02-18T00:00:00"/>
    <s v="Valid"/>
    <n v="8"/>
    <s v="Valid"/>
    <s v="CUST-5127"/>
    <s v="Isha Nair"/>
    <s v="Isha Nair"/>
    <s v="Home Office"/>
    <x v="3"/>
    <s v="West"/>
    <x v="3"/>
    <s v="Madhya Pradesh"/>
    <s v="Indore"/>
    <s v="Furniture"/>
    <x v="1"/>
    <x v="4"/>
    <s v="Smart Chairs 259"/>
    <s v="First Class"/>
    <x v="2"/>
    <n v="7"/>
    <n v="1382.86"/>
    <n v="0"/>
    <n v="0"/>
    <n v="9680.0199999999986"/>
    <n v="9680.02"/>
    <n v="6876.66"/>
    <n v="2803.36"/>
    <s v="Paid"/>
    <s v="Completed"/>
    <x v="0"/>
    <s v="Valid"/>
    <n v="2803.3600000000006"/>
    <n v="0.28960270743242278"/>
    <x v="6"/>
    <x v="0"/>
    <s v="Clean"/>
  </r>
  <r>
    <s v="ORD-2025-10714"/>
    <s v="06/06/2025"/>
    <d v="2025-06-06T00:00:00"/>
    <s v="06/10/2025"/>
    <d v="2025-06-10T00:00:00"/>
    <s v="Valid"/>
    <n v="4"/>
    <s v="Valid"/>
    <s v="CUST-2548"/>
    <s v="Mira Das"/>
    <s v="Mira Das"/>
    <s v="Consumer"/>
    <x v="0"/>
    <s v="West"/>
    <x v="3"/>
    <s v="Rajasthan"/>
    <s v="Udaipur"/>
    <s v="Technology"/>
    <x v="2"/>
    <x v="12"/>
    <s v="Pro Machines 987"/>
    <s v="Second Class"/>
    <x v="0"/>
    <n v="1"/>
    <n v="289.97000000000003"/>
    <n v="0.25"/>
    <n v="0.25"/>
    <n v="217.47750000000002"/>
    <n v="217.48"/>
    <n v="132.13"/>
    <n v="85.35"/>
    <s v="Paid"/>
    <s v="Completed"/>
    <x v="0"/>
    <s v="Valid"/>
    <n v="85.35"/>
    <n v="0.39245439183363789"/>
    <x v="2"/>
    <x v="1"/>
    <s v="Clean"/>
  </r>
  <r>
    <s v="ORD-2025-10715"/>
    <s v="22 Mar 2025"/>
    <d v="2025-03-22T00:00:00"/>
    <s v="2025-03-23"/>
    <d v="2025-03-23T00:00:00"/>
    <s v="Valid"/>
    <n v="1"/>
    <s v="Valid"/>
    <s v="CUST-9902"/>
    <s v="Karan Malhotra"/>
    <s v="Karan Malhotra"/>
    <s v="Home Office"/>
    <x v="3"/>
    <s v="North"/>
    <x v="0"/>
    <s v="Delhi"/>
    <s v="New Delhi"/>
    <s v="Technology"/>
    <x v="2"/>
    <x v="6"/>
    <s v="Pro Copiers 206"/>
    <s v="Standard Class"/>
    <x v="3"/>
    <n v="9"/>
    <n v="2075.02"/>
    <n v="0"/>
    <n v="0"/>
    <n v="18675.18"/>
    <n v="18675.18"/>
    <n v="13974.7"/>
    <n v="4700.4799999999996"/>
    <s v="Paid"/>
    <s v="Completed"/>
    <x v="0"/>
    <s v="Valid"/>
    <n v="4700.4799999999996"/>
    <n v="0.25169663692665878"/>
    <x v="11"/>
    <x v="1"/>
    <s v="Clean"/>
  </r>
  <r>
    <s v="ORD-2025-10716"/>
    <s v="2025-08-22"/>
    <d v="2025-08-22T00:00:00"/>
    <s v="27 Aug 2025"/>
    <d v="2025-08-27T00:00:00"/>
    <s v="Valid"/>
    <n v="5"/>
    <s v="Valid"/>
    <s v="CUST-7446"/>
    <s v="Priya Menon"/>
    <s v="Priya Menon"/>
    <s v="Consumer"/>
    <x v="0"/>
    <s v="North"/>
    <x v="0"/>
    <s v="Haryana"/>
    <s v="Gurugram"/>
    <s v="Furniture"/>
    <x v="1"/>
    <x v="4"/>
    <s v="Max Chairs 372"/>
    <s v="Second Class"/>
    <x v="0"/>
    <n v="7"/>
    <n v="2843.09"/>
    <n v="0"/>
    <n v="0"/>
    <n v="19901.63"/>
    <n v="19901.63"/>
    <n v="15492.03"/>
    <n v="4409.6000000000004"/>
    <s v="Refunded"/>
    <s v="Cancelled"/>
    <x v="1"/>
    <s v="Valid"/>
    <n v="4409.6000000000004"/>
    <n v="0.22156979101711771"/>
    <x v="1"/>
    <x v="1"/>
    <s v="Clean"/>
  </r>
  <r>
    <s v="ORD-2025-10717"/>
    <s v="26 Aug 2025"/>
    <d v="2025-08-26T00:00:00"/>
    <s v="31-08-2025"/>
    <d v="2025-08-31T00:00:00"/>
    <s v="Valid"/>
    <n v="5"/>
    <s v="Valid"/>
    <s v="CUST-7540"/>
    <s v="Diya Patel"/>
    <s v="Diya Patel"/>
    <s v="Small Business"/>
    <x v="1"/>
    <s v="North"/>
    <x v="0"/>
    <s v="Haryana"/>
    <s v="Gurugram"/>
    <s v="Technology"/>
    <x v="2"/>
    <x v="11"/>
    <s v="Basic Phones 496"/>
    <s v="First Class"/>
    <x v="2"/>
    <n v="1"/>
    <n v="3388.02"/>
    <n v="0.15"/>
    <n v="0.15"/>
    <n v="2879.817"/>
    <n v="2879.82"/>
    <n v="1824.88"/>
    <n v="1054.94"/>
    <s v="Paid"/>
    <s v="Completed"/>
    <x v="0"/>
    <s v="Valid"/>
    <n v="1054.94"/>
    <n v="0.36632188781439934"/>
    <x v="1"/>
    <x v="1"/>
    <s v="Clean"/>
  </r>
  <r>
    <s v="ORD-2025-10718"/>
    <s v="12-10-2025"/>
    <d v="2025-10-12T00:00:00"/>
    <s v="15 Oct 2025"/>
    <d v="2025-10-15T00:00:00"/>
    <s v="Valid"/>
    <n v="3"/>
    <s v="Valid"/>
    <s v="CUST-8351"/>
    <s v="Kabir Singh"/>
    <s v="Kabir Singh"/>
    <s v="Small Business"/>
    <x v="1"/>
    <s v="North"/>
    <x v="0"/>
    <s v="Haryana"/>
    <s v="Gurugram"/>
    <s v="Technology"/>
    <x v="2"/>
    <x v="12"/>
    <s v="Prime Machines 612"/>
    <s v="Standard Class"/>
    <x v="3"/>
    <n v="9"/>
    <n v="2598.92"/>
    <n v="0.2"/>
    <n v="0.2"/>
    <n v="18712.223999999998"/>
    <n v="18712.22"/>
    <n v="11852.22"/>
    <n v="6860"/>
    <s v="Pending"/>
    <s v="Cancelled"/>
    <x v="1"/>
    <s v="Valid"/>
    <n v="6860.0000000000018"/>
    <n v="0.36660527364358197"/>
    <x v="9"/>
    <x v="1"/>
    <s v="Clean"/>
  </r>
  <r>
    <s v="ORD-2024-10719"/>
    <s v="06 Sep 2024"/>
    <d v="2024-09-06T00:00:00"/>
    <s v="2024-09-09"/>
    <d v="2024-09-09T00:00:00"/>
    <s v="Valid"/>
    <n v="3"/>
    <s v="Valid"/>
    <s v="CUST-3918"/>
    <s v="Mira Das"/>
    <s v="Mira Das"/>
    <s v="Consumer"/>
    <x v="0"/>
    <s v="West"/>
    <x v="3"/>
    <s v="Maharashtra"/>
    <s v="Mumbai"/>
    <s v="Office Supplies"/>
    <x v="0"/>
    <x v="2"/>
    <s v="Smart Art 866"/>
    <s v="Same Day"/>
    <x v="1"/>
    <n v="3"/>
    <n v="1972.27"/>
    <n v="0.2"/>
    <n v="0.2"/>
    <n v="4733.4479999999994"/>
    <n v="4733.45"/>
    <n v="3672.32"/>
    <n v="1061.1300000000001"/>
    <s v="Paid"/>
    <s v="Completed"/>
    <x v="0"/>
    <s v="Valid"/>
    <n v="1061.1299999999997"/>
    <n v="0.22417696360031836"/>
    <x v="7"/>
    <x v="0"/>
    <s v="Clean"/>
  </r>
  <r>
    <s v="ORD-2025-10720"/>
    <s v="08 Sep 2025"/>
    <d v="2025-09-08T00:00:00"/>
    <s v="2025-09-09"/>
    <d v="2025-09-09T00:00:00"/>
    <s v="Valid"/>
    <n v="1"/>
    <s v="Valid"/>
    <s v="CUST-3190"/>
    <s v="Kabir Singh"/>
    <s v="Kabir Singh"/>
    <s v="Corporate"/>
    <x v="2"/>
    <s v="West"/>
    <x v="3"/>
    <s v="Gujarat"/>
    <s v="Ahmedabad"/>
    <s v="Office Supplies"/>
    <x v="0"/>
    <x v="2"/>
    <s v="Pro Art 447"/>
    <s v="Same Day"/>
    <x v="1"/>
    <n v="2"/>
    <n v="2372.41"/>
    <n v="0.2"/>
    <n v="0.2"/>
    <n v="3795.8559999999998"/>
    <n v="3795.86"/>
    <n v="2264.92"/>
    <n v="1530.94"/>
    <s v="Paid"/>
    <s v="Completed"/>
    <x v="0"/>
    <s v="Valid"/>
    <n v="1530.94"/>
    <n v="0.40331877710850994"/>
    <x v="7"/>
    <x v="1"/>
    <s v="Clean"/>
  </r>
  <r>
    <s v="ORD-2024-10721"/>
    <s v="2024-07-16"/>
    <d v="2024-07-16T00:00:00"/>
    <s v="07/16/2024"/>
    <d v="2024-07-16T00:00:00"/>
    <s v="Valid"/>
    <n v="0"/>
    <s v="Valid"/>
    <s v="CUST-1991"/>
    <s v="Aditi Sen"/>
    <s v="Aditi Sen"/>
    <s v="Home Office"/>
    <x v="3"/>
    <s v="West"/>
    <x v="3"/>
    <s v="Madhya Pradesh"/>
    <s v="Indore"/>
    <s v="Technology"/>
    <x v="2"/>
    <x v="6"/>
    <s v="Smart Copiers 196"/>
    <s v="Same Day"/>
    <x v="1"/>
    <n v="4"/>
    <n v="4479.92"/>
    <n v="0.15"/>
    <n v="0.15"/>
    <n v="15231.727999999999"/>
    <n v="15231.73"/>
    <n v="12451.46"/>
    <n v="2780.27"/>
    <s v="Paid"/>
    <s v="Completed"/>
    <x v="0"/>
    <s v="Valid"/>
    <n v="2780.2700000000004"/>
    <n v="0.18253148953290135"/>
    <x v="0"/>
    <x v="0"/>
    <s v="Clean"/>
  </r>
  <r>
    <s v="ORD-2025-10722"/>
    <s v="19-06-2025"/>
    <d v="2025-06-19T00:00:00"/>
    <s v="23-06-2025"/>
    <d v="2025-06-23T00:00:00"/>
    <s v="Valid"/>
    <n v="4"/>
    <s v="Valid"/>
    <s v="CUST-7606"/>
    <s v="Sneha Kapoor"/>
    <s v="Sneha Kapoor"/>
    <s v="Consumer"/>
    <x v="0"/>
    <s v="South"/>
    <x v="2"/>
    <s v="Karnataka"/>
    <s v="Bengaluru"/>
    <s v="Technology"/>
    <x v="2"/>
    <x v="6"/>
    <s v="Pro Copiers 532"/>
    <s v="First Class"/>
    <x v="2"/>
    <n v="5"/>
    <n v="2729.95"/>
    <n v="0"/>
    <n v="0"/>
    <n v="13649.75"/>
    <n v="13649.75"/>
    <n v="10288.030000000001"/>
    <n v="3361.72"/>
    <s v="Paid"/>
    <s v="Completed"/>
    <x v="0"/>
    <s v="Valid"/>
    <n v="3361.7199999999993"/>
    <n v="0.24628436418249414"/>
    <x v="2"/>
    <x v="1"/>
    <s v="Clean"/>
  </r>
  <r>
    <s v="ORD-2024-10723"/>
    <s v="2024-10-07"/>
    <d v="2024-10-07T00:00:00"/>
    <s v="10 Oct 2024"/>
    <d v="2024-10-10T00:00:00"/>
    <s v="Valid"/>
    <n v="3"/>
    <s v="Valid"/>
    <s v="CUST-8844"/>
    <s v="Vikram Iyer"/>
    <s v="Vikram Iyer"/>
    <s v="Consumer"/>
    <x v="0"/>
    <s v="East"/>
    <x v="1"/>
    <s v="West Bengal"/>
    <s v="Kolkata"/>
    <s v="Furniture"/>
    <x v="1"/>
    <x v="4"/>
    <s v="Eco Chairs 442"/>
    <s v="Second Class"/>
    <x v="0"/>
    <n v="9"/>
    <n v="481.51"/>
    <m/>
    <n v="0"/>
    <n v="4333.59"/>
    <n v="4333.59"/>
    <n v="2533.59"/>
    <n v="1800"/>
    <s v="Refunded"/>
    <s v="Cancelled"/>
    <x v="1"/>
    <s v="Valid"/>
    <n v="1800"/>
    <n v="0.41536001329152039"/>
    <x v="9"/>
    <x v="0"/>
    <s v="Clean"/>
  </r>
  <r>
    <s v="ORD-2025-10724"/>
    <s v="10/06/2025"/>
    <d v="2025-10-06T00:00:00"/>
    <s v="2025-10-13"/>
    <d v="2025-10-13T00:00:00"/>
    <s v="Valid"/>
    <n v="7"/>
    <s v="Valid"/>
    <s v="CUST-4335"/>
    <s v="Kabir Singh"/>
    <s v="Kabir Singh"/>
    <s v="Home Office"/>
    <x v="3"/>
    <s v="East"/>
    <x v="1"/>
    <s v="Jharkhand"/>
    <s v="Ranchi"/>
    <s v="Technology"/>
    <x v="2"/>
    <x v="5"/>
    <s v="Eco Accessories 364"/>
    <s v="Standard Class"/>
    <x v="3"/>
    <n v="6"/>
    <n v="2391.9299999999998"/>
    <n v="0.05"/>
    <n v="0.05"/>
    <n v="13634.000999999998"/>
    <n v="13634"/>
    <n v="9589.81"/>
    <n v="4044.19"/>
    <s v="Failed"/>
    <s v="Returned"/>
    <x v="2"/>
    <s v="Valid"/>
    <n v="4044.1900000000005"/>
    <n v="0.29662532663742663"/>
    <x v="9"/>
    <x v="1"/>
    <s v="Clean"/>
  </r>
  <r>
    <s v="ORD-2024-10725"/>
    <s v="02/10/2024"/>
    <d v="2024-02-10T00:00:00"/>
    <s v="16-02-2024"/>
    <d v="2024-02-16T00:00:00"/>
    <s v="Valid"/>
    <n v="6"/>
    <s v="Valid"/>
    <s v="CUST-5891"/>
    <s v="Karan Malhotra"/>
    <s v="Karan Malhotra"/>
    <s v="Consumer"/>
    <x v="0"/>
    <s v="West"/>
    <x v="3"/>
    <s v="Goa"/>
    <s v="Panaji"/>
    <s v="Furniture"/>
    <x v="1"/>
    <x v="3"/>
    <s v="Elite Furnishings 921"/>
    <s v="Second Class"/>
    <x v="0"/>
    <n v="3"/>
    <n v="253.43"/>
    <n v="0"/>
    <n v="0"/>
    <n v="760.29"/>
    <n v="760.29"/>
    <n v="497.77"/>
    <n v="262.52"/>
    <s v="Paid"/>
    <s v="Completed"/>
    <x v="0"/>
    <s v="Valid"/>
    <n v="262.52"/>
    <n v="0.34528929750489945"/>
    <x v="6"/>
    <x v="0"/>
    <s v="Clean"/>
  </r>
  <r>
    <s v="ORD-2025-10726"/>
    <s v="10/05/2025"/>
    <d v="2025-10-05T00:00:00"/>
    <s v="2025-10-12"/>
    <d v="2025-10-12T00:00:00"/>
    <s v="Valid"/>
    <n v="7"/>
    <s v="Valid"/>
    <s v="CUST-6371"/>
    <s v="Priya Menon"/>
    <s v="Priya Menon"/>
    <s v="Corporate"/>
    <x v="2"/>
    <s v="South"/>
    <x v="2"/>
    <s v="Karnataka"/>
    <s v="Bengaluru"/>
    <s v="Furniture"/>
    <x v="1"/>
    <x v="1"/>
    <s v="Max Tables 309"/>
    <s v="Second Class"/>
    <x v="0"/>
    <n v="7"/>
    <n v="2134.73"/>
    <n v="0"/>
    <n v="0"/>
    <n v="14943.11"/>
    <n v="14943.11"/>
    <n v="8521.5"/>
    <n v="6421.61"/>
    <s v="Paid"/>
    <s v="Completed"/>
    <x v="0"/>
    <s v="Valid"/>
    <n v="6421.6100000000006"/>
    <n v="0.42973718322357263"/>
    <x v="9"/>
    <x v="1"/>
    <s v="Clean"/>
  </r>
  <r>
    <s v="ORD-2024-10727"/>
    <s v="2024-01-17"/>
    <d v="2024-01-17T00:00:00"/>
    <s v="01/23/2024"/>
    <d v="2024-01-23T00:00:00"/>
    <s v="Valid"/>
    <n v="6"/>
    <s v="Valid"/>
    <s v="CUST-6655"/>
    <s v="Kabir Singh"/>
    <s v="Kabir Singh"/>
    <s v="Home Office"/>
    <x v="3"/>
    <s v="West"/>
    <x v="3"/>
    <s v="Gujarat"/>
    <s v="Ahmedabad"/>
    <s v="Technology"/>
    <x v="2"/>
    <x v="11"/>
    <s v="Pro Phones 857"/>
    <s v="Standard Class"/>
    <x v="3"/>
    <n v="5"/>
    <n v="2018"/>
    <n v="0.2"/>
    <n v="0.2"/>
    <n v="8072"/>
    <n v="8072"/>
    <n v="5379.22"/>
    <n v="2692.78"/>
    <s v="Pending"/>
    <s v="Returned"/>
    <x v="2"/>
    <s v="Valid"/>
    <n v="2692.7799999999997"/>
    <n v="0.33359514370664023"/>
    <x v="10"/>
    <x v="0"/>
    <s v="Clean"/>
  </r>
  <r>
    <s v="ORD-2024-10728"/>
    <s v="13 Oct 2024"/>
    <d v="2024-10-13T00:00:00"/>
    <s v="13 Oct 2024"/>
    <d v="2024-10-13T00:00:00"/>
    <s v="Valid"/>
    <n v="0"/>
    <s v="Valid"/>
    <s v="CUST-6492"/>
    <s v="Aarav Sharma"/>
    <s v="Aarav Sharma"/>
    <s v="Small Business"/>
    <x v="1"/>
    <s v="East"/>
    <x v="1"/>
    <s v="Assam"/>
    <s v="Guwahati"/>
    <s v="Technology"/>
    <x v="2"/>
    <x v="5"/>
    <s v="Max Accessories 567"/>
    <s v="Second Class"/>
    <x v="0"/>
    <n v="8"/>
    <n v="3730.66"/>
    <n v="0.05"/>
    <n v="0.05"/>
    <n v="28353.015999999996"/>
    <n v="28353.02"/>
    <n v="19257.849999999999"/>
    <n v="9095.17"/>
    <s v="Paid"/>
    <s v="Completed"/>
    <x v="0"/>
    <s v="Valid"/>
    <n v="9095.1700000000019"/>
    <n v="0.32078315760129372"/>
    <x v="9"/>
    <x v="0"/>
    <s v="Clean"/>
  </r>
  <r>
    <s v="ORD-2024-10729"/>
    <s v="2024-01-04"/>
    <d v="2024-01-04T00:00:00"/>
    <s v="07-01-2024"/>
    <d v="2024-01-07T00:00:00"/>
    <s v="Valid"/>
    <n v="3"/>
    <s v="Valid"/>
    <s v="CUST-1154"/>
    <s v="Sneha Kapoor"/>
    <s v="Sneha Kapoor"/>
    <s v="Small Business"/>
    <x v="1"/>
    <s v="South"/>
    <x v="2"/>
    <s v="Karnataka"/>
    <s v="Bengaluru"/>
    <s v="Technology"/>
    <x v="2"/>
    <x v="12"/>
    <s v="Max Machines 200"/>
    <s v="First Class"/>
    <x v="2"/>
    <n v="1"/>
    <n v="2363.02"/>
    <n v="0.15"/>
    <n v="0.15"/>
    <n v="2008.567"/>
    <n v="2008.57"/>
    <n v="1194.83"/>
    <n v="813.74"/>
    <s v="Paid"/>
    <s v="Completed"/>
    <x v="0"/>
    <s v="Valid"/>
    <n v="813.74"/>
    <n v="0.40513460591556072"/>
    <x v="10"/>
    <x v="0"/>
    <s v="Clean"/>
  </r>
  <r>
    <s v="ORD-2025-10730"/>
    <s v="17-05-2025"/>
    <d v="2025-05-17T00:00:00"/>
    <s v="25 May 2025"/>
    <d v="2025-05-25T00:00:00"/>
    <s v="Valid"/>
    <n v="8"/>
    <s v="Valid"/>
    <s v="CUST-8713"/>
    <s v="Ananya Rao"/>
    <s v="Ananya Rao"/>
    <s v="Corporate"/>
    <x v="2"/>
    <s v="South"/>
    <x v="2"/>
    <s v="Tamil Nadu"/>
    <s v="Chennai"/>
    <s v="Technology"/>
    <x v="2"/>
    <x v="12"/>
    <s v="Pro Machines 563"/>
    <s v="Same Day"/>
    <x v="1"/>
    <n v="6"/>
    <n v="1810.63"/>
    <n v="0.15"/>
    <n v="0.15"/>
    <n v="9234.2129999999997"/>
    <n v="9234.2099999999991"/>
    <n v="5516.52"/>
    <n v="3717.69"/>
    <s v="Paid"/>
    <s v="Completed"/>
    <x v="0"/>
    <s v="Valid"/>
    <n v="3717.6899999999987"/>
    <n v="0.40259955017281912"/>
    <x v="4"/>
    <x v="1"/>
    <s v="Clean"/>
  </r>
  <r>
    <s v="ORD-2025-10731"/>
    <s v="06/19/2025"/>
    <d v="2025-06-19T00:00:00"/>
    <s v="24-06-2025"/>
    <d v="2025-06-24T00:00:00"/>
    <s v="Valid"/>
    <n v="5"/>
    <s v="Valid"/>
    <s v="CUST-6765"/>
    <s v="Arjun Bose"/>
    <s v="Arjun Bose"/>
    <s v="Consumer"/>
    <x v="0"/>
    <s v="East"/>
    <x v="1"/>
    <s v="West Bengal"/>
    <s v="Kolkata"/>
    <s v="Office Supplies"/>
    <x v="0"/>
    <x v="2"/>
    <s v="Elite Art 696"/>
    <s v="Second Class"/>
    <x v="0"/>
    <n v="4"/>
    <n v="782.01"/>
    <n v="0.15"/>
    <n v="0.15"/>
    <n v="2658.8339999999998"/>
    <n v="2658.83"/>
    <n v="2226.9699999999998"/>
    <n v="431.86"/>
    <s v="Refunded"/>
    <s v="Returned"/>
    <x v="2"/>
    <s v="Valid"/>
    <n v="431.86000000000013"/>
    <n v="0.16242458160231144"/>
    <x v="2"/>
    <x v="1"/>
    <s v="Clean"/>
  </r>
  <r>
    <s v="ORD-2024-10732"/>
    <s v="2024-03-17"/>
    <d v="2024-03-17T00:00:00"/>
    <s v="19 Mar 2024"/>
    <d v="2024-03-19T00:00:00"/>
    <s v="Valid"/>
    <n v="2"/>
    <s v="Valid"/>
    <s v="CUST-6849"/>
    <s v="Ananya Rao"/>
    <s v="Ananya Rao"/>
    <s v="Corporate"/>
    <x v="2"/>
    <s v="East"/>
    <x v="1"/>
    <s v="Odisha"/>
    <s v="Bhubaneswar"/>
    <s v="Office Supplies"/>
    <x v="0"/>
    <x v="9"/>
    <s v="Eco Binders 178"/>
    <s v="First Class"/>
    <x v="2"/>
    <n v="4"/>
    <n v="4376.68"/>
    <n v="0.1"/>
    <n v="0.1"/>
    <n v="15756.048000000001"/>
    <n v="15756.05"/>
    <n v="10245.44"/>
    <n v="5510.61"/>
    <s v="Paid"/>
    <s v="Completed"/>
    <x v="0"/>
    <s v="Valid"/>
    <n v="5510.6099999999988"/>
    <n v="0.34974569765210151"/>
    <x v="11"/>
    <x v="0"/>
    <s v="Clean"/>
  </r>
  <r>
    <s v="ORD-2024-10733"/>
    <s v="2024-11-28"/>
    <d v="2024-11-28T00:00:00"/>
    <s v="06 Dec 2024"/>
    <d v="2024-12-06T00:00:00"/>
    <s v="Valid"/>
    <n v="8"/>
    <s v="Valid"/>
    <s v="CUST-4973"/>
    <s v="Arjun Bose"/>
    <s v="Arjun Bose"/>
    <s v="Small Business"/>
    <x v="1"/>
    <s v="North"/>
    <x v="0"/>
    <s v="Punjab"/>
    <s v="Ludhiana"/>
    <s v="Technology"/>
    <x v="2"/>
    <x v="11"/>
    <s v="Max Phones 678"/>
    <s v="Standard Class"/>
    <x v="3"/>
    <n v="6"/>
    <n v="2464.63"/>
    <n v="0"/>
    <n v="0"/>
    <n v="14787.78"/>
    <n v="14787.78"/>
    <n v="8596.65"/>
    <n v="6191.13"/>
    <s v="Paid"/>
    <s v="Completed"/>
    <x v="0"/>
    <s v="Valid"/>
    <n v="6191.130000000001"/>
    <n v="0.41866527632950995"/>
    <x v="3"/>
    <x v="0"/>
    <s v="Clean"/>
  </r>
  <r>
    <s v="ORD-2024-10734"/>
    <s v="21-06-2024"/>
    <d v="2024-06-21T00:00:00"/>
    <s v="28 Jun 2024"/>
    <d v="2024-06-28T00:00:00"/>
    <s v="Valid"/>
    <n v="7"/>
    <s v="Valid"/>
    <s v="CUST-2394"/>
    <s v="Aarav Sharma"/>
    <s v="Aarav Sharma"/>
    <s v="Home Office"/>
    <x v="3"/>
    <s v="North"/>
    <x v="0"/>
    <s v="Rajasthan"/>
    <s v="Jaipur"/>
    <s v="Furniture"/>
    <x v="1"/>
    <x v="3"/>
    <s v="Classic Furnishings 582"/>
    <s v="First Class"/>
    <x v="2"/>
    <n v="9"/>
    <n v="2797.96"/>
    <n v="0"/>
    <n v="0"/>
    <n v="25181.64"/>
    <n v="25181.64"/>
    <n v="15337.9"/>
    <n v="9843.74"/>
    <s v="Paid"/>
    <s v="Completed"/>
    <x v="0"/>
    <s v="Valid"/>
    <n v="9843.74"/>
    <n v="0.39090940860086953"/>
    <x v="2"/>
    <x v="0"/>
    <s v="Clean"/>
  </r>
  <r>
    <s v="ORD-2024-10735"/>
    <s v="24-08-2024"/>
    <d v="2024-08-24T00:00:00"/>
    <s v="24-08-2024"/>
    <d v="2024-08-24T00:00:00"/>
    <s v="Valid"/>
    <n v="0"/>
    <s v="Valid"/>
    <s v="CUST-5406"/>
    <s v="Ananya Rao"/>
    <s v="Ananya Rao"/>
    <s v="Small Business"/>
    <x v="1"/>
    <s v="North"/>
    <x v="0"/>
    <s v="Rajasthan"/>
    <s v="Jaipur"/>
    <s v="Technology"/>
    <x v="2"/>
    <x v="5"/>
    <s v="Classic Accessories 981"/>
    <s v="First Class"/>
    <x v="2"/>
    <n v="4"/>
    <n v="2761.86"/>
    <n v="0.2"/>
    <n v="0.2"/>
    <n v="8837.9520000000011"/>
    <n v="8837.9500000000007"/>
    <n v="6157.27"/>
    <n v="2680.68"/>
    <s v="Paid"/>
    <s v="Completed"/>
    <x v="0"/>
    <s v="Valid"/>
    <n v="2680.6800000000003"/>
    <n v="0.30331461406443483"/>
    <x v="1"/>
    <x v="0"/>
    <s v="Clean"/>
  </r>
  <r>
    <s v="ORD-2024-10736"/>
    <s v="2024-08-11"/>
    <d v="2024-08-11T00:00:00"/>
    <s v="19-08-2024"/>
    <d v="2024-08-19T00:00:00"/>
    <s v="Valid"/>
    <n v="8"/>
    <s v="Valid"/>
    <s v="CUST-1963"/>
    <s v="Mira Das"/>
    <s v="Mira Das"/>
    <s v="Consumer"/>
    <x v="0"/>
    <s v="West"/>
    <x v="3"/>
    <s v="Maharashtra"/>
    <s v="Mumbai"/>
    <s v="Furniture"/>
    <x v="1"/>
    <x v="1"/>
    <s v="Classic Tables 534"/>
    <s v="Standard Class"/>
    <x v="3"/>
    <n v="6"/>
    <n v="1515.79"/>
    <n v="0.2"/>
    <n v="0.2"/>
    <n v="7275.7920000000004"/>
    <n v="7275.79"/>
    <n v="6152.87"/>
    <n v="1122.92"/>
    <s v="Paid"/>
    <s v="Completed"/>
    <x v="0"/>
    <s v="Valid"/>
    <n v="1122.92"/>
    <n v="0.1543364626146542"/>
    <x v="1"/>
    <x v="0"/>
    <s v="Clean"/>
  </r>
  <r>
    <s v="ORD-2024-10737"/>
    <s v="06 Dec 2024"/>
    <d v="2024-12-06T00:00:00"/>
    <s v="09-12-2024"/>
    <d v="2024-12-09T00:00:00"/>
    <s v="Valid"/>
    <n v="3"/>
    <s v="Valid"/>
    <s v="CUST-9017"/>
    <s v="Aditi Sen"/>
    <s v="Aditi Sen"/>
    <s v="Consumer"/>
    <x v="0"/>
    <s v="West"/>
    <x v="3"/>
    <s v="Maharashtra"/>
    <s v="Mumbai"/>
    <s v="Furniture"/>
    <x v="1"/>
    <x v="4"/>
    <s v="Pro Chairs 383"/>
    <s v="Second Class"/>
    <x v="0"/>
    <n v="9"/>
    <n v="290.75"/>
    <n v="0.1"/>
    <n v="0.1"/>
    <n v="2355.0750000000003"/>
    <n v="2355.08"/>
    <n v="1350.03"/>
    <n v="1005.05"/>
    <s v="Paid"/>
    <s v="Completed"/>
    <x v="0"/>
    <s v="Valid"/>
    <n v="1005.05"/>
    <n v="0.42675923272082622"/>
    <x v="8"/>
    <x v="0"/>
    <s v="Clean"/>
  </r>
  <r>
    <s v="ORD-2024-10738"/>
    <s v="2024-02-10"/>
    <d v="2024-02-10T00:00:00"/>
    <s v="10 Feb 2024"/>
    <d v="2024-02-10T00:00:00"/>
    <s v="Valid"/>
    <n v="0"/>
    <s v="Valid"/>
    <s v="CUST-7967"/>
    <s v="Isha Nair"/>
    <s v="Isha Nair"/>
    <s v="Home Office"/>
    <x v="3"/>
    <s v="West"/>
    <x v="3"/>
    <s v="Maharashtra"/>
    <s v="Mumbai"/>
    <s v="Furniture"/>
    <x v="1"/>
    <x v="4"/>
    <s v="Max Chairs 845"/>
    <s v="Same Day"/>
    <x v="1"/>
    <n v="6"/>
    <n v="601.52"/>
    <n v="0"/>
    <n v="0"/>
    <n v="3609.12"/>
    <n v="3609.12"/>
    <n v="2645.5"/>
    <n v="963.62"/>
    <s v="Paid"/>
    <s v="Completed"/>
    <x v="0"/>
    <s v="Valid"/>
    <n v="963.61999999999989"/>
    <n v="0.2669958327791816"/>
    <x v="6"/>
    <x v="0"/>
    <s v="Clean"/>
  </r>
  <r>
    <s v="ORD-2025-10739"/>
    <s v="20 Feb 2025"/>
    <d v="2025-02-20T00:00:00"/>
    <s v="02/22/2025"/>
    <d v="2025-02-22T00:00:00"/>
    <s v="Valid"/>
    <n v="2"/>
    <s v="Valid"/>
    <s v="CUST-5334"/>
    <s v="Priya Menon"/>
    <s v="Priya Menon"/>
    <s v="Corporate"/>
    <x v="2"/>
    <s v="South"/>
    <x v="2"/>
    <s v="Kerala"/>
    <s v="Kochi"/>
    <s v="Office Supplies"/>
    <x v="0"/>
    <x v="0"/>
    <s v="Prime Paper 307"/>
    <s v="First Class"/>
    <x v="2"/>
    <n v="1"/>
    <n v="2188.19"/>
    <n v="0"/>
    <n v="0"/>
    <n v="2188.19"/>
    <n v="2188.19"/>
    <n v="1298.8399999999999"/>
    <n v="889.35"/>
    <s v="Paid"/>
    <s v="Completed"/>
    <x v="0"/>
    <s v="Valid"/>
    <n v="889.35000000000014"/>
    <n v="0.40643179979800664"/>
    <x v="6"/>
    <x v="1"/>
    <s v="Clean"/>
  </r>
  <r>
    <s v="ORD-2024-10740"/>
    <s v="03 Dec 2024"/>
    <d v="2024-12-03T00:00:00"/>
    <s v="12/10/2024"/>
    <d v="2024-12-10T00:00:00"/>
    <s v="Valid"/>
    <n v="7"/>
    <s v="Valid"/>
    <s v="CUST-5846"/>
    <s v="Neha Gupta"/>
    <s v="Neha Gupta"/>
    <s v="Corporate"/>
    <x v="2"/>
    <s v="North"/>
    <x v="0"/>
    <s v="Rajasthan"/>
    <s v="Jaipur"/>
    <s v="Technology"/>
    <x v="2"/>
    <x v="11"/>
    <s v="Basic Phones 859"/>
    <s v="Standard Class"/>
    <x v="3"/>
    <n v="5"/>
    <n v="2393.86"/>
    <n v="0.05"/>
    <n v="0.05"/>
    <n v="11370.835000000001"/>
    <n v="11370.84"/>
    <n v="7469.58"/>
    <n v="3901.26"/>
    <s v="Paid"/>
    <s v="Completed"/>
    <x v="0"/>
    <s v="Valid"/>
    <n v="3901.26"/>
    <n v="0.34309353710611401"/>
    <x v="8"/>
    <x v="0"/>
    <s v="Clean"/>
  </r>
  <r>
    <s v="ORD-2024-10741"/>
    <s v="02 Apr 2024"/>
    <d v="2024-04-02T00:00:00"/>
    <s v="04/02/2024"/>
    <d v="2024-04-02T00:00:00"/>
    <s v="Valid"/>
    <n v="0"/>
    <s v="Valid"/>
    <s v="CUST-7932"/>
    <s v="Sneha Kapoor"/>
    <s v="Sneha Kapoor"/>
    <s v="Small Business"/>
    <x v="1"/>
    <s v="West"/>
    <x v="3"/>
    <s v="Maharashtra"/>
    <s v="Mumbai"/>
    <s v="Furniture"/>
    <x v="1"/>
    <x v="4"/>
    <s v="Eco Chairs 883"/>
    <s v="First Class"/>
    <x v="2"/>
    <n v="4"/>
    <n v="2583"/>
    <n v="0.1"/>
    <n v="0.1"/>
    <n v="9298.8000000000011"/>
    <n v="9298.7999999999993"/>
    <n v="6548.5"/>
    <n v="2750.3"/>
    <s v="Paid"/>
    <s v="Completed"/>
    <x v="0"/>
    <s v="Valid"/>
    <n v="2750.2999999999993"/>
    <n v="0.2957693465823546"/>
    <x v="5"/>
    <x v="0"/>
    <s v="Clean"/>
  </r>
  <r>
    <s v="ORD-2025-10742"/>
    <s v="04/23/2025"/>
    <d v="2025-04-23T00:00:00"/>
    <s v="2025-04-25"/>
    <d v="2025-04-25T00:00:00"/>
    <s v="Valid"/>
    <n v="2"/>
    <s v="Valid"/>
    <s v="CUST-3285"/>
    <s v="Isha Nair"/>
    <s v="Isha Nair"/>
    <s v="Home Office"/>
    <x v="3"/>
    <s v="South"/>
    <x v="2"/>
    <s v="Tamil Nadu"/>
    <s v="Chennai"/>
    <s v="Furniture"/>
    <x v="1"/>
    <x v="4"/>
    <s v="Max Chairs 706"/>
    <s v="Second Class"/>
    <x v="0"/>
    <n v="3"/>
    <n v="2951.12"/>
    <m/>
    <n v="0"/>
    <n v="8853.36"/>
    <n v="7082.69"/>
    <n v="5596.34"/>
    <n v="1486.35"/>
    <s v="Paid"/>
    <s v="Cancelled"/>
    <x v="1"/>
    <s v="Valid"/>
    <n v="1486.3499999999995"/>
    <n v="0.16788541299574392"/>
    <x v="5"/>
    <x v="1"/>
    <s v="Clean"/>
  </r>
  <r>
    <s v="ORD-2024-10743"/>
    <s v="10/15/2024"/>
    <d v="2024-10-15T00:00:00"/>
    <s v="22 Oct 2024"/>
    <d v="2024-10-22T00:00:00"/>
    <s v="Valid"/>
    <n v="7"/>
    <s v="Valid"/>
    <s v="CUST-6368"/>
    <s v="Karan Malhotra"/>
    <s v="Karan Malhotra"/>
    <s v="Corporate"/>
    <x v="2"/>
    <s v="East"/>
    <x v="1"/>
    <s v="Odisha"/>
    <s v="Bhubaneswar"/>
    <s v="Office Supplies"/>
    <x v="0"/>
    <x v="0"/>
    <s v="Prime Paper 768"/>
    <s v="Standard Class"/>
    <x v="3"/>
    <n v="4"/>
    <n v="2260.9499999999998"/>
    <n v="0"/>
    <n v="0"/>
    <n v="9043.7999999999993"/>
    <n v="9043.7999999999993"/>
    <n v="5913.38"/>
    <n v="3130.42"/>
    <s v="Paid"/>
    <s v="Completed"/>
    <x v="0"/>
    <s v="Valid"/>
    <n v="3130.4199999999992"/>
    <n v="0.34613989694597397"/>
    <x v="9"/>
    <x v="0"/>
    <s v="Clean"/>
  </r>
  <r>
    <s v="ORD-2025-10744"/>
    <s v="02/12/2025"/>
    <d v="2025-02-12T00:00:00"/>
    <s v="14 Feb 2025"/>
    <d v="2025-02-14T00:00:00"/>
    <s v="Valid"/>
    <n v="2"/>
    <s v="Valid"/>
    <s v="CUST-6231"/>
    <s v="Sneha Kapoor"/>
    <s v="Sneha Kapoor"/>
    <s v="Consumer"/>
    <x v="0"/>
    <s v="North"/>
    <x v="0"/>
    <s v="Uttar Pradesh"/>
    <s v="Noida"/>
    <s v="Office Supplies"/>
    <x v="0"/>
    <x v="2"/>
    <s v="Basic Art 764"/>
    <s v="Standard Class"/>
    <x v="3"/>
    <n v="6"/>
    <n v="491.4"/>
    <n v="0.25"/>
    <n v="0.25"/>
    <n v="2211.2999999999997"/>
    <n v="2211.3000000000002"/>
    <n v="1735.64"/>
    <n v="475.66"/>
    <s v="Paid"/>
    <s v="Completed"/>
    <x v="0"/>
    <s v="Valid"/>
    <n v="475.66000000000008"/>
    <n v="0.21510423732645961"/>
    <x v="6"/>
    <x v="1"/>
    <s v="Clean"/>
  </r>
  <r>
    <s v="ORD-2025-10745"/>
    <s v="2025-08-17"/>
    <d v="2025-08-17T00:00:00"/>
    <s v="2025-08-20"/>
    <d v="2025-08-20T00:00:00"/>
    <s v="Valid"/>
    <n v="3"/>
    <s v="Valid"/>
    <s v="CUST-2021"/>
    <s v="Mira Das"/>
    <s v="Mira Das"/>
    <s v="Home Office"/>
    <x v="3"/>
    <s v="North"/>
    <x v="0"/>
    <s v="Punjab"/>
    <s v="Ludhiana"/>
    <s v="Office Supplies"/>
    <x v="0"/>
    <x v="9"/>
    <s v="Prime Binders 181"/>
    <s v="First Class"/>
    <x v="2"/>
    <n v="5"/>
    <n v="2701.89"/>
    <n v="0.1"/>
    <n v="0.1"/>
    <n v="12158.504999999999"/>
    <n v="12158.5"/>
    <n v="10260.07"/>
    <n v="1898.43"/>
    <s v="Paid"/>
    <s v="Cancelled"/>
    <x v="1"/>
    <s v="Valid"/>
    <n v="1898.4300000000003"/>
    <n v="0.15614008465678966"/>
    <x v="1"/>
    <x v="1"/>
    <s v="Clean"/>
  </r>
  <r>
    <s v="ORD-2024-10746"/>
    <s v="24 Oct 2024"/>
    <d v="2024-10-24T00:00:00"/>
    <s v="28-10-2024"/>
    <d v="2024-10-28T00:00:00"/>
    <s v="Valid"/>
    <n v="4"/>
    <s v="Valid"/>
    <s v="CUST-1493"/>
    <s v="Mira Das"/>
    <s v="Mira Das"/>
    <s v="Small Business"/>
    <x v="1"/>
    <s v="East"/>
    <x v="1"/>
    <s v="Assam"/>
    <s v="Guwahati"/>
    <s v="Technology"/>
    <x v="2"/>
    <x v="6"/>
    <s v="Max Copiers 866"/>
    <s v="Standard Class"/>
    <x v="3"/>
    <n v="3"/>
    <n v="723.59"/>
    <n v="0.2"/>
    <n v="0.2"/>
    <n v="1736.616"/>
    <n v="1736.62"/>
    <n v="1059.52"/>
    <n v="677.1"/>
    <s v="Paid"/>
    <s v="Completed"/>
    <x v="0"/>
    <s v="Valid"/>
    <n v="677.09999999999991"/>
    <n v="0.38989621194322749"/>
    <x v="9"/>
    <x v="0"/>
    <s v="Clean"/>
  </r>
  <r>
    <s v="ORD-2025-10747"/>
    <s v="2025-01-04"/>
    <d v="2025-01-04T00:00:00"/>
    <s v="10-01-2025"/>
    <d v="2025-01-10T00:00:00"/>
    <s v="Valid"/>
    <n v="6"/>
    <s v="Valid"/>
    <s v="CUST-2314"/>
    <s v="Aarav Sharma"/>
    <s v="Aarav Sharma"/>
    <s v="Home Office"/>
    <x v="3"/>
    <s v="East"/>
    <x v="1"/>
    <s v="West Bengal"/>
    <s v="Kolkata"/>
    <s v="Office Supplies"/>
    <x v="0"/>
    <x v="0"/>
    <s v="Pro Paper 662"/>
    <s v="Standard Class"/>
    <x v="3"/>
    <n v="4"/>
    <n v="2583.19"/>
    <n v="0.2"/>
    <n v="0.2"/>
    <n v="8266.2080000000005"/>
    <n v="8266.2099999999991"/>
    <n v="6236.32"/>
    <n v="2029.89"/>
    <s v="Paid"/>
    <s v="Completed"/>
    <x v="0"/>
    <s v="Valid"/>
    <n v="2029.8899999999994"/>
    <n v="0.24556483456501449"/>
    <x v="10"/>
    <x v="1"/>
    <s v="Clean"/>
  </r>
  <r>
    <s v="ORD-2024-10748"/>
    <s v="2024-05-01"/>
    <d v="2024-05-01T00:00:00"/>
    <s v="07 May 2024"/>
    <d v="2024-05-07T00:00:00"/>
    <s v="Valid"/>
    <n v="6"/>
    <s v="Valid"/>
    <s v="CUST-8416"/>
    <s v="Isha Nair"/>
    <s v="Isha Nair"/>
    <s v="Home Office"/>
    <x v="3"/>
    <s v="East"/>
    <x v="1"/>
    <s v="Odisha"/>
    <s v="Bhubaneswar"/>
    <s v="Office Supplies"/>
    <x v="0"/>
    <x v="0"/>
    <s v="Classic Paper 388"/>
    <s v="Same Day"/>
    <x v="1"/>
    <n v="8"/>
    <n v="1473.83"/>
    <n v="0.15"/>
    <n v="0.15"/>
    <n v="10022.044"/>
    <n v="10022.040000000001"/>
    <n v="5576.98"/>
    <n v="4445.0600000000004"/>
    <s v="Paid"/>
    <s v="Completed"/>
    <x v="0"/>
    <s v="Valid"/>
    <n v="4445.0600000000013"/>
    <n v="0.44352828624579987"/>
    <x v="4"/>
    <x v="0"/>
    <s v="Clean"/>
  </r>
  <r>
    <s v="ORD-2024-10749"/>
    <s v="30-05-2024"/>
    <d v="2024-05-30T00:00:00"/>
    <s v="05/30/2024"/>
    <d v="2024-05-30T00:00:00"/>
    <s v="Valid"/>
    <n v="0"/>
    <s v="Valid"/>
    <s v="CUST-3103"/>
    <s v="Diya Patel"/>
    <s v="Diya Patel"/>
    <s v="Home Office"/>
    <x v="3"/>
    <s v="North"/>
    <x v="0"/>
    <s v="Haryana"/>
    <s v="Gurugram"/>
    <s v="Technology"/>
    <x v="2"/>
    <x v="11"/>
    <s v="Pro Phones 765"/>
    <s v="Second Class"/>
    <x v="0"/>
    <n v="1"/>
    <n v="3848.04"/>
    <n v="0.25"/>
    <n v="0.25"/>
    <n v="2886.0299999999997"/>
    <n v="2886.03"/>
    <n v="2064.83"/>
    <n v="821.2"/>
    <s v="Paid"/>
    <s v="Completed"/>
    <x v="0"/>
    <s v="Valid"/>
    <n v="821.20000000000027"/>
    <n v="0.28454312671732462"/>
    <x v="4"/>
    <x v="0"/>
    <s v="Clean"/>
  </r>
  <r>
    <s v="ORD-2024-10750"/>
    <s v="21 Mar 2024"/>
    <d v="2024-03-21T00:00:00"/>
    <s v="2024-03-25"/>
    <d v="2024-03-25T00:00:00"/>
    <s v="Valid"/>
    <n v="4"/>
    <s v="Valid"/>
    <s v="CUST-4457"/>
    <s v="Aditi Sen"/>
    <s v="Aditi Sen"/>
    <s v="Home Office"/>
    <x v="3"/>
    <s v="East"/>
    <x v="1"/>
    <s v="Assam"/>
    <s v="Guwahati"/>
    <s v="Technology"/>
    <x v="2"/>
    <x v="12"/>
    <s v="Classic Machines 543"/>
    <s v="Standard Class"/>
    <x v="3"/>
    <n v="1"/>
    <n v="1716.7"/>
    <n v="0.15"/>
    <n v="0.15"/>
    <n v="1459.1949999999999"/>
    <n v="1459.19"/>
    <n v="1055.79"/>
    <n v="403.4"/>
    <s v="Paid"/>
    <s v="Completed"/>
    <x v="0"/>
    <s v="Valid"/>
    <n v="403.40000000000009"/>
    <n v="0.2764537981558326"/>
    <x v="11"/>
    <x v="0"/>
    <s v="Clean"/>
  </r>
  <r>
    <s v="ORD-2025-10751"/>
    <s v="06/02/2025"/>
    <d v="2025-06-02T00:00:00"/>
    <s v="2025-06-02"/>
    <d v="2025-06-02T00:00:00"/>
    <s v="Valid"/>
    <n v="0"/>
    <s v="Valid"/>
    <s v="CUST-7036"/>
    <s v="Aarav Sharma"/>
    <s v="Aarav Sharma"/>
    <s v="Home Office"/>
    <x v="3"/>
    <s v="South"/>
    <x v="2"/>
    <s v="Telangana"/>
    <s v="Hyderabad"/>
    <s v="Technology"/>
    <x v="2"/>
    <x v="5"/>
    <s v="Max Accessories 291"/>
    <s v="First Class"/>
    <x v="2"/>
    <n v="8"/>
    <n v="3925.93"/>
    <n v="0.15"/>
    <n v="0.15"/>
    <n v="26696.323999999997"/>
    <n v="26696.32"/>
    <n v="22724.52"/>
    <n v="3971.8"/>
    <s v="Paid"/>
    <s v="Completed"/>
    <x v="0"/>
    <s v="Valid"/>
    <n v="3971.7999999999993"/>
    <n v="0.14877703761761357"/>
    <x v="2"/>
    <x v="1"/>
    <s v="Clean"/>
  </r>
  <r>
    <s v="ORD-2025-10752"/>
    <s v="18-07-2025"/>
    <d v="2025-07-18T00:00:00"/>
    <s v="19-07-2025"/>
    <d v="2025-07-19T00:00:00"/>
    <s v="Valid"/>
    <n v="1"/>
    <s v="Valid"/>
    <s v="CUST-8512"/>
    <s v="Priya Menon"/>
    <s v="Priya Menon"/>
    <s v="Home Office"/>
    <x v="3"/>
    <m/>
    <x v="4"/>
    <s v="Uttar Pradesh"/>
    <s v="Noida"/>
    <s v="Technology"/>
    <x v="2"/>
    <x v="12"/>
    <s v="Eco Machines 414"/>
    <m/>
    <x v="4"/>
    <n v="3"/>
    <n v="2963.25"/>
    <n v="0.05"/>
    <n v="0.05"/>
    <n v="8445.2624999999989"/>
    <n v="8445.26"/>
    <n v="6937.6"/>
    <n v="1507.66"/>
    <s v="Paid"/>
    <s v="Completed"/>
    <x v="0"/>
    <s v="Valid"/>
    <n v="1507.6599999999999"/>
    <n v="0.17852138995087483"/>
    <x v="0"/>
    <x v="1"/>
    <s v="Clean"/>
  </r>
  <r>
    <s v="ORD-2024-10753"/>
    <s v="24-03-2024"/>
    <d v="2024-03-24T00:00:00"/>
    <s v="27-03-2024"/>
    <d v="2024-03-27T00:00:00"/>
    <s v="Valid"/>
    <n v="3"/>
    <s v="Valid"/>
    <s v="CUST-6345"/>
    <s v="Aditi Sen"/>
    <s v="Aditi Sen"/>
    <s v="Corporate"/>
    <x v="2"/>
    <s v="West"/>
    <x v="3"/>
    <s v="Gujarat"/>
    <s v="Ahmedabad"/>
    <s v="Office Supplies"/>
    <x v="0"/>
    <x v="8"/>
    <s v="Basic Storage 273"/>
    <s v="First Class"/>
    <x v="2"/>
    <n v="5"/>
    <n v="2465.2199999999998"/>
    <n v="0.05"/>
    <n v="0.05"/>
    <n v="11709.794999999998"/>
    <n v="11709.79"/>
    <n v="8372.2900000000009"/>
    <n v="3337.5"/>
    <s v="Paid"/>
    <s v="Completed"/>
    <x v="0"/>
    <s v="Valid"/>
    <n v="3337.5"/>
    <n v="0.28501779920143783"/>
    <x v="11"/>
    <x v="0"/>
    <s v="Clean"/>
  </r>
  <r>
    <s v="ORD-2024-10754"/>
    <s v="11 Aug 2024"/>
    <d v="2024-08-11T00:00:00"/>
    <s v="10-08-2024"/>
    <d v="2024-08-10T00:00:00"/>
    <s v="Invalid Shipping Record"/>
    <n v="-1"/>
    <s v="Invalid Shipping Record"/>
    <s v="CUST-4505"/>
    <s v="Aditi Sen"/>
    <s v="Aditi Sen"/>
    <s v="Corporate"/>
    <x v="2"/>
    <s v="North"/>
    <x v="0"/>
    <s v="Delhi"/>
    <s v="New Delhi"/>
    <s v="Furniture"/>
    <x v="1"/>
    <x v="3"/>
    <s v="Elite Furnishings 588"/>
    <s v="Second Class"/>
    <x v="0"/>
    <n v="3"/>
    <n v="1017.22"/>
    <n v="0.15"/>
    <n v="0.15"/>
    <n v="2593.9109999999996"/>
    <n v="2593.91"/>
    <n v="1848.48"/>
    <n v="745.43"/>
    <s v="Failed"/>
    <s v="Returned"/>
    <x v="2"/>
    <s v="Valid"/>
    <n v="745.42999999999984"/>
    <n v="0.28737686065558915"/>
    <x v="1"/>
    <x v="0"/>
    <s v="Invalid"/>
  </r>
  <r>
    <s v="ORD-2025-10755"/>
    <s v="06/04/2025"/>
    <d v="2025-06-04T00:00:00"/>
    <s v="06/04/2025"/>
    <d v="2025-06-04T00:00:00"/>
    <s v="Valid"/>
    <n v="0"/>
    <s v="Valid"/>
    <s v="CUST-7960"/>
    <s v="Neha Gupta"/>
    <s v="Neha Gupta"/>
    <s v="Corporate"/>
    <x v="2"/>
    <s v="South"/>
    <x v="2"/>
    <s v="Kerala"/>
    <s v="Kochi"/>
    <s v="Office Supplies"/>
    <x v="0"/>
    <x v="8"/>
    <s v="Elite Storage 857"/>
    <s v="Standard Class"/>
    <x v="3"/>
    <n v="4"/>
    <n v="891.34"/>
    <n v="0.25"/>
    <n v="0.25"/>
    <n v="2674.02"/>
    <n v="2674.02"/>
    <n v="2207.5700000000002"/>
    <n v="466.45"/>
    <s v="Paid"/>
    <s v="Completed"/>
    <x v="0"/>
    <s v="Valid"/>
    <n v="466.44999999999982"/>
    <n v="0.17443773793763689"/>
    <x v="2"/>
    <x v="1"/>
    <s v="Clean"/>
  </r>
  <r>
    <s v="ORD-2025-10756"/>
    <s v="20-07-2025"/>
    <d v="2025-07-20T00:00:00"/>
    <s v="24-07-2025"/>
    <d v="2025-07-24T00:00:00"/>
    <s v="Valid"/>
    <n v="4"/>
    <s v="Valid"/>
    <s v="CUST-3365"/>
    <s v="Priya Menon"/>
    <s v="Priya Menon"/>
    <s v="Home Office"/>
    <x v="3"/>
    <s v="West"/>
    <x v="3"/>
    <s v="Madhya Pradesh"/>
    <s v="Indore"/>
    <s v="Office Supplies"/>
    <x v="0"/>
    <x v="8"/>
    <s v="Prime Storage 183"/>
    <s v="Second Class"/>
    <x v="0"/>
    <n v="5"/>
    <n v="2481.7399999999998"/>
    <n v="0.2"/>
    <n v="0.2"/>
    <n v="9926.9599999999991"/>
    <n v="9926.9599999999991"/>
    <n v="7994.98"/>
    <n v="1931.98"/>
    <s v="Paid"/>
    <s v="Completed"/>
    <x v="0"/>
    <s v="Valid"/>
    <n v="1931.9799999999996"/>
    <n v="0.19461950083409219"/>
    <x v="0"/>
    <x v="1"/>
    <s v="Clean"/>
  </r>
  <r>
    <s v="ORD-2024-10757"/>
    <s v="10/27/2024"/>
    <d v="2024-10-27T00:00:00"/>
    <s v="11/01/2024"/>
    <d v="2024-11-01T00:00:00"/>
    <s v="Valid"/>
    <n v="5"/>
    <s v="Valid"/>
    <s v="CUST-1557"/>
    <s v="Rohan Mehta"/>
    <s v="Rohan Mehta"/>
    <s v="Consumer"/>
    <x v="0"/>
    <s v="North"/>
    <x v="0"/>
    <s v="Rajasthan"/>
    <s v="Jaipur"/>
    <s v="Technology"/>
    <x v="2"/>
    <x v="5"/>
    <s v="Smart Accessories 362"/>
    <s v="Same Day"/>
    <x v="1"/>
    <n v="7"/>
    <n v="2177.1"/>
    <n v="0.2"/>
    <n v="0.2"/>
    <n v="12191.76"/>
    <n v="12191.76"/>
    <n v="10457.49"/>
    <n v="1734.27"/>
    <s v="Paid"/>
    <s v="Returned"/>
    <x v="2"/>
    <s v="Valid"/>
    <n v="1734.2700000000004"/>
    <n v="0.14224935530226976"/>
    <x v="9"/>
    <x v="0"/>
    <s v="Clean"/>
  </r>
  <r>
    <s v="ORD-2025-10758"/>
    <s v="01 Aug 2025"/>
    <d v="2025-08-01T00:00:00"/>
    <s v="2025-08-03"/>
    <d v="2025-08-03T00:00:00"/>
    <s v="Valid"/>
    <n v="2"/>
    <s v="Valid"/>
    <s v="CUST-3058"/>
    <s v="Aditi Sen"/>
    <s v="Aditi Sen"/>
    <s v="Small Business"/>
    <x v="1"/>
    <s v="South"/>
    <x v="2"/>
    <s v="Kerala"/>
    <s v="Kochi"/>
    <s v="Furniture"/>
    <x v="1"/>
    <x v="10"/>
    <s v="Classic Bookcases 310"/>
    <s v="Standard Class"/>
    <x v="3"/>
    <n v="3"/>
    <n v="1904.78"/>
    <n v="0.25"/>
    <n v="0.25"/>
    <n v="4285.7550000000001"/>
    <n v="4285.76"/>
    <n v="2386.33"/>
    <n v="1899.43"/>
    <s v="Failed"/>
    <s v="Cancelled"/>
    <x v="1"/>
    <s v="Valid"/>
    <n v="1899.4300000000003"/>
    <n v="0.4431961229701652"/>
    <x v="1"/>
    <x v="1"/>
    <s v="Clean"/>
  </r>
  <r>
    <s v="ORD-2024-10759"/>
    <s v="02 May 2024"/>
    <d v="2024-05-02T00:00:00"/>
    <s v="10 May 2024"/>
    <d v="2024-05-10T00:00:00"/>
    <s v="Valid"/>
    <n v="8"/>
    <s v="Valid"/>
    <s v="CUST-6076"/>
    <s v="Aarav Sharma"/>
    <s v="Aarav Sharma"/>
    <s v="Small Business"/>
    <x v="1"/>
    <s v="South"/>
    <x v="2"/>
    <s v="Karnataka"/>
    <s v="Bengaluru"/>
    <s v="Furniture"/>
    <x v="1"/>
    <x v="4"/>
    <s v="Prime Chairs 721"/>
    <s v="Standard Class"/>
    <x v="3"/>
    <n v="1"/>
    <n v="4166.91"/>
    <n v="0"/>
    <n v="0"/>
    <n v="4166.91"/>
    <n v="4166.91"/>
    <n v="3412.63"/>
    <n v="754.28"/>
    <s v="Paid"/>
    <s v="Completed"/>
    <x v="0"/>
    <s v="Valid"/>
    <n v="754.27999999999975"/>
    <n v="0.18101662862888801"/>
    <x v="4"/>
    <x v="0"/>
    <s v="Clean"/>
  </r>
  <r>
    <s v="ORD-2024-10760"/>
    <s v="2024-07-19"/>
    <d v="2024-07-19T00:00:00"/>
    <s v="26-07-2024"/>
    <d v="2024-07-26T00:00:00"/>
    <s v="Valid"/>
    <n v="7"/>
    <s v="Valid"/>
    <s v="CUST-2098"/>
    <s v="Arjun Bose"/>
    <s v="Arjun Bose"/>
    <s v="Home Office"/>
    <x v="3"/>
    <s v="South"/>
    <x v="2"/>
    <s v="Karnataka"/>
    <s v="Bengaluru"/>
    <s v="Furniture"/>
    <x v="1"/>
    <x v="1"/>
    <s v="Prime Tables 797"/>
    <s v="Second Class"/>
    <x v="0"/>
    <n v="5"/>
    <n v="3986.01"/>
    <n v="0.25"/>
    <n v="0.25"/>
    <n v="14947.537500000002"/>
    <n v="14947.54"/>
    <n v="9438.4599999999991"/>
    <n v="5509.08"/>
    <s v="Paid"/>
    <s v="Completed"/>
    <x v="0"/>
    <s v="Valid"/>
    <n v="5509.0800000000017"/>
    <n v="0.36856104224525282"/>
    <x v="0"/>
    <x v="0"/>
    <s v="Clean"/>
  </r>
  <r>
    <s v="ORD-2024-10761"/>
    <s v="28-08-2024"/>
    <d v="2024-08-28T00:00:00"/>
    <s v="02 Sep 2024"/>
    <d v="2024-09-02T00:00:00"/>
    <s v="Valid"/>
    <n v="5"/>
    <s v="Valid"/>
    <s v="CUST-7193"/>
    <s v="Aditi Sen"/>
    <s v="Aditi Sen"/>
    <s v="Home Office"/>
    <x v="3"/>
    <s v="East"/>
    <x v="1"/>
    <s v="Assam"/>
    <s v="Guwahati"/>
    <s v="Office Supplies"/>
    <x v="0"/>
    <x v="2"/>
    <s v="Max Art 926"/>
    <s v="Second Class"/>
    <x v="0"/>
    <n v="4"/>
    <n v="3365.53"/>
    <n v="0"/>
    <n v="0"/>
    <n v="13462.12"/>
    <n v="13462.12"/>
    <n v="7600.63"/>
    <n v="5861.49"/>
    <s v="Pending"/>
    <s v="Returned"/>
    <x v="2"/>
    <s v="Valid"/>
    <n v="5861.4900000000007"/>
    <n v="0.43540616188237813"/>
    <x v="1"/>
    <x v="0"/>
    <s v="Clean"/>
  </r>
  <r>
    <s v="ORD-2025-10762"/>
    <s v="27 Aug 2025"/>
    <d v="2025-08-27T00:00:00"/>
    <s v="08/31/2025"/>
    <d v="2025-08-31T00:00:00"/>
    <s v="Valid"/>
    <n v="4"/>
    <s v="Valid"/>
    <s v="CUST-8948"/>
    <s v="Isha Nair"/>
    <s v="Isha Nair"/>
    <s v="Consumer"/>
    <x v="0"/>
    <s v="South"/>
    <x v="2"/>
    <s v="Karnataka"/>
    <s v="Bengaluru"/>
    <s v="Technology"/>
    <x v="2"/>
    <x v="12"/>
    <s v="Max Machines 364"/>
    <s v="First Class"/>
    <x v="2"/>
    <n v="3"/>
    <n v="2489.12"/>
    <n v="0"/>
    <n v="0"/>
    <n v="7467.36"/>
    <n v="7467.36"/>
    <n v="5010.6099999999997"/>
    <n v="2456.75"/>
    <s v="Paid"/>
    <s v="Completed"/>
    <x v="0"/>
    <s v="Valid"/>
    <n v="2456.75"/>
    <n v="0.32899846799940008"/>
    <x v="1"/>
    <x v="1"/>
    <s v="Clean"/>
  </r>
  <r>
    <s v="ORD-2024-10763"/>
    <s v="01/01/2024"/>
    <d v="2024-01-01T00:00:00"/>
    <s v="05 Jan 2024"/>
    <d v="2024-01-05T00:00:00"/>
    <s v="Valid"/>
    <n v="4"/>
    <s v="Valid"/>
    <s v="CUST-6921"/>
    <s v="Diya Patel"/>
    <s v="Diya Patel"/>
    <s v="Corporate"/>
    <x v="2"/>
    <s v="West"/>
    <x v="3"/>
    <s v="Madhya Pradesh"/>
    <s v="Indore"/>
    <s v="Technology"/>
    <x v="2"/>
    <x v="12"/>
    <s v="Classic Machines 122"/>
    <s v="Second Class"/>
    <x v="0"/>
    <n v="2"/>
    <n v="3694.12"/>
    <n v="0.2"/>
    <n v="0.2"/>
    <n v="5910.5920000000006"/>
    <n v="5910.59"/>
    <n v="4775.4399999999996"/>
    <n v="1135.1500000000001"/>
    <s v="Refunded"/>
    <s v="Returned"/>
    <x v="2"/>
    <s v="Valid"/>
    <n v="1135.1500000000005"/>
    <n v="0.19205352018884073"/>
    <x v="10"/>
    <x v="0"/>
    <s v="Clean"/>
  </r>
  <r>
    <s v="ORD-2025-10764"/>
    <s v="23 Aug 2025"/>
    <d v="2025-08-23T00:00:00"/>
    <s v="2025-08-25"/>
    <d v="2025-08-25T00:00:00"/>
    <s v="Valid"/>
    <n v="2"/>
    <s v="Valid"/>
    <s v="CUST-4086"/>
    <s v="Diya Patel"/>
    <s v="Diya Patel"/>
    <s v="Consumer"/>
    <x v="0"/>
    <s v="North"/>
    <x v="0"/>
    <s v="Rajasthan"/>
    <s v="Jaipur"/>
    <s v="Furniture"/>
    <x v="1"/>
    <x v="3"/>
    <s v="Elite Furnishings 169"/>
    <s v="Same Day"/>
    <x v="1"/>
    <n v="6"/>
    <n v="2742.48"/>
    <n v="0"/>
    <n v="0"/>
    <n v="16454.88"/>
    <n v="16454.88"/>
    <n v="12081.54"/>
    <n v="4373.34"/>
    <s v="Paid"/>
    <s v="Completed"/>
    <x v="0"/>
    <s v="Valid"/>
    <n v="4373.34"/>
    <n v="0.26577769026574488"/>
    <x v="1"/>
    <x v="1"/>
    <s v="Clean"/>
  </r>
  <r>
    <s v="ORD-2025-10765"/>
    <s v="2025-04-13"/>
    <d v="2025-04-13T00:00:00"/>
    <s v="13-04-2025"/>
    <d v="2025-04-13T00:00:00"/>
    <s v="Valid"/>
    <n v="0"/>
    <s v="Valid"/>
    <s v="CUST-5174"/>
    <s v="Priya Menon"/>
    <s v="Priya Menon"/>
    <s v="Corporate"/>
    <x v="2"/>
    <s v="South"/>
    <x v="2"/>
    <s v="Kerala"/>
    <s v="Kochi"/>
    <s v="Furniture"/>
    <x v="1"/>
    <x v="10"/>
    <s v="Pro Bookcases 615"/>
    <s v="First Class"/>
    <x v="2"/>
    <n v="6"/>
    <n v="4414"/>
    <n v="0.05"/>
    <n v="0.05"/>
    <n v="25159.8"/>
    <n v="25159.8"/>
    <n v="21606.83"/>
    <n v="3552.97"/>
    <s v="Paid"/>
    <s v="Completed"/>
    <x v="0"/>
    <s v="Valid"/>
    <n v="3552.9699999999975"/>
    <n v="0.14121614639226057"/>
    <x v="5"/>
    <x v="1"/>
    <s v="Clean"/>
  </r>
  <r>
    <s v="ORD-2025-10766"/>
    <s v="29-06-2025"/>
    <d v="2025-06-29T00:00:00"/>
    <s v="2025-07-03"/>
    <d v="2025-07-03T00:00:00"/>
    <s v="Valid"/>
    <n v="4"/>
    <s v="Valid"/>
    <s v="CUST-8747"/>
    <s v="Vikram Iyer"/>
    <s v="Vikram Iyer"/>
    <s v="Corporate"/>
    <x v="2"/>
    <s v="East"/>
    <x v="1"/>
    <s v="Jharkhand"/>
    <s v="Ranchi"/>
    <s v="Office Supplies"/>
    <x v="0"/>
    <x v="7"/>
    <s v="Max Labels 136"/>
    <s v="First Class"/>
    <x v="2"/>
    <n v="3"/>
    <n v="608.14"/>
    <n v="0"/>
    <n v="0"/>
    <n v="1824.42"/>
    <n v="1824.42"/>
    <n v="1214.8699999999999"/>
    <n v="609.54999999999995"/>
    <s v="Paid"/>
    <s v="Completed"/>
    <x v="0"/>
    <s v="Valid"/>
    <n v="609.55000000000018"/>
    <n v="0.33410618169061956"/>
    <x v="2"/>
    <x v="1"/>
    <s v="Clean"/>
  </r>
  <r>
    <s v="ORD-2024-10767"/>
    <s v="17 Sep 2024"/>
    <d v="2024-09-17T00:00:00"/>
    <s v="24 Sep 2024"/>
    <d v="2024-09-24T00:00:00"/>
    <s v="Valid"/>
    <n v="7"/>
    <s v="Valid"/>
    <s v="CUST-3156"/>
    <s v="Mira Das"/>
    <s v="Mira Das"/>
    <s v="Corporate"/>
    <x v="2"/>
    <s v="West"/>
    <x v="3"/>
    <s v="Gujarat"/>
    <s v="Ahmedabad"/>
    <s v="Office Supplies"/>
    <x v="0"/>
    <x v="2"/>
    <s v="Prime Art 380"/>
    <s v="Second Class"/>
    <x v="0"/>
    <n v="9"/>
    <n v="2307.96"/>
    <n v="0.2"/>
    <n v="0.2"/>
    <n v="16617.312000000002"/>
    <n v="16617.310000000001"/>
    <n v="9195.73"/>
    <n v="7421.58"/>
    <s v="Paid"/>
    <s v="Cancelled"/>
    <x v="1"/>
    <s v="Valid"/>
    <n v="7421.5800000000017"/>
    <n v="0.44661735905301658"/>
    <x v="7"/>
    <x v="0"/>
    <s v="Clean"/>
  </r>
  <r>
    <s v="ORD-2024-10768"/>
    <s v="03 May 2024"/>
    <d v="2024-05-03T00:00:00"/>
    <s v="05/06/2024"/>
    <d v="2024-05-06T00:00:00"/>
    <s v="Valid"/>
    <n v="3"/>
    <s v="Valid"/>
    <s v="CUST-2043"/>
    <s v="Ananya Rao"/>
    <s v="Ananya Rao"/>
    <s v="Home Office"/>
    <x v="3"/>
    <s v="North"/>
    <x v="0"/>
    <s v="Uttar Pradesh"/>
    <s v="Noida"/>
    <s v="Office Supplies"/>
    <x v="0"/>
    <x v="9"/>
    <s v="Classic Binders 234"/>
    <s v="Standard Class"/>
    <x v="3"/>
    <n v="1"/>
    <n v="1244.58"/>
    <n v="0.25"/>
    <n v="0.25"/>
    <n v="933.43499999999995"/>
    <n v="933.43"/>
    <n v="583.09"/>
    <n v="350.34"/>
    <s v="Paid"/>
    <s v="Completed"/>
    <x v="0"/>
    <s v="Valid"/>
    <n v="350.33999999999992"/>
    <n v="0.37532340227225242"/>
    <x v="4"/>
    <x v="0"/>
    <s v="Clean"/>
  </r>
  <r>
    <s v="ORD-2025-10769"/>
    <s v="2025-04-02"/>
    <d v="2025-04-02T00:00:00"/>
    <s v="2025-04-04"/>
    <d v="2025-04-04T00:00:00"/>
    <s v="Valid"/>
    <n v="2"/>
    <s v="Valid"/>
    <s v="CUST-8808"/>
    <s v="Sneha Kapoor"/>
    <s v="Sneha Kapoor"/>
    <s v="Home Office"/>
    <x v="3"/>
    <s v="East"/>
    <x v="1"/>
    <s v="Jharkhand"/>
    <s v="Ranchi"/>
    <s v="Office Supplies"/>
    <x v="0"/>
    <x v="0"/>
    <s v="Classic Paper 280"/>
    <s v="Same Day"/>
    <x v="1"/>
    <n v="5"/>
    <n v="3234.24"/>
    <n v="0.1"/>
    <n v="0.1"/>
    <n v="14554.08"/>
    <n v="14554.08"/>
    <n v="11166.84"/>
    <n v="3387.24"/>
    <s v="Paid"/>
    <s v="Completed"/>
    <x v="0"/>
    <s v="Valid"/>
    <n v="3387.24"/>
    <n v="0.23273473830018798"/>
    <x v="5"/>
    <x v="1"/>
    <s v="Clean"/>
  </r>
  <r>
    <s v="ORD-2024-10770"/>
    <s v="05/11/2024"/>
    <d v="2024-05-11T00:00:00"/>
    <s v="13 May 2024"/>
    <d v="2024-05-13T00:00:00"/>
    <s v="Valid"/>
    <n v="2"/>
    <s v="Valid"/>
    <s v="CUST-1293"/>
    <s v="Priya Menon"/>
    <s v="Priya Menon"/>
    <s v="Home Office"/>
    <x v="3"/>
    <s v="West"/>
    <x v="3"/>
    <s v="Goa"/>
    <s v="Panaji"/>
    <s v="Furniture"/>
    <x v="1"/>
    <x v="10"/>
    <s v="Classic Bookcases 922"/>
    <s v="Same Day"/>
    <x v="1"/>
    <n v="3"/>
    <n v="3612.75"/>
    <n v="0.25"/>
    <n v="0.25"/>
    <n v="8128.6875"/>
    <n v="8128.69"/>
    <n v="5071.66"/>
    <n v="3057.03"/>
    <s v="Paid"/>
    <s v="Completed"/>
    <x v="0"/>
    <s v="Valid"/>
    <n v="3057.0299999999997"/>
    <n v="0.37607916407169051"/>
    <x v="4"/>
    <x v="0"/>
    <s v="Clean"/>
  </r>
  <r>
    <s v="ORD-2024-10771"/>
    <s v="02/15/2024"/>
    <d v="2024-02-15T00:00:00"/>
    <s v="17-02-2024"/>
    <d v="2024-02-17T00:00:00"/>
    <s v="Valid"/>
    <n v="2"/>
    <s v="Valid"/>
    <s v="CUST-8384"/>
    <s v="Neha Gupta"/>
    <s v="Neha Gupta"/>
    <s v="Consumer"/>
    <x v="0"/>
    <s v="North"/>
    <x v="0"/>
    <s v="Uttar Pradesh"/>
    <s v="Noida"/>
    <s v="Technology"/>
    <x v="2"/>
    <x v="6"/>
    <s v="Eco Copiers 396"/>
    <s v="First Class"/>
    <x v="2"/>
    <n v="4"/>
    <n v="863"/>
    <m/>
    <n v="0"/>
    <n v="3452"/>
    <n v="3106.8"/>
    <n v="2376.62"/>
    <n v="730.18"/>
    <s v="Paid"/>
    <s v="Completed"/>
    <x v="0"/>
    <s v="Valid"/>
    <n v="730.18000000000029"/>
    <n v="0.21152375434530715"/>
    <x v="6"/>
    <x v="0"/>
    <s v="Clean"/>
  </r>
  <r>
    <s v="ORD-2024-10772"/>
    <s v="2024-07-12"/>
    <d v="2024-07-12T00:00:00"/>
    <s v="2024-07-14"/>
    <d v="2024-07-14T00:00:00"/>
    <s v="Valid"/>
    <n v="2"/>
    <s v="Valid"/>
    <s v="CUST-7861"/>
    <s v="Ananya Rao"/>
    <s v="Ananya Rao"/>
    <s v="Consumer"/>
    <x v="0"/>
    <s v="North"/>
    <x v="0"/>
    <s v="Haryana"/>
    <s v="Gurugram"/>
    <s v="Technology"/>
    <x v="2"/>
    <x v="12"/>
    <s v="Basic Machines 401"/>
    <s v="Second Class"/>
    <x v="0"/>
    <n v="4"/>
    <n v="2131.41"/>
    <m/>
    <n v="0"/>
    <n v="8525.64"/>
    <n v="6394.23"/>
    <n v="3520.69"/>
    <n v="2873.54"/>
    <s v="Paid"/>
    <s v="Completed"/>
    <x v="0"/>
    <s v="Valid"/>
    <n v="2873.5399999999995"/>
    <n v="0.33704683753946912"/>
    <x v="0"/>
    <x v="0"/>
    <s v="Clean"/>
  </r>
  <r>
    <s v="ORD-2025-10773"/>
    <s v="07/15/2025"/>
    <d v="2025-07-15T00:00:00"/>
    <s v="19 Jul 2025"/>
    <d v="2025-07-19T00:00:00"/>
    <s v="Valid"/>
    <n v="4"/>
    <s v="Valid"/>
    <s v="CUST-8422"/>
    <s v="Diya Patel"/>
    <s v="Diya Patel"/>
    <s v="Consumer"/>
    <x v="0"/>
    <s v="South"/>
    <x v="2"/>
    <s v="Tamil Nadu"/>
    <s v="Chennai"/>
    <s v="Furniture"/>
    <x v="1"/>
    <x v="4"/>
    <s v="Basic Chairs 279"/>
    <s v="Same Day"/>
    <x v="1"/>
    <n v="1"/>
    <n v="3903.22"/>
    <n v="0.05"/>
    <n v="0.05"/>
    <n v="3708.0589999999997"/>
    <n v="3708.06"/>
    <n v="2760.29"/>
    <n v="947.77"/>
    <s v="Pending"/>
    <s v="Cancelled"/>
    <x v="1"/>
    <s v="Valid"/>
    <n v="947.77"/>
    <n v="0.25559733542535329"/>
    <x v="0"/>
    <x v="1"/>
    <s v="Clean"/>
  </r>
  <r>
    <s v="ORD-2025-10774"/>
    <s v="2025-02-21"/>
    <d v="2025-02-21T00:00:00"/>
    <s v="21 Feb 2025"/>
    <d v="2025-02-21T00:00:00"/>
    <s v="Valid"/>
    <n v="0"/>
    <s v="Valid"/>
    <s v="CUST-4766"/>
    <s v="Karan Malhotra"/>
    <s v="Karan Malhotra"/>
    <s v="Home Office"/>
    <x v="3"/>
    <s v="West"/>
    <x v="3"/>
    <s v="Gujarat"/>
    <s v="Ahmedabad"/>
    <s v="Technology"/>
    <x v="2"/>
    <x v="11"/>
    <s v="Basic Phones 753"/>
    <m/>
    <x v="4"/>
    <n v="4"/>
    <n v="2945.07"/>
    <n v="0.2"/>
    <n v="0.2"/>
    <n v="9424.2240000000002"/>
    <n v="9424.2199999999993"/>
    <n v="6178.92"/>
    <n v="3245.3"/>
    <s v="Paid"/>
    <s v="Completed"/>
    <x v="0"/>
    <s v="Valid"/>
    <n v="3245.2999999999993"/>
    <n v="0.34435726485278778"/>
    <x v="6"/>
    <x v="1"/>
    <s v="Clean"/>
  </r>
  <r>
    <s v="ORD-2025-10775"/>
    <s v="07-08-2025"/>
    <d v="2025-08-07T00:00:00"/>
    <s v="2025-08-07"/>
    <d v="2025-08-07T00:00:00"/>
    <s v="Valid"/>
    <n v="0"/>
    <s v="Valid"/>
    <s v="CUST-1182"/>
    <s v="Kabir Singh"/>
    <s v="Kabir Singh"/>
    <s v="Consumer"/>
    <x v="0"/>
    <s v="West"/>
    <x v="3"/>
    <s v="Rajasthan"/>
    <s v="Udaipur"/>
    <s v="Technology"/>
    <x v="2"/>
    <x v="12"/>
    <s v="Smart Machines 789"/>
    <m/>
    <x v="4"/>
    <n v="9"/>
    <n v="1076.75"/>
    <n v="0.2"/>
    <n v="0.2"/>
    <n v="7752.6"/>
    <n v="7752.6"/>
    <n v="4689.3"/>
    <n v="3063.3"/>
    <s v="Paid"/>
    <s v="Completed"/>
    <x v="0"/>
    <s v="Valid"/>
    <n v="3063.3"/>
    <n v="0.39513195573098059"/>
    <x v="1"/>
    <x v="1"/>
    <s v="Clean"/>
  </r>
  <r>
    <s v="ORD-2024-10776"/>
    <s v="14 Apr 2024"/>
    <d v="2024-04-14T00:00:00"/>
    <s v="22-04-2024"/>
    <d v="2024-04-22T00:00:00"/>
    <s v="Valid"/>
    <n v="8"/>
    <s v="Valid"/>
    <s v="CUST-4461"/>
    <s v="Arjun Bose"/>
    <s v="Arjun Bose"/>
    <s v="Consumer"/>
    <x v="0"/>
    <s v="North"/>
    <x v="0"/>
    <s v="Haryana"/>
    <s v="Gurugram"/>
    <s v="Technology"/>
    <x v="2"/>
    <x v="5"/>
    <s v="Elite Accessories 312"/>
    <s v="Standard Class"/>
    <x v="3"/>
    <n v="8"/>
    <n v="3956.12"/>
    <n v="0.25"/>
    <n v="0.25"/>
    <n v="23736.720000000001"/>
    <n v="23736.720000000001"/>
    <n v="13890.9"/>
    <n v="9845.82"/>
    <s v="Paid"/>
    <s v="Completed"/>
    <x v="0"/>
    <s v="Valid"/>
    <n v="9845.8200000000015"/>
    <n v="0.41479277676106896"/>
    <x v="5"/>
    <x v="0"/>
    <s v="Clean"/>
  </r>
  <r>
    <s v="ORD-2025-10777"/>
    <s v="08-06-2025"/>
    <d v="2025-06-08T00:00:00"/>
    <s v="06/13/2025"/>
    <d v="2025-06-13T00:00:00"/>
    <s v="Valid"/>
    <n v="5"/>
    <s v="Valid"/>
    <s v="CUST-9690"/>
    <s v="Aditi Sen"/>
    <s v="Aditi Sen"/>
    <s v="Small Business"/>
    <x v="1"/>
    <s v="North"/>
    <x v="0"/>
    <s v="Rajasthan"/>
    <s v="Jaipur"/>
    <s v="Technology"/>
    <x v="2"/>
    <x v="6"/>
    <s v="Eco Copiers 528"/>
    <s v="Second Class"/>
    <x v="0"/>
    <n v="7"/>
    <n v="3857.13"/>
    <n v="0"/>
    <n v="0"/>
    <n v="26999.91"/>
    <n v="26999.91"/>
    <n v="17815.98"/>
    <n v="9183.93"/>
    <s v="Paid"/>
    <s v="Completed"/>
    <x v="0"/>
    <s v="Valid"/>
    <n v="9183.93"/>
    <n v="0.34014668937785347"/>
    <x v="2"/>
    <x v="1"/>
    <s v="Clean"/>
  </r>
  <r>
    <s v="ORD-2024-10778"/>
    <s v="04-02-2024"/>
    <d v="2024-02-04T00:00:00"/>
    <s v="2024-02-06"/>
    <d v="2024-02-06T00:00:00"/>
    <s v="Valid"/>
    <n v="2"/>
    <s v="Valid"/>
    <s v="CUST-6879"/>
    <s v="Kabir Singh"/>
    <s v="Kabir Singh"/>
    <s v="Small Business"/>
    <x v="1"/>
    <s v="West"/>
    <x v="3"/>
    <s v="Madhya Pradesh"/>
    <s v="Indore"/>
    <s v="Technology"/>
    <x v="2"/>
    <x v="5"/>
    <s v="Elite Accessories 226"/>
    <s v="Second Class"/>
    <x v="0"/>
    <n v="4"/>
    <n v="1489.74"/>
    <n v="0.15"/>
    <n v="0.15"/>
    <n v="5065.116"/>
    <n v="5065.12"/>
    <n v="3530.12"/>
    <n v="1535"/>
    <s v="Failed"/>
    <s v="Cancelled"/>
    <x v="1"/>
    <s v="Valid"/>
    <n v="1535"/>
    <n v="0.30305327656859193"/>
    <x v="6"/>
    <x v="0"/>
    <s v="Clean"/>
  </r>
  <r>
    <s v="ORD-2024-10779"/>
    <s v="07/24/2024"/>
    <d v="2024-07-24T00:00:00"/>
    <s v="24-07-2024"/>
    <d v="2024-07-24T00:00:00"/>
    <s v="Valid"/>
    <n v="0"/>
    <s v="Valid"/>
    <s v="CUST-4714"/>
    <s v="Karan Malhotra"/>
    <s v="Karan Malhotra"/>
    <s v="Small Business"/>
    <x v="1"/>
    <s v="North"/>
    <x v="0"/>
    <s v="Haryana"/>
    <s v="Gurugram"/>
    <s v="Technology"/>
    <x v="2"/>
    <x v="6"/>
    <s v="Pro Copiers 298"/>
    <s v="Second Class"/>
    <x v="0"/>
    <n v="4"/>
    <n v="1676.88"/>
    <n v="0"/>
    <n v="0"/>
    <n v="6707.52"/>
    <n v="6707.52"/>
    <n v="5672.57"/>
    <n v="1034.95"/>
    <s v="Paid"/>
    <s v="Completed"/>
    <x v="0"/>
    <s v="Valid"/>
    <n v="1034.9500000000007"/>
    <n v="0.15429696817899918"/>
    <x v="0"/>
    <x v="0"/>
    <s v="Clean"/>
  </r>
  <r>
    <s v="ORD-2024-10780"/>
    <s v="01/15/2024"/>
    <d v="2024-01-15T00:00:00"/>
    <s v="20-01-2024"/>
    <d v="2024-01-20T00:00:00"/>
    <s v="Valid"/>
    <n v="5"/>
    <s v="Valid"/>
    <s v="CUST-7547"/>
    <s v="Priya Menon"/>
    <s v="Priya Menon"/>
    <s v="Small Business"/>
    <x v="1"/>
    <s v="South"/>
    <x v="2"/>
    <s v="Andhra Pradesh"/>
    <s v="Vijayawada"/>
    <s v="Furniture"/>
    <x v="1"/>
    <x v="4"/>
    <s v="Prime Chairs 331"/>
    <s v="Standard Class"/>
    <x v="3"/>
    <n v="4"/>
    <n v="3153.54"/>
    <n v="0.05"/>
    <n v="0.05"/>
    <n v="11983.451999999999"/>
    <n v="11983.45"/>
    <n v="8572.9"/>
    <n v="3410.55"/>
    <s v="Paid"/>
    <s v="Completed"/>
    <x v="0"/>
    <s v="Valid"/>
    <n v="3410.5500000000011"/>
    <n v="0.28460497025398035"/>
    <x v="10"/>
    <x v="0"/>
    <s v="Clean"/>
  </r>
  <r>
    <s v="ORD-2024-10781"/>
    <s v="04 Aug 2024"/>
    <d v="2024-08-04T00:00:00"/>
    <s v="08/10/2024"/>
    <d v="2024-08-10T00:00:00"/>
    <s v="Valid"/>
    <n v="6"/>
    <s v="Valid"/>
    <s v="CUST-3288"/>
    <s v="Diya Patel"/>
    <s v="Diya Patel"/>
    <s v="Small Business"/>
    <x v="1"/>
    <s v="West"/>
    <x v="3"/>
    <s v="Rajasthan"/>
    <s v="Udaipur"/>
    <s v="Furniture"/>
    <x v="1"/>
    <x v="4"/>
    <s v="Classic Chairs 798"/>
    <s v="Same Day"/>
    <x v="1"/>
    <n v="4"/>
    <n v="426.43"/>
    <n v="0.2"/>
    <n v="0.2"/>
    <n v="1364.576"/>
    <n v="1364.58"/>
    <n v="978.16"/>
    <n v="386.42"/>
    <s v="Paid"/>
    <s v="Completed"/>
    <x v="0"/>
    <s v="Valid"/>
    <n v="386.41999999999996"/>
    <n v="0.28317953708697791"/>
    <x v="1"/>
    <x v="0"/>
    <s v="Clean"/>
  </r>
  <r>
    <s v="ORD-2024-10782"/>
    <s v="2024-02-02"/>
    <d v="2024-02-02T00:00:00"/>
    <s v="10 Feb 2024"/>
    <d v="2024-02-10T00:00:00"/>
    <s v="Valid"/>
    <n v="8"/>
    <s v="Valid"/>
    <s v="CUST-8597"/>
    <s v="Karan Malhotra"/>
    <s v="Karan Malhotra"/>
    <s v="Home Office"/>
    <x v="3"/>
    <s v="West"/>
    <x v="3"/>
    <s v="Rajasthan"/>
    <s v="Udaipur"/>
    <s v="Office Supplies"/>
    <x v="0"/>
    <x v="7"/>
    <s v="Classic Labels 204"/>
    <s v="First Class"/>
    <x v="2"/>
    <n v="3"/>
    <n v="383.4"/>
    <n v="0.25"/>
    <n v="0.25"/>
    <n v="862.64999999999986"/>
    <n v="862.65"/>
    <n v="603.73"/>
    <n v="258.92"/>
    <s v="Pending"/>
    <s v="Returned"/>
    <x v="2"/>
    <s v="Valid"/>
    <n v="258.91999999999996"/>
    <n v="0.30014490233582564"/>
    <x v="6"/>
    <x v="0"/>
    <s v="Clean"/>
  </r>
  <r>
    <s v="ORD-2025-10783"/>
    <s v="2025-03-14"/>
    <d v="2025-03-14T00:00:00"/>
    <s v="03/22/2025"/>
    <d v="2025-03-22T00:00:00"/>
    <s v="Valid"/>
    <n v="8"/>
    <s v="Valid"/>
    <s v="CUST-9085"/>
    <s v="Mira Das"/>
    <s v="Mira Das"/>
    <s v="Corporate"/>
    <x v="2"/>
    <s v="East"/>
    <x v="1"/>
    <s v="West Bengal"/>
    <s v="Kolkata"/>
    <s v="Technology"/>
    <x v="2"/>
    <x v="6"/>
    <s v="Basic Copiers 254"/>
    <s v="Standard Class"/>
    <x v="3"/>
    <n v="2"/>
    <n v="669.63"/>
    <n v="0.15"/>
    <n v="0.15"/>
    <n v="1138.3709999999999"/>
    <n v="1138.3699999999999"/>
    <n v="797.34"/>
    <n v="341.03"/>
    <s v="Paid"/>
    <s v="Completed"/>
    <x v="0"/>
    <s v="Valid"/>
    <n v="341.02999999999986"/>
    <n v="0.29957720286268702"/>
    <x v="11"/>
    <x v="1"/>
    <s v="Clean"/>
  </r>
  <r>
    <s v="ORD-2024-10784"/>
    <s v="07 Jun 2024"/>
    <d v="2024-06-07T00:00:00"/>
    <s v="2024-06-07"/>
    <d v="2024-06-07T00:00:00"/>
    <s v="Valid"/>
    <n v="0"/>
    <s v="Valid"/>
    <s v="CUST-7746"/>
    <s v="Aarav Sharma"/>
    <s v="Aarav Sharma"/>
    <s v="Small Business"/>
    <x v="1"/>
    <s v="East"/>
    <x v="1"/>
    <s v="Bihar"/>
    <s v="Patna"/>
    <s v="Office Supplies"/>
    <x v="0"/>
    <x v="2"/>
    <s v="Basic Art 709"/>
    <s v="Second Class"/>
    <x v="0"/>
    <n v="1"/>
    <n v="2581.9299999999998"/>
    <n v="0.05"/>
    <n v="0.05"/>
    <n v="2452.8334999999997"/>
    <n v="2452.83"/>
    <n v="1906.7"/>
    <n v="546.13"/>
    <s v="Paid"/>
    <s v="Completed"/>
    <x v="0"/>
    <s v="Valid"/>
    <n v="546.12999999999988"/>
    <n v="0.22265269941885577"/>
    <x v="2"/>
    <x v="0"/>
    <s v="Clean"/>
  </r>
  <r>
    <s v="ORD-2025-10785"/>
    <s v="10/04/2025"/>
    <d v="2025-10-04T00:00:00"/>
    <s v="2025-10-05"/>
    <d v="2025-10-05T00:00:00"/>
    <s v="Valid"/>
    <n v="1"/>
    <s v="Valid"/>
    <s v="CUST-3119"/>
    <s v="Priya Menon"/>
    <s v="Priya Menon"/>
    <s v="Corporate"/>
    <x v="2"/>
    <s v="North"/>
    <x v="0"/>
    <s v="Punjab"/>
    <s v="Ludhiana"/>
    <s v="Technology"/>
    <x v="2"/>
    <x v="6"/>
    <s v="Max Copiers 551"/>
    <s v="First Class"/>
    <x v="2"/>
    <n v="4"/>
    <n v="418.18"/>
    <n v="0.05"/>
    <n v="0.05"/>
    <n v="1589.0840000000001"/>
    <n v="1589.08"/>
    <n v="1084.6600000000001"/>
    <n v="504.42"/>
    <s v="Paid"/>
    <s v="Completed"/>
    <x v="0"/>
    <s v="Valid"/>
    <n v="504.41999999999985"/>
    <n v="0.31742815357778431"/>
    <x v="9"/>
    <x v="1"/>
    <s v="Clean"/>
  </r>
  <r>
    <s v="ORD-2024-10786"/>
    <s v="23-05-2024"/>
    <d v="2024-05-23T00:00:00"/>
    <s v="29-05-2024"/>
    <d v="2024-05-29T00:00:00"/>
    <s v="Valid"/>
    <n v="6"/>
    <s v="Valid"/>
    <s v="CUST-7518"/>
    <s v="Diya Patel"/>
    <s v="Diya Patel"/>
    <s v="Small Business"/>
    <x v="1"/>
    <s v="North"/>
    <x v="0"/>
    <s v="Haryana"/>
    <s v="Gurugram"/>
    <s v="Office Supplies"/>
    <x v="0"/>
    <x v="8"/>
    <s v="Eco Storage 183"/>
    <s v="Same Day"/>
    <x v="1"/>
    <n v="2"/>
    <n v="3012.94"/>
    <n v="0.25"/>
    <n v="0.25"/>
    <n v="4519.41"/>
    <n v="4519.41"/>
    <n v="3504.16"/>
    <n v="1275.55"/>
    <s v="Failed"/>
    <s v="Cancelled"/>
    <x v="1"/>
    <s v="Valid"/>
    <n v="1015.25"/>
    <n v="0.22464215461752751"/>
    <x v="4"/>
    <x v="0"/>
    <s v="Clean"/>
  </r>
  <r>
    <s v="ORD-2025-10787"/>
    <s v="07/06/2025"/>
    <d v="2025-07-06T00:00:00"/>
    <s v="08 Jul 2025"/>
    <d v="2025-07-08T00:00:00"/>
    <s v="Valid"/>
    <n v="2"/>
    <s v="Valid"/>
    <s v="CUST-1343"/>
    <s v="Ananya Rao"/>
    <s v="Ananya Rao"/>
    <s v="Corporate"/>
    <x v="2"/>
    <s v="North"/>
    <x v="0"/>
    <s v="Rajasthan"/>
    <s v="Jaipur"/>
    <s v="Furniture"/>
    <x v="1"/>
    <x v="3"/>
    <s v="Pro Furnishings 233"/>
    <m/>
    <x v="4"/>
    <n v="4"/>
    <n v="715.45"/>
    <n v="0.05"/>
    <n v="0.05"/>
    <n v="2718.71"/>
    <n v="2718.71"/>
    <n v="2065.0500000000002"/>
    <n v="653.66"/>
    <s v="Refunded"/>
    <s v="Returned"/>
    <x v="2"/>
    <s v="Valid"/>
    <n v="653.65999999999985"/>
    <n v="0.24043020403058799"/>
    <x v="0"/>
    <x v="1"/>
    <s v="Clean"/>
  </r>
  <r>
    <s v="ORD-2024-10788"/>
    <s v="2024-09-12"/>
    <d v="2024-09-12T00:00:00"/>
    <s v="2024-09-18"/>
    <d v="2024-09-18T00:00:00"/>
    <s v="Valid"/>
    <n v="6"/>
    <s v="Valid"/>
    <s v="CUST-7548"/>
    <s v="Ananya Rao"/>
    <s v="Ananya Rao"/>
    <s v="Home Office"/>
    <x v="3"/>
    <s v="East"/>
    <x v="1"/>
    <s v="Bihar"/>
    <s v="Patna"/>
    <s v="Office Supplies"/>
    <x v="0"/>
    <x v="0"/>
    <s v="Prime Paper 878"/>
    <s v="Second Class"/>
    <x v="0"/>
    <n v="2"/>
    <n v="3718.77"/>
    <n v="0.05"/>
    <n v="0.05"/>
    <n v="7065.6629999999996"/>
    <n v="7065.66"/>
    <n v="4915.2700000000004"/>
    <n v="2150.39"/>
    <s v="Paid"/>
    <s v="Completed"/>
    <x v="0"/>
    <s v="Valid"/>
    <n v="2150.3899999999994"/>
    <n v="0.30434369711660458"/>
    <x v="7"/>
    <x v="0"/>
    <s v="Clean"/>
  </r>
  <r>
    <s v="ORD-2024-10789"/>
    <s v="01 Aug 2024"/>
    <d v="2024-08-01T00:00:00"/>
    <s v="02-08-2024"/>
    <d v="2024-08-02T00:00:00"/>
    <s v="Valid"/>
    <n v="1"/>
    <s v="Valid"/>
    <s v="CUST-3631"/>
    <s v="Isha Nair"/>
    <s v="Isha Nair"/>
    <s v="Corporate"/>
    <x v="2"/>
    <s v="North"/>
    <x v="0"/>
    <s v="Uttar Pradesh"/>
    <s v="Noida"/>
    <s v="Furniture"/>
    <x v="1"/>
    <x v="4"/>
    <s v="Smart Chairs 353"/>
    <s v="Standard Class"/>
    <x v="3"/>
    <n v="8"/>
    <n v="2487.64"/>
    <n v="0.1"/>
    <n v="0.1"/>
    <n v="17911.007999999998"/>
    <n v="17911.009999999998"/>
    <n v="11546.05"/>
    <n v="6364.96"/>
    <s v="Failed"/>
    <s v="Returned"/>
    <x v="2"/>
    <s v="Valid"/>
    <n v="6364.9599999999991"/>
    <n v="0.35536581749056223"/>
    <x v="1"/>
    <x v="0"/>
    <s v="Clean"/>
  </r>
  <r>
    <s v="ORD-2025-10790"/>
    <s v="07 Mar 2025"/>
    <d v="2025-03-07T00:00:00"/>
    <s v="08 Mar 2025"/>
    <d v="2025-03-08T00:00:00"/>
    <s v="Valid"/>
    <n v="1"/>
    <s v="Valid"/>
    <s v="CUST-1453"/>
    <s v="Priya Menon"/>
    <s v="Priya Menon"/>
    <s v="Home Office"/>
    <x v="3"/>
    <m/>
    <x v="4"/>
    <s v="Rajasthan"/>
    <s v="Udaipur"/>
    <s v="Technology"/>
    <x v="2"/>
    <x v="6"/>
    <s v="Smart Copiers 408"/>
    <s v="Same Day"/>
    <x v="1"/>
    <n v="4"/>
    <n v="3537.48"/>
    <n v="0"/>
    <n v="0"/>
    <n v="14149.92"/>
    <n v="14149.92"/>
    <n v="9466.51"/>
    <n v="4683.41"/>
    <s v="Paid"/>
    <s v="Completed"/>
    <x v="0"/>
    <s v="Valid"/>
    <n v="4683.41"/>
    <n v="0.33098491016203624"/>
    <x v="11"/>
    <x v="1"/>
    <s v="Clean"/>
  </r>
  <r>
    <s v="ORD-2024-10791"/>
    <s v="31 May 2024"/>
    <d v="2024-05-31T00:00:00"/>
    <s v="2024-06-02"/>
    <d v="2024-06-02T00:00:00"/>
    <s v="Valid"/>
    <n v="2"/>
    <s v="Valid"/>
    <s v="CUST-1951"/>
    <s v="Rahul Verma"/>
    <s v="Rahul Verma"/>
    <s v="Corporate"/>
    <x v="2"/>
    <s v="South"/>
    <x v="2"/>
    <s v="Andhra Pradesh"/>
    <s v="Vijayawada"/>
    <s v="Office Supplies"/>
    <x v="0"/>
    <x v="2"/>
    <s v="Classic Art 781"/>
    <s v="Standard Class"/>
    <x v="3"/>
    <n v="8"/>
    <n v="667.59"/>
    <n v="0.2"/>
    <n v="0.2"/>
    <n v="4272.576"/>
    <n v="4272.58"/>
    <n v="3328.92"/>
    <n v="943.66"/>
    <s v="Paid"/>
    <s v="Completed"/>
    <x v="0"/>
    <s v="Valid"/>
    <n v="943.65999999999985"/>
    <n v="0.22086441528483047"/>
    <x v="4"/>
    <x v="0"/>
    <s v="Clean"/>
  </r>
  <r>
    <s v="ORD-2024-10792"/>
    <s v="02 Oct 2024"/>
    <d v="2024-10-02T00:00:00"/>
    <s v="2024-10-06"/>
    <d v="2024-10-06T00:00:00"/>
    <s v="Valid"/>
    <n v="4"/>
    <s v="Valid"/>
    <s v="CUST-6300"/>
    <s v="Rahul Verma"/>
    <s v="Rahul Verma"/>
    <s v="Home Office"/>
    <x v="3"/>
    <s v="South"/>
    <x v="2"/>
    <s v="Karnataka"/>
    <s v="Bengaluru"/>
    <s v="Furniture"/>
    <x v="1"/>
    <x v="10"/>
    <s v="Eco Bookcases 144"/>
    <s v="Same Day"/>
    <x v="1"/>
    <n v="8"/>
    <n v="1558.77"/>
    <n v="0.25"/>
    <n v="0.25"/>
    <n v="9352.619999999999"/>
    <n v="9352.6200000000008"/>
    <n v="5269.41"/>
    <n v="4083.21"/>
    <s v="Paid"/>
    <s v="Completed"/>
    <x v="0"/>
    <s v="Valid"/>
    <n v="4083.2100000000009"/>
    <n v="0.43658461479243266"/>
    <x v="9"/>
    <x v="0"/>
    <s v="Clean"/>
  </r>
  <r>
    <s v="ORD-2025-10793"/>
    <s v="2025-06-04"/>
    <d v="2025-06-04T00:00:00"/>
    <s v="08 Jun 2025"/>
    <d v="2025-06-08T00:00:00"/>
    <s v="Valid"/>
    <n v="4"/>
    <s v="Valid"/>
    <s v="CUST-1417"/>
    <s v="Arjun Bose"/>
    <s v="Arjun Bose"/>
    <s v="Small Business"/>
    <x v="1"/>
    <s v="East"/>
    <x v="1"/>
    <s v="Assam"/>
    <s v="Guwahati"/>
    <s v="Furniture"/>
    <x v="1"/>
    <x v="3"/>
    <s v="Elite Furnishings 852"/>
    <s v="Second Class"/>
    <x v="0"/>
    <n v="1"/>
    <n v="3501.12"/>
    <n v="0.2"/>
    <n v="0.2"/>
    <n v="2800.8960000000002"/>
    <n v="2800.9"/>
    <n v="1735.98"/>
    <n v="1064.92"/>
    <s v="Paid"/>
    <s v="Returned"/>
    <x v="2"/>
    <s v="Valid"/>
    <n v="1064.92"/>
    <n v="0.38020690521890138"/>
    <x v="2"/>
    <x v="1"/>
    <s v="Clean"/>
  </r>
  <r>
    <s v="ORD-2024-10794"/>
    <s v="28-05-2024"/>
    <d v="2024-05-28T00:00:00"/>
    <s v="03 Jun 2024"/>
    <d v="2024-06-03T00:00:00"/>
    <s v="Valid"/>
    <n v="6"/>
    <s v="Valid"/>
    <s v="CUST-5421"/>
    <s v="Vikram Iyer"/>
    <s v="Vikram Iyer"/>
    <s v="Corporate"/>
    <x v="2"/>
    <s v="North"/>
    <x v="0"/>
    <s v="Rajasthan"/>
    <s v="Jaipur"/>
    <s v="Technology"/>
    <x v="2"/>
    <x v="6"/>
    <s v="Basic Copiers 238"/>
    <s v="Second Class"/>
    <x v="0"/>
    <n v="5"/>
    <n v="4302.32"/>
    <n v="0"/>
    <n v="0"/>
    <n v="21511.599999999999"/>
    <n v="21511.599999999999"/>
    <n v="15408.47"/>
    <n v="6103.13"/>
    <s v="Paid"/>
    <s v="Completed"/>
    <x v="0"/>
    <s v="Valid"/>
    <n v="6103.1299999999992"/>
    <n v="0.28371343833094703"/>
    <x v="4"/>
    <x v="0"/>
    <s v="Clean"/>
  </r>
  <r>
    <s v="ORD-2025-10795"/>
    <s v="2025-06-22"/>
    <d v="2025-06-22T00:00:00"/>
    <s v="2025-06-24"/>
    <d v="2025-06-24T00:00:00"/>
    <s v="Valid"/>
    <n v="2"/>
    <s v="Valid"/>
    <s v="CUST-2829"/>
    <s v="Sneha Kapoor"/>
    <s v="Sneha Kapoor"/>
    <s v="Corporate"/>
    <x v="2"/>
    <s v="East"/>
    <x v="1"/>
    <s v="Assam"/>
    <s v="Guwahati"/>
    <s v="Office Supplies"/>
    <x v="0"/>
    <x v="0"/>
    <s v="Elite Paper 847"/>
    <s v="Standard Class"/>
    <x v="3"/>
    <n v="9"/>
    <n v="951.55"/>
    <n v="0.15"/>
    <n v="0.15"/>
    <n v="7279.3574999999992"/>
    <n v="7279.36"/>
    <n v="4870.3900000000003"/>
    <n v="2408.9699999999998"/>
    <s v="Paid"/>
    <s v="Completed"/>
    <x v="0"/>
    <s v="Valid"/>
    <n v="2408.9699999999993"/>
    <n v="0.33093167906645604"/>
    <x v="2"/>
    <x v="1"/>
    <s v="Clean"/>
  </r>
  <r>
    <s v="ORD-2024-10796"/>
    <s v="30-07-2024"/>
    <d v="2024-07-30T00:00:00"/>
    <s v="2024-07-30"/>
    <d v="2024-07-30T00:00:00"/>
    <s v="Valid"/>
    <n v="0"/>
    <s v="Valid"/>
    <s v="CUST-6529"/>
    <s v="Diya Patel"/>
    <s v="Diya Patel"/>
    <s v="Home Office"/>
    <x v="3"/>
    <s v="East"/>
    <x v="1"/>
    <s v="Odisha"/>
    <s v="Bhubaneswar"/>
    <s v="Technology"/>
    <x v="2"/>
    <x v="6"/>
    <s v="Pro Copiers 653"/>
    <s v="Same Day"/>
    <x v="1"/>
    <n v="9"/>
    <n v="2894.66"/>
    <n v="0"/>
    <n v="0"/>
    <n v="26051.94"/>
    <n v="26051.94"/>
    <n v="16883.59"/>
    <n v="9168.35"/>
    <s v="Refunded"/>
    <s v="Cancelled"/>
    <x v="1"/>
    <s v="Valid"/>
    <n v="9168.3499999999985"/>
    <n v="0.3519258066769691"/>
    <x v="0"/>
    <x v="0"/>
    <s v="Clean"/>
  </r>
  <r>
    <s v="ORD-2024-10797"/>
    <s v="03/23/2024"/>
    <d v="2024-03-23T00:00:00"/>
    <s v="30-03-2024"/>
    <d v="2024-03-30T00:00:00"/>
    <s v="Valid"/>
    <n v="7"/>
    <s v="Valid"/>
    <s v="CUST-3126"/>
    <s v="Rohan Mehta"/>
    <s v="Rohan Mehta"/>
    <s v="Small Business"/>
    <x v="1"/>
    <s v="South"/>
    <x v="2"/>
    <s v="Andhra Pradesh"/>
    <s v="Vijayawada"/>
    <s v="Technology"/>
    <x v="2"/>
    <x v="12"/>
    <s v="Elite Machines 459"/>
    <s v="First Class"/>
    <x v="2"/>
    <n v="6"/>
    <n v="1894.44"/>
    <n v="0.15"/>
    <n v="0.15"/>
    <n v="9661.6439999999984"/>
    <n v="9661.64"/>
    <n v="6303.77"/>
    <n v="3357.87"/>
    <s v="Paid"/>
    <s v="Completed"/>
    <x v="0"/>
    <s v="Valid"/>
    <n v="3357.869999999999"/>
    <n v="0.34754644240669597"/>
    <x v="11"/>
    <x v="0"/>
    <s v="Clean"/>
  </r>
  <r>
    <s v="ORD-2024-10798"/>
    <s v="18 Apr 2024"/>
    <d v="2024-04-18T00:00:00"/>
    <s v="22-04-2024"/>
    <d v="2024-04-22T00:00:00"/>
    <s v="Valid"/>
    <n v="4"/>
    <s v="Valid"/>
    <s v="CUST-3991"/>
    <s v="Aarav Sharma"/>
    <s v="Aarav Sharma"/>
    <s v="Consumer"/>
    <x v="0"/>
    <s v="East"/>
    <x v="1"/>
    <s v="Odisha"/>
    <s v="Bhubaneswar"/>
    <s v="Office Supplies"/>
    <x v="0"/>
    <x v="9"/>
    <s v="Elite Binders 764"/>
    <s v="First Class"/>
    <x v="2"/>
    <n v="8"/>
    <n v="1714.37"/>
    <n v="0"/>
    <n v="0"/>
    <n v="13714.96"/>
    <n v="13714.96"/>
    <n v="10550.47"/>
    <n v="3164.49"/>
    <s v="Failed"/>
    <s v="Cancelled"/>
    <x v="1"/>
    <s v="Valid"/>
    <n v="3164.49"/>
    <n v="0.23073271814135804"/>
    <x v="5"/>
    <x v="0"/>
    <s v="Clean"/>
  </r>
  <r>
    <s v="ORD-2025-10799"/>
    <s v="2025-07-11"/>
    <d v="2025-07-11T00:00:00"/>
    <s v="09-07-2025"/>
    <d v="2025-07-09T00:00:00"/>
    <s v="Invalid Shipping Record"/>
    <n v="-2"/>
    <s v="Invalid Shipping Record"/>
    <s v="CUST-7553"/>
    <s v="Aditi Sen"/>
    <s v="Aditi Sen"/>
    <s v="Corporate"/>
    <x v="2"/>
    <s v="North"/>
    <x v="0"/>
    <s v="Delhi"/>
    <s v="New Delhi"/>
    <s v="Furniture"/>
    <x v="1"/>
    <x v="3"/>
    <s v="Classic Furnishings 348"/>
    <s v="Standard Class"/>
    <x v="3"/>
    <n v="9"/>
    <n v="1706.05"/>
    <n v="0"/>
    <n v="0"/>
    <n v="15354.449999999999"/>
    <n v="15354.45"/>
    <n v="9656.5"/>
    <n v="5697.95"/>
    <s v="Paid"/>
    <s v="Completed"/>
    <x v="0"/>
    <s v="Valid"/>
    <n v="5697.9500000000007"/>
    <n v="0.37109437329243322"/>
    <x v="0"/>
    <x v="1"/>
    <s v="Invalid"/>
  </r>
  <r>
    <s v="ORD-2024-10800"/>
    <s v="10 Oct 2024"/>
    <d v="2024-10-10T00:00:00"/>
    <s v="2024-10-17"/>
    <d v="2024-10-17T00:00:00"/>
    <s v="Valid"/>
    <n v="7"/>
    <s v="Valid"/>
    <s v="CUST-8527"/>
    <s v="Isha Nair"/>
    <s v="Isha Nair"/>
    <s v="Home Office"/>
    <x v="3"/>
    <s v="North"/>
    <x v="0"/>
    <s v="Haryana"/>
    <s v="Gurugram"/>
    <s v="Technology"/>
    <x v="2"/>
    <x v="5"/>
    <s v="Smart Accessories 487"/>
    <m/>
    <x v="4"/>
    <n v="5"/>
    <n v="967.41"/>
    <n v="0.05"/>
    <n v="0.05"/>
    <n v="4595.1975000000002"/>
    <n v="4595.2"/>
    <n v="3887.41"/>
    <n v="707.79"/>
    <s v="Paid"/>
    <s v="Returned"/>
    <x v="2"/>
    <s v="Valid"/>
    <n v="707.79"/>
    <n v="0.15402820009368476"/>
    <x v="9"/>
    <x v="0"/>
    <s v="Clean"/>
  </r>
  <r>
    <s v="ORD-2024-10801"/>
    <s v="01 Mar 2024"/>
    <d v="2024-03-01T00:00:00"/>
    <s v="2024-03-07"/>
    <d v="2024-03-07T00:00:00"/>
    <s v="Valid"/>
    <n v="6"/>
    <s v="Valid"/>
    <s v="CUST-5015"/>
    <s v="Vikram Iyer"/>
    <s v="Vikram Iyer"/>
    <s v="Small Business"/>
    <x v="1"/>
    <s v="West"/>
    <x v="3"/>
    <s v="Maharashtra"/>
    <s v="Mumbai"/>
    <s v="Office Supplies"/>
    <x v="0"/>
    <x v="8"/>
    <s v="Elite Storage 825"/>
    <s v="Second Class"/>
    <x v="0"/>
    <n v="6"/>
    <n v="4163.72"/>
    <n v="0.15"/>
    <n v="0.15"/>
    <n v="21234.971999999998"/>
    <n v="21234.97"/>
    <n v="16736.09"/>
    <n v="4498.88"/>
    <s v="Paid"/>
    <s v="Completed"/>
    <x v="0"/>
    <s v="Valid"/>
    <n v="4498.880000000001"/>
    <n v="0.21186182868524628"/>
    <x v="11"/>
    <x v="0"/>
    <s v="Clean"/>
  </r>
  <r>
    <s v="ORD-2025-10802"/>
    <s v="2025-10-08"/>
    <d v="2025-10-08T00:00:00"/>
    <s v="15 Oct 2025"/>
    <d v="2025-10-15T00:00:00"/>
    <s v="Valid"/>
    <n v="7"/>
    <s v="Valid"/>
    <s v="CUST-3344"/>
    <s v="Aarav Sharma"/>
    <s v="Aarav Sharma"/>
    <s v="Home Office"/>
    <x v="3"/>
    <s v="East"/>
    <x v="1"/>
    <s v="Odisha"/>
    <s v="Bhubaneswar"/>
    <s v="Technology"/>
    <x v="2"/>
    <x v="5"/>
    <s v="Pro Accessories 500"/>
    <s v="Second Class"/>
    <x v="0"/>
    <n v="3"/>
    <n v="3372.21"/>
    <n v="0.2"/>
    <n v="0.2"/>
    <n v="8093.304000000001"/>
    <n v="8093.3"/>
    <n v="6052.43"/>
    <n v="2040.87"/>
    <s v="Pending"/>
    <s v="Cancelled"/>
    <x v="1"/>
    <s v="Valid"/>
    <n v="2040.87"/>
    <n v="0.25216771790606157"/>
    <x v="9"/>
    <x v="1"/>
    <s v="Clean"/>
  </r>
  <r>
    <s v="ORD-2025-10803"/>
    <s v="16 Feb 2025"/>
    <d v="2025-02-16T00:00:00"/>
    <s v="2025-02-16"/>
    <d v="2025-02-16T00:00:00"/>
    <s v="Valid"/>
    <n v="0"/>
    <s v="Valid"/>
    <s v="CUST-5866"/>
    <s v="Rohan Mehta"/>
    <s v="Rohan Mehta"/>
    <s v="Small Business"/>
    <x v="1"/>
    <s v="East"/>
    <x v="1"/>
    <s v="Assam"/>
    <s v="Guwahati"/>
    <s v="Furniture"/>
    <x v="1"/>
    <x v="3"/>
    <s v="Pro Furnishings 909"/>
    <s v="Second Class"/>
    <x v="0"/>
    <n v="6"/>
    <n v="1441.91"/>
    <n v="0"/>
    <n v="0"/>
    <n v="8651.4600000000009"/>
    <n v="8651.4599999999991"/>
    <n v="5254.62"/>
    <n v="3396.84"/>
    <s v="Failed"/>
    <s v="Returned"/>
    <x v="2"/>
    <s v="Valid"/>
    <n v="3396.8399999999992"/>
    <n v="0.392631995062105"/>
    <x v="6"/>
    <x v="1"/>
    <s v="Clean"/>
  </r>
  <r>
    <s v="ORD-2024-10804"/>
    <s v="09 Dec 2024"/>
    <d v="2024-12-09T00:00:00"/>
    <s v="13 Dec 2024"/>
    <d v="2024-12-13T00:00:00"/>
    <s v="Valid"/>
    <n v="4"/>
    <s v="Valid"/>
    <s v="CUST-7180"/>
    <s v="Rohan Mehta"/>
    <s v="Rohan Mehta"/>
    <s v="Consumer"/>
    <x v="0"/>
    <m/>
    <x v="4"/>
    <s v="Jharkhand"/>
    <s v="Ranchi"/>
    <s v="Office Supplies"/>
    <x v="0"/>
    <x v="7"/>
    <s v="Basic Labels 359"/>
    <s v="First Class"/>
    <x v="2"/>
    <n v="1"/>
    <n v="4306.6499999999996"/>
    <n v="0"/>
    <n v="0"/>
    <n v="4306.6499999999996"/>
    <n v="4306.6499999999996"/>
    <n v="2568.8200000000002"/>
    <n v="1737.83"/>
    <s v="Paid"/>
    <s v="Completed"/>
    <x v="0"/>
    <s v="Valid"/>
    <n v="1737.8299999999995"/>
    <n v="0.40352245945224235"/>
    <x v="8"/>
    <x v="0"/>
    <s v="Clean"/>
  </r>
  <r>
    <s v="ORD-2025-10805"/>
    <s v="10-09-2025"/>
    <d v="2025-09-10T00:00:00"/>
    <s v="18-09-2025"/>
    <d v="2025-09-18T00:00:00"/>
    <s v="Valid"/>
    <n v="8"/>
    <s v="Valid"/>
    <s v="CUST-8745"/>
    <s v="Rahul Verma"/>
    <s v="Rahul Verma"/>
    <s v="Home Office"/>
    <x v="3"/>
    <s v="South"/>
    <x v="2"/>
    <s v="Telangana"/>
    <s v="Hyderabad"/>
    <s v="Furniture"/>
    <x v="1"/>
    <x v="3"/>
    <s v="Eco Furnishings 541"/>
    <s v="Standard Class"/>
    <x v="3"/>
    <n v="1"/>
    <n v="2050.62"/>
    <n v="0.05"/>
    <n v="0.05"/>
    <n v="1948.0889999999997"/>
    <n v="1948.09"/>
    <n v="1507.08"/>
    <n v="441.01"/>
    <s v="Paid"/>
    <s v="Completed"/>
    <x v="0"/>
    <s v="Valid"/>
    <n v="441.01"/>
    <n v="0.22638082756999298"/>
    <x v="7"/>
    <x v="1"/>
    <s v="Clean"/>
  </r>
  <r>
    <s v="ORD-2025-10806"/>
    <s v="2025-04-06"/>
    <d v="2025-04-06T00:00:00"/>
    <s v="07-04-2025"/>
    <d v="2025-04-07T00:00:00"/>
    <s v="Valid"/>
    <n v="1"/>
    <s v="Valid"/>
    <s v="CUST-2098"/>
    <s v="Priya Menon"/>
    <s v="Priya Menon"/>
    <s v="Home Office"/>
    <x v="3"/>
    <s v="East"/>
    <x v="1"/>
    <s v="Assam"/>
    <s v="Guwahati"/>
    <s v="Office Supplies"/>
    <x v="0"/>
    <x v="9"/>
    <s v="Classic Binders 103"/>
    <s v="Second Class"/>
    <x v="0"/>
    <n v="2"/>
    <n v="2030.06"/>
    <n v="0.25"/>
    <n v="0.25"/>
    <n v="3045.09"/>
    <n v="3045.09"/>
    <n v="2601.09"/>
    <n v="444"/>
    <s v="Paid"/>
    <s v="Completed"/>
    <x v="0"/>
    <s v="Valid"/>
    <n v="444"/>
    <n v="0.14580849827098705"/>
    <x v="5"/>
    <x v="1"/>
    <s v="Clean"/>
  </r>
  <r>
    <s v="ORD-2024-10807"/>
    <s v="09-11-2024"/>
    <d v="2024-11-09T00:00:00"/>
    <s v="15 Nov 2024"/>
    <d v="2024-11-15T00:00:00"/>
    <s v="Valid"/>
    <n v="6"/>
    <s v="Valid"/>
    <s v="CUST-3704"/>
    <s v="Isha Nair"/>
    <s v="Isha Nair"/>
    <s v="Home Office"/>
    <x v="3"/>
    <s v="North"/>
    <x v="0"/>
    <s v="Rajasthan"/>
    <s v="Jaipur"/>
    <s v="Technology"/>
    <x v="2"/>
    <x v="6"/>
    <s v="Max Copiers 560"/>
    <s v="Standard Class"/>
    <x v="3"/>
    <n v="1"/>
    <n v="3665.97"/>
    <n v="0.2"/>
    <n v="0.2"/>
    <n v="2932.7759999999998"/>
    <n v="2932.78"/>
    <n v="1900.35"/>
    <n v="1032.43"/>
    <s v="Failed"/>
    <s v="Cancelled"/>
    <x v="1"/>
    <s v="Valid"/>
    <n v="1032.4300000000003"/>
    <n v="0.35203165874243392"/>
    <x v="3"/>
    <x v="0"/>
    <s v="Clean"/>
  </r>
  <r>
    <s v="ORD-2025-10808"/>
    <s v="07 Feb 2025"/>
    <d v="2025-02-07T00:00:00"/>
    <s v="2025-02-08"/>
    <d v="2025-02-08T00:00:00"/>
    <s v="Valid"/>
    <n v="1"/>
    <s v="Valid"/>
    <s v="CUST-5884"/>
    <s v="Karan Malhotra"/>
    <s v="Karan Malhotra"/>
    <s v="Small Business"/>
    <x v="1"/>
    <s v="South"/>
    <x v="2"/>
    <s v="Telangana"/>
    <s v="Hyderabad"/>
    <s v="Office Supplies"/>
    <x v="0"/>
    <x v="7"/>
    <s v="Smart Labels 436"/>
    <s v="Standard Class"/>
    <x v="3"/>
    <n v="2"/>
    <n v="2432.98"/>
    <n v="0.1"/>
    <n v="0.1"/>
    <n v="4379.3640000000005"/>
    <n v="4379.3599999999997"/>
    <n v="3723.93"/>
    <n v="655.43"/>
    <s v="Paid"/>
    <s v="Completed"/>
    <x v="0"/>
    <s v="Valid"/>
    <n v="655.42999999999984"/>
    <n v="0.14966328444038901"/>
    <x v="6"/>
    <x v="1"/>
    <s v="Clean"/>
  </r>
  <r>
    <s v="ORD-2025-10809"/>
    <s v="2025-08-31"/>
    <d v="2025-08-31T00:00:00"/>
    <s v="2025-08-28"/>
    <d v="2025-08-28T00:00:00"/>
    <s v="Invalid Shipping Record"/>
    <n v="-3"/>
    <s v="Invalid Shipping Record"/>
    <s v="CUST-7503"/>
    <s v="Aarav Sharma"/>
    <s v="Aarav Sharma"/>
    <s v="Small Business"/>
    <x v="1"/>
    <s v="South"/>
    <x v="2"/>
    <s v="Tamil Nadu"/>
    <s v="Chennai"/>
    <s v="Furniture"/>
    <x v="1"/>
    <x v="3"/>
    <s v="Pro Furnishings 386"/>
    <s v="First Class"/>
    <x v="2"/>
    <n v="7"/>
    <n v="977.28"/>
    <n v="0.2"/>
    <n v="0.2"/>
    <n v="5472.768"/>
    <n v="5472.77"/>
    <n v="4477.33"/>
    <n v="995.44"/>
    <s v="Paid"/>
    <s v="Completed"/>
    <x v="0"/>
    <s v="Valid"/>
    <n v="995.44000000000051"/>
    <n v="0.18188967630274122"/>
    <x v="1"/>
    <x v="1"/>
    <s v="Invalid"/>
  </r>
  <r>
    <s v="ORD-2025-10810"/>
    <s v="25 Jun 2025"/>
    <d v="2025-06-25T00:00:00"/>
    <s v="25 Jun 2025"/>
    <d v="2025-06-25T00:00:00"/>
    <s v="Valid"/>
    <n v="0"/>
    <s v="Valid"/>
    <s v="CUST-6973"/>
    <s v="Arjun Bose"/>
    <s v="Arjun Bose"/>
    <s v="Small Business"/>
    <x v="1"/>
    <m/>
    <x v="4"/>
    <s v="Punjab"/>
    <s v="Ludhiana"/>
    <s v="Office Supplies"/>
    <x v="0"/>
    <x v="9"/>
    <s v="Eco Binders 601"/>
    <s v="Second Class"/>
    <x v="0"/>
    <n v="6"/>
    <n v="1366.13"/>
    <n v="0.1"/>
    <n v="0.1"/>
    <n v="7377.1020000000008"/>
    <n v="7377.1"/>
    <n v="5085.21"/>
    <n v="2291.89"/>
    <s v="Paid"/>
    <s v="Completed"/>
    <x v="0"/>
    <s v="Valid"/>
    <n v="2291.8900000000003"/>
    <n v="0.31067619778064615"/>
    <x v="2"/>
    <x v="1"/>
    <s v="Clean"/>
  </r>
  <r>
    <s v="ORD-2024-10811"/>
    <s v="04/03/2024"/>
    <d v="2024-04-03T00:00:00"/>
    <s v="08-04-2024"/>
    <d v="2024-04-08T00:00:00"/>
    <s v="Valid"/>
    <n v="5"/>
    <s v="Valid"/>
    <s v="CUST-4653"/>
    <s v="Kabir Singh"/>
    <s v="Kabir Singh"/>
    <s v="Home Office"/>
    <x v="3"/>
    <s v="West"/>
    <x v="3"/>
    <s v="Gujarat"/>
    <s v="Ahmedabad"/>
    <s v="Technology"/>
    <x v="2"/>
    <x v="6"/>
    <s v="Pro Copiers 867"/>
    <s v="First Class"/>
    <x v="2"/>
    <n v="1"/>
    <n v="3151.85"/>
    <n v="0.25"/>
    <n v="0.25"/>
    <n v="2363.8874999999998"/>
    <n v="2363.89"/>
    <n v="1471.51"/>
    <n v="892.38"/>
    <s v="Paid"/>
    <s v="Completed"/>
    <x v="0"/>
    <s v="Valid"/>
    <n v="892.37999999999988"/>
    <n v="0.37750527467994988"/>
    <x v="5"/>
    <x v="0"/>
    <s v="Clean"/>
  </r>
  <r>
    <s v="ORD-2024-10812"/>
    <s v="12 Dec 2024"/>
    <d v="2024-12-12T00:00:00"/>
    <s v="19 Dec 2024"/>
    <d v="2024-12-19T00:00:00"/>
    <s v="Valid"/>
    <n v="7"/>
    <s v="Valid"/>
    <s v="CUST-3303"/>
    <s v="Rohan Mehta"/>
    <s v="Rohan Mehta"/>
    <s v="Home Office"/>
    <x v="3"/>
    <s v="North"/>
    <x v="0"/>
    <s v="Haryana"/>
    <s v="Gurugram"/>
    <s v="Technology"/>
    <x v="2"/>
    <x v="5"/>
    <s v="Eco Accessories 122"/>
    <s v="First Class"/>
    <x v="2"/>
    <n v="2"/>
    <n v="1610.75"/>
    <n v="0.2"/>
    <n v="0.2"/>
    <n v="2577.2000000000003"/>
    <n v="2577.1999999999998"/>
    <n v="1475.87"/>
    <n v="1101.33"/>
    <s v="Paid"/>
    <s v="Completed"/>
    <x v="0"/>
    <s v="Valid"/>
    <n v="1101.33"/>
    <n v="0.42733586838429294"/>
    <x v="8"/>
    <x v="0"/>
    <s v="Clean"/>
  </r>
  <r>
    <s v="ORD-2024-10813"/>
    <s v="2024-06-15"/>
    <d v="2024-06-15T00:00:00"/>
    <s v="20-06-2024"/>
    <d v="2024-06-20T00:00:00"/>
    <s v="Valid"/>
    <n v="5"/>
    <s v="Valid"/>
    <s v="CUST-5754"/>
    <s v="Sneha Kapoor"/>
    <s v="Sneha Kapoor"/>
    <s v="Small Business"/>
    <x v="1"/>
    <s v="East"/>
    <x v="1"/>
    <s v="Jharkhand"/>
    <s v="Ranchi"/>
    <s v="Furniture"/>
    <x v="1"/>
    <x v="1"/>
    <s v="Basic Tables 127"/>
    <s v="First Class"/>
    <x v="2"/>
    <n v="8"/>
    <n v="2228.4699999999998"/>
    <n v="0"/>
    <n v="0"/>
    <n v="17827.759999999998"/>
    <n v="17827.759999999998"/>
    <n v="14122.13"/>
    <n v="3705.63"/>
    <s v="Paid"/>
    <s v="Completed"/>
    <x v="0"/>
    <s v="Valid"/>
    <n v="3705.6299999999992"/>
    <n v="0.20785729671029896"/>
    <x v="2"/>
    <x v="0"/>
    <s v="Clean"/>
  </r>
  <r>
    <s v="ORD-2025-10814"/>
    <s v="04/06/2025"/>
    <d v="2025-04-06T00:00:00"/>
    <s v="10 Apr 2025"/>
    <d v="2025-04-10T00:00:00"/>
    <s v="Valid"/>
    <n v="4"/>
    <s v="Valid"/>
    <s v="CUST-7848"/>
    <s v="Rohan Mehta"/>
    <s v="Rohan Mehta"/>
    <s v="Consumer"/>
    <x v="0"/>
    <s v="East"/>
    <x v="1"/>
    <s v="Odisha"/>
    <s v="Bhubaneswar"/>
    <s v="Furniture"/>
    <x v="1"/>
    <x v="10"/>
    <s v="Elite Bookcases 988"/>
    <s v="Standard Class"/>
    <x v="3"/>
    <n v="2"/>
    <n v="1337.67"/>
    <n v="0"/>
    <n v="0"/>
    <n v="2675.34"/>
    <n v="2675.34"/>
    <n v="1595.87"/>
    <n v="1079.47"/>
    <s v="Paid"/>
    <s v="Completed"/>
    <x v="0"/>
    <s v="Valid"/>
    <n v="1079.4700000000003"/>
    <n v="0.40348890234512258"/>
    <x v="5"/>
    <x v="1"/>
    <s v="Clean"/>
  </r>
  <r>
    <s v="ORD-2025-10815"/>
    <s v="06 Aug 2025"/>
    <d v="2025-08-06T00:00:00"/>
    <s v="2025-08-11"/>
    <d v="2025-08-11T00:00:00"/>
    <s v="Valid"/>
    <n v="5"/>
    <s v="Valid"/>
    <s v="CUST-9048"/>
    <s v="Arjun Bose"/>
    <s v="Arjun Bose"/>
    <s v="Consumer"/>
    <x v="0"/>
    <s v="West"/>
    <x v="3"/>
    <s v="Madhya Pradesh"/>
    <s v="Indore"/>
    <s v="Office Supplies"/>
    <x v="0"/>
    <x v="7"/>
    <s v="Smart Labels 126"/>
    <s v="First Class"/>
    <x v="2"/>
    <n v="2"/>
    <n v="2375.94"/>
    <n v="0.25"/>
    <n v="0.25"/>
    <n v="3563.91"/>
    <n v="3563.91"/>
    <n v="2639.7"/>
    <n v="924.21"/>
    <s v="Paid"/>
    <s v="Completed"/>
    <x v="0"/>
    <s v="Valid"/>
    <n v="924.21"/>
    <n v="0.25932473042248544"/>
    <x v="1"/>
    <x v="1"/>
    <s v="Clean"/>
  </r>
  <r>
    <s v="ORD-2024-10816"/>
    <s v="04/01/2024"/>
    <d v="2024-04-01T00:00:00"/>
    <s v="2024-04-08"/>
    <d v="2024-04-08T00:00:00"/>
    <s v="Valid"/>
    <n v="7"/>
    <s v="Valid"/>
    <s v="CUST-2951"/>
    <s v="Diya Patel"/>
    <s v="Diya Patel"/>
    <s v="Consumer"/>
    <x v="0"/>
    <s v="East"/>
    <x v="1"/>
    <s v="Odisha"/>
    <s v="Bhubaneswar"/>
    <s v="Technology"/>
    <x v="2"/>
    <x v="12"/>
    <s v="Max Machines 569"/>
    <s v="Standard Class"/>
    <x v="3"/>
    <n v="7"/>
    <n v="715.81"/>
    <n v="0.15"/>
    <n v="0.15"/>
    <n v="4259.0694999999996"/>
    <n v="4259.07"/>
    <n v="3130.32"/>
    <n v="1128.75"/>
    <s v="Pending"/>
    <s v="Cancelled"/>
    <x v="1"/>
    <s v="Valid"/>
    <n v="1128.7499999999995"/>
    <n v="0.26502267690160952"/>
    <x v="5"/>
    <x v="0"/>
    <s v="Clean"/>
  </r>
  <r>
    <s v="ORD-2024-10817"/>
    <s v="11/27/2024"/>
    <d v="2024-11-27T00:00:00"/>
    <s v="2024-11-30"/>
    <d v="2024-11-30T00:00:00"/>
    <s v="Valid"/>
    <n v="3"/>
    <s v="Valid"/>
    <s v="CUST-3072"/>
    <s v="Rahul Verma"/>
    <s v="Rahul Verma"/>
    <s v="Small Business"/>
    <x v="1"/>
    <s v="East"/>
    <x v="1"/>
    <s v="Jharkhand"/>
    <s v="Ranchi"/>
    <s v="Furniture"/>
    <x v="1"/>
    <x v="3"/>
    <s v="Basic Furnishings 306"/>
    <s v="First Class"/>
    <x v="2"/>
    <n v="1"/>
    <n v="874.3"/>
    <n v="0.1"/>
    <n v="0.1"/>
    <n v="786.87"/>
    <n v="786.87"/>
    <n v="498.5"/>
    <n v="288.37"/>
    <s v="Paid"/>
    <s v="Completed"/>
    <x v="0"/>
    <s v="Valid"/>
    <n v="288.37"/>
    <n v="0.36647730883119195"/>
    <x v="3"/>
    <x v="0"/>
    <s v="Clean"/>
  </r>
  <r>
    <s v="ORD-2025-10818"/>
    <s v="05 Apr 2025"/>
    <d v="2025-04-05T00:00:00"/>
    <s v="04/05/2025"/>
    <d v="2025-04-05T00:00:00"/>
    <s v="Valid"/>
    <n v="0"/>
    <s v="Valid"/>
    <s v="CUST-2221"/>
    <s v="Sneha Kapoor"/>
    <s v="Sneha Kapoor"/>
    <s v="Consumer"/>
    <x v="0"/>
    <s v="East"/>
    <x v="1"/>
    <s v="Bihar"/>
    <s v="Patna"/>
    <s v="Office Supplies"/>
    <x v="0"/>
    <x v="9"/>
    <s v="Classic Binders 873"/>
    <s v="Standard Class"/>
    <x v="3"/>
    <n v="6"/>
    <n v="1829.69"/>
    <n v="0.25"/>
    <n v="0.25"/>
    <n v="8233.6049999999996"/>
    <n v="8233.6"/>
    <n v="4713.79"/>
    <n v="3519.81"/>
    <s v="Paid"/>
    <s v="Completed"/>
    <x v="0"/>
    <s v="Valid"/>
    <n v="3519.8100000000004"/>
    <n v="0.42749318190513153"/>
    <x v="5"/>
    <x v="1"/>
    <s v="Clean"/>
  </r>
  <r>
    <s v="ORD-2024-10819"/>
    <s v="29 Sep 2024"/>
    <d v="2024-09-29T00:00:00"/>
    <s v="05-10-2024"/>
    <d v="2024-10-05T00:00:00"/>
    <s v="Valid"/>
    <n v="6"/>
    <s v="Valid"/>
    <s v="CUST-3943"/>
    <s v="Priya Menon"/>
    <s v="Priya Menon"/>
    <s v="Small Business"/>
    <x v="1"/>
    <s v="West"/>
    <x v="3"/>
    <s v="Maharashtra"/>
    <s v="Mumbai"/>
    <s v="Office Supplies"/>
    <x v="0"/>
    <x v="7"/>
    <s v="Pro Labels 611"/>
    <s v="First Class"/>
    <x v="2"/>
    <n v="8"/>
    <n v="1981.04"/>
    <n v="-0.14000000000000001"/>
    <n v="-0.14000000000000001"/>
    <n v="18067.084800000001"/>
    <n v="12678.66"/>
    <n v="10088.65"/>
    <n v="2590.0100000000002"/>
    <s v="Paid"/>
    <s v="Completed"/>
    <x v="0"/>
    <s v="Invalid - Negative Discount"/>
    <n v="2590.0100000000002"/>
    <n v="0.14335516928552858"/>
    <x v="7"/>
    <x v="0"/>
    <s v="Clean"/>
  </r>
  <r>
    <s v="ORD-2024-10820"/>
    <s v="07/31/2024"/>
    <d v="2024-07-31T00:00:00"/>
    <s v="31-07-2024"/>
    <d v="2024-07-31T00:00:00"/>
    <s v="Valid"/>
    <n v="0"/>
    <s v="Valid"/>
    <s v="CUST-7510"/>
    <s v="Karan Malhotra"/>
    <s v="Karan Malhotra"/>
    <s v="Home Office"/>
    <x v="3"/>
    <s v="South"/>
    <x v="2"/>
    <s v="Kerala"/>
    <s v="Kochi"/>
    <s v="Technology"/>
    <x v="2"/>
    <x v="12"/>
    <s v="Prime Machines 524"/>
    <s v="Standard Class"/>
    <x v="3"/>
    <n v="8"/>
    <n v="4246.01"/>
    <n v="0"/>
    <n v="0"/>
    <n v="33968.080000000002"/>
    <n v="33968.080000000002"/>
    <n v="26902.44"/>
    <n v="7065.64"/>
    <s v="Failed"/>
    <s v="Cancelled"/>
    <x v="1"/>
    <s v="Valid"/>
    <n v="7065.6400000000031"/>
    <n v="0.20800822419165294"/>
    <x v="0"/>
    <x v="0"/>
    <s v="Clean"/>
  </r>
  <r>
    <s v="ORD-2025-10821"/>
    <s v="06-02-2025"/>
    <d v="2025-02-06T00:00:00"/>
    <s v="10-02-2025"/>
    <d v="2025-02-10T00:00:00"/>
    <s v="Valid"/>
    <n v="4"/>
    <s v="Valid"/>
    <s v="CUST-2041"/>
    <s v="Ananya Rao"/>
    <s v="Ananya Rao"/>
    <s v="Home Office"/>
    <x v="3"/>
    <s v="North"/>
    <x v="0"/>
    <s v="Uttar Pradesh"/>
    <s v="Noida"/>
    <s v="Furniture"/>
    <x v="1"/>
    <x v="10"/>
    <s v="Classic Bookcases 882"/>
    <s v="Standard Class"/>
    <x v="3"/>
    <n v="2"/>
    <n v="319.57"/>
    <n v="0.2"/>
    <n v="0.2"/>
    <n v="511.31200000000001"/>
    <n v="511.31"/>
    <n v="436.43"/>
    <n v="74.88"/>
    <s v="Paid"/>
    <s v="Completed"/>
    <x v="0"/>
    <s v="Valid"/>
    <n v="74.88"/>
    <n v="0.14644678787120191"/>
    <x v="6"/>
    <x v="1"/>
    <s v="Clean"/>
  </r>
  <r>
    <s v="ORD-2024-10822"/>
    <s v="2024-07-03"/>
    <d v="2024-07-03T00:00:00"/>
    <s v="06-07-2024"/>
    <d v="2024-07-06T00:00:00"/>
    <s v="Valid"/>
    <n v="3"/>
    <s v="Valid"/>
    <s v="CUST-4466"/>
    <s v="Aarav Sharma"/>
    <s v="Aarav Sharma"/>
    <s v="Corporate"/>
    <x v="2"/>
    <s v="South"/>
    <x v="2"/>
    <s v="Karnataka"/>
    <s v="Bengaluru"/>
    <s v="Technology"/>
    <x v="2"/>
    <x v="5"/>
    <s v="Classic Accessories 471"/>
    <s v="First Class"/>
    <x v="2"/>
    <n v="7"/>
    <n v="1942.49"/>
    <n v="0.2"/>
    <n v="0.2"/>
    <n v="10877.944000000001"/>
    <n v="10877.94"/>
    <n v="9110.14"/>
    <n v="1767.8"/>
    <s v="Paid"/>
    <s v="Completed"/>
    <x v="0"/>
    <s v="Valid"/>
    <n v="1767.8000000000011"/>
    <n v="0.16251232769721932"/>
    <x v="0"/>
    <x v="0"/>
    <s v="Clean"/>
  </r>
  <r>
    <s v="ORD-2024-10823"/>
    <s v="10/12/2024"/>
    <d v="2024-10-12T00:00:00"/>
    <s v="08 Oct 2024"/>
    <d v="2024-10-08T00:00:00"/>
    <s v="Invalid Shipping Record"/>
    <n v="-4"/>
    <s v="Invalid Shipping Record"/>
    <s v="CUST-3188"/>
    <s v="Mira Das"/>
    <s v="Mira Das"/>
    <s v="Corporate"/>
    <x v="2"/>
    <s v="East"/>
    <x v="1"/>
    <s v="Assam"/>
    <s v="Guwahati"/>
    <s v="Furniture"/>
    <x v="1"/>
    <x v="3"/>
    <s v="Smart Furnishings 175"/>
    <s v="Second Class"/>
    <x v="0"/>
    <n v="4"/>
    <n v="3202.04"/>
    <n v="0.2"/>
    <n v="0.2"/>
    <n v="10246.528"/>
    <n v="10246.530000000001"/>
    <n v="8634.42"/>
    <n v="1612.11"/>
    <s v="Pending"/>
    <s v="Returned"/>
    <x v="2"/>
    <s v="Valid"/>
    <n v="1612.1100000000006"/>
    <n v="0.1573323178348803"/>
    <x v="9"/>
    <x v="0"/>
    <s v="Invalid"/>
  </r>
  <r>
    <s v="ORD-2025-10824"/>
    <s v="2025-01-06"/>
    <d v="2025-01-06T00:00:00"/>
    <s v="12 Jan 2025"/>
    <d v="2025-01-12T00:00:00"/>
    <s v="Valid"/>
    <n v="6"/>
    <s v="Valid"/>
    <s v="CUST-6638"/>
    <s v="Mira Das"/>
    <s v="Mira Das"/>
    <s v="Home Office"/>
    <x v="3"/>
    <s v="West"/>
    <x v="3"/>
    <s v="Goa"/>
    <s v="Panaji"/>
    <s v="Office Supplies"/>
    <x v="0"/>
    <x v="0"/>
    <s v="Basic Paper 899"/>
    <s v="Same Day"/>
    <x v="1"/>
    <n v="3"/>
    <n v="668.33"/>
    <n v="0.15"/>
    <n v="0.15"/>
    <n v="1704.2415000000001"/>
    <n v="1704.24"/>
    <n v="957.55"/>
    <n v="746.69"/>
    <s v="Paid"/>
    <s v="Completed"/>
    <x v="0"/>
    <s v="Valid"/>
    <n v="746.69"/>
    <n v="0.43813626179153603"/>
    <x v="10"/>
    <x v="1"/>
    <s v="Clean"/>
  </r>
  <r>
    <s v="ORD-2025-10825"/>
    <s v="21-03-2025"/>
    <d v="2025-03-21T00:00:00"/>
    <s v="22 Mar 2025"/>
    <d v="2025-03-22T00:00:00"/>
    <s v="Valid"/>
    <n v="1"/>
    <s v="Valid"/>
    <s v="CUST-3540"/>
    <s v="Priya Menon"/>
    <s v="Priya Menon"/>
    <s v="Consumer"/>
    <x v="0"/>
    <s v="West"/>
    <x v="3"/>
    <s v="Goa"/>
    <s v="Panaji"/>
    <s v="Office Supplies"/>
    <x v="0"/>
    <x v="0"/>
    <s v="Pro Paper 267"/>
    <s v="First Class"/>
    <x v="2"/>
    <n v="8"/>
    <n v="4436.74"/>
    <n v="0.05"/>
    <n v="0.05"/>
    <n v="33719.223999999995"/>
    <n v="33719.22"/>
    <n v="28924.43"/>
    <n v="4794.79"/>
    <s v="Paid"/>
    <s v="Completed"/>
    <x v="0"/>
    <s v="Valid"/>
    <n v="4794.7900000000009"/>
    <n v="0.14219751913626485"/>
    <x v="11"/>
    <x v="1"/>
    <s v="Clean"/>
  </r>
  <r>
    <s v="ORD-2025-10826"/>
    <s v="16 Apr 2025"/>
    <d v="2025-04-16T00:00:00"/>
    <s v="17-04-2025"/>
    <d v="2025-04-17T00:00:00"/>
    <s v="Valid"/>
    <n v="1"/>
    <s v="Valid"/>
    <s v="CUST-3351"/>
    <s v="Vikram Iyer"/>
    <s v="Vikram Iyer"/>
    <s v="Small Business"/>
    <x v="1"/>
    <s v="North"/>
    <x v="0"/>
    <s v="Uttar Pradesh"/>
    <s v="Noida"/>
    <s v="Technology"/>
    <x v="2"/>
    <x v="12"/>
    <s v="Basic Machines 832"/>
    <s v="First Class"/>
    <x v="2"/>
    <n v="1"/>
    <n v="2720.17"/>
    <n v="0"/>
    <n v="0"/>
    <n v="2720.17"/>
    <n v="2720.17"/>
    <n v="1834.23"/>
    <n v="885.94"/>
    <s v="Paid"/>
    <s v="Completed"/>
    <x v="0"/>
    <s v="Valid"/>
    <n v="885.94"/>
    <n v="0.3256928794891496"/>
    <x v="5"/>
    <x v="1"/>
    <s v="Clean"/>
  </r>
  <r>
    <s v="ORD-2025-10827"/>
    <s v="2025-08-10"/>
    <d v="2025-08-10T00:00:00"/>
    <s v="14 Aug 2025"/>
    <d v="2025-08-14T00:00:00"/>
    <s v="Valid"/>
    <n v="4"/>
    <s v="Valid"/>
    <s v="CUST-4375"/>
    <s v="Aditi Sen"/>
    <s v="Aditi Sen"/>
    <s v="Consumer"/>
    <x v="0"/>
    <s v="West"/>
    <x v="3"/>
    <s v="Rajasthan"/>
    <s v="Udaipur"/>
    <s v="Technology"/>
    <x v="2"/>
    <x v="5"/>
    <s v="Elite Accessories 790"/>
    <s v="Standard Class"/>
    <x v="3"/>
    <n v="5"/>
    <n v="2190.14"/>
    <n v="0.25"/>
    <n v="0.25"/>
    <n v="8213.0249999999996"/>
    <n v="8213.02"/>
    <n v="5569.3"/>
    <n v="2643.72"/>
    <s v="Paid"/>
    <s v="Completed"/>
    <x v="0"/>
    <s v="Valid"/>
    <n v="2643.7200000000003"/>
    <n v="0.32189357757951553"/>
    <x v="1"/>
    <x v="1"/>
    <s v="Clean"/>
  </r>
  <r>
    <s v="ORD-2024-10828"/>
    <s v="24 Nov 2024"/>
    <d v="2024-11-24T00:00:00"/>
    <s v="01-12-2024"/>
    <d v="2024-12-01T00:00:00"/>
    <s v="Valid"/>
    <n v="7"/>
    <s v="Valid"/>
    <s v="CUST-5125"/>
    <s v="Priya Menon"/>
    <s v="Priya Menon"/>
    <s v="Home Office"/>
    <x v="3"/>
    <s v="South"/>
    <x v="2"/>
    <s v="Tamil Nadu"/>
    <s v="Chennai"/>
    <s v="Office Supplies"/>
    <x v="0"/>
    <x v="0"/>
    <s v="Basic Paper 707"/>
    <s v="Same Day"/>
    <x v="1"/>
    <n v="1"/>
    <n v="844.89"/>
    <n v="0.25"/>
    <n v="0.25"/>
    <n v="633.66750000000002"/>
    <n v="633.66999999999996"/>
    <n v="520.47"/>
    <n v="113.2"/>
    <s v="Paid"/>
    <s v="Cancelled"/>
    <x v="1"/>
    <s v="Valid"/>
    <n v="113.19999999999993"/>
    <n v="0.17864258463626417"/>
    <x v="3"/>
    <x v="0"/>
    <s v="Clean"/>
  </r>
  <r>
    <s v="ORD-2025-10829"/>
    <s v="10/10/2025"/>
    <d v="2025-10-10T00:00:00"/>
    <s v="11-10-2025"/>
    <d v="2025-10-11T00:00:00"/>
    <s v="Valid"/>
    <n v="1"/>
    <s v="Valid"/>
    <s v="CUST-6010"/>
    <s v="Karan Malhotra"/>
    <s v="Karan Malhotra"/>
    <s v="Corporate"/>
    <x v="2"/>
    <s v="East"/>
    <x v="1"/>
    <s v="Odisha"/>
    <s v="Bhubaneswar"/>
    <s v="Furniture"/>
    <x v="1"/>
    <x v="4"/>
    <s v="Elite Chairs 979"/>
    <s v="Second Class"/>
    <x v="0"/>
    <n v="7"/>
    <n v="3791.96"/>
    <n v="0.05"/>
    <n v="0.05"/>
    <n v="25216.534"/>
    <n v="25216.53"/>
    <n v="14216.94"/>
    <n v="10999.59"/>
    <s v="Failed"/>
    <s v="Cancelled"/>
    <x v="1"/>
    <s v="Valid"/>
    <n v="10999.589999999998"/>
    <n v="0.43620546741276967"/>
    <x v="9"/>
    <x v="1"/>
    <s v="Clean"/>
  </r>
  <r>
    <s v="ORD-2024-10830"/>
    <s v="02/26/2024"/>
    <d v="2024-02-26T00:00:00"/>
    <s v="28-02-2024"/>
    <d v="2024-02-28T00:00:00"/>
    <s v="Valid"/>
    <n v="2"/>
    <s v="Valid"/>
    <s v="CUST-9036"/>
    <s v="Aditi Sen"/>
    <s v="Aditi Sen"/>
    <s v="Small Business"/>
    <x v="1"/>
    <s v="West"/>
    <x v="3"/>
    <s v="Goa"/>
    <s v="Panaji"/>
    <s v="Furniture"/>
    <x v="1"/>
    <x v="3"/>
    <s v="Pro Furnishings 192"/>
    <s v="Second Class"/>
    <x v="0"/>
    <n v="7"/>
    <n v="1035.1400000000001"/>
    <n v="0.1"/>
    <n v="0.1"/>
    <n v="6521.3820000000005"/>
    <n v="6521.38"/>
    <n v="4511.1000000000004"/>
    <n v="2010.28"/>
    <s v="Paid"/>
    <s v="Completed"/>
    <x v="0"/>
    <s v="Valid"/>
    <n v="2010.2799999999997"/>
    <n v="0.30825981364072824"/>
    <x v="6"/>
    <x v="0"/>
    <s v="Clean"/>
  </r>
  <r>
    <s v="ORD-2025-10831"/>
    <s v="15 Jul 2025"/>
    <d v="2025-07-15T00:00:00"/>
    <s v="18-07-2025"/>
    <d v="2025-07-18T00:00:00"/>
    <s v="Valid"/>
    <n v="3"/>
    <s v="Valid"/>
    <s v="CUST-7929"/>
    <s v="Aditi Sen"/>
    <s v="Aditi Sen"/>
    <s v="Small Business"/>
    <x v="1"/>
    <m/>
    <x v="4"/>
    <s v="Tamil Nadu"/>
    <s v="Chennai"/>
    <s v="Technology"/>
    <x v="2"/>
    <x v="12"/>
    <s v="Smart Machines 951"/>
    <s v="First Class"/>
    <x v="2"/>
    <n v="6"/>
    <n v="2382.88"/>
    <n v="0.1"/>
    <n v="0.1"/>
    <n v="12867.552000000001"/>
    <n v="12867.55"/>
    <n v="10068.94"/>
    <n v="2798.61"/>
    <s v="Paid"/>
    <s v="Completed"/>
    <x v="0"/>
    <s v="Valid"/>
    <n v="2798.6099999999988"/>
    <n v="0.21749358386117254"/>
    <x v="0"/>
    <x v="1"/>
    <s v="Clean"/>
  </r>
  <r>
    <s v="ORD-2025-10832"/>
    <s v="04/03/2025"/>
    <d v="2025-04-03T00:00:00"/>
    <s v="03-04-2025"/>
    <d v="2025-04-03T00:00:00"/>
    <s v="Valid"/>
    <n v="0"/>
    <s v="Valid"/>
    <s v="CUST-1106"/>
    <s v="Diya Patel"/>
    <s v="Diya Patel"/>
    <s v="Home Office"/>
    <x v="3"/>
    <m/>
    <x v="4"/>
    <s v="Haryana"/>
    <s v="Gurugram"/>
    <s v="Furniture"/>
    <x v="1"/>
    <x v="4"/>
    <s v="Smart Chairs 794"/>
    <s v="First Class"/>
    <x v="2"/>
    <n v="9"/>
    <n v="3462.7"/>
    <n v="0.15"/>
    <n v="0.15"/>
    <n v="26489.654999999999"/>
    <n v="26489.65"/>
    <n v="15818.46"/>
    <n v="10671.19"/>
    <s v="Failed"/>
    <s v="Returned"/>
    <x v="2"/>
    <s v="Valid"/>
    <n v="10671.190000000002"/>
    <n v="0.40284367614451766"/>
    <x v="5"/>
    <x v="1"/>
    <s v="Clean"/>
  </r>
  <r>
    <s v="ORD-2025-10833"/>
    <s v="26 May 2025"/>
    <d v="2025-05-26T00:00:00"/>
    <s v="28-05-2025"/>
    <d v="2025-05-28T00:00:00"/>
    <s v="Valid"/>
    <n v="2"/>
    <s v="Valid"/>
    <s v="CUST-9557"/>
    <s v="Kabir Singh"/>
    <s v="Kabir Singh"/>
    <s v="Small Business"/>
    <x v="1"/>
    <s v="South"/>
    <x v="2"/>
    <s v="Andhra Pradesh"/>
    <s v="Vijayawada"/>
    <s v="Technology"/>
    <x v="2"/>
    <x v="11"/>
    <s v="Max Phones 919"/>
    <s v="Second Class"/>
    <x v="0"/>
    <n v="9"/>
    <n v="4302.0200000000004"/>
    <n v="0.05"/>
    <n v="0.05"/>
    <n v="36782.271000000008"/>
    <n v="36782.269999999997"/>
    <n v="25902.81"/>
    <n v="10879.46"/>
    <s v="Paid"/>
    <s v="Completed"/>
    <x v="0"/>
    <s v="Valid"/>
    <n v="10879.459999999995"/>
    <n v="0.2957799968359755"/>
    <x v="4"/>
    <x v="1"/>
    <s v="Clean"/>
  </r>
  <r>
    <s v="ORD-2024-10834"/>
    <s v="2024-06-04"/>
    <d v="2024-06-04T00:00:00"/>
    <s v="06/04/2024"/>
    <d v="2024-06-04T00:00:00"/>
    <s v="Valid"/>
    <n v="0"/>
    <s v="Valid"/>
    <s v="CUST-2689"/>
    <s v="Rahul Verma"/>
    <s v="Rahul Verma"/>
    <s v="Home Office"/>
    <x v="3"/>
    <s v="East"/>
    <x v="1"/>
    <s v="West Bengal"/>
    <s v="Kolkata"/>
    <s v="Furniture"/>
    <x v="1"/>
    <x v="10"/>
    <s v="Basic Bookcases 499"/>
    <s v="First Class"/>
    <x v="2"/>
    <n v="6"/>
    <n v="3949.4"/>
    <n v="0"/>
    <n v="0"/>
    <n v="23696.400000000001"/>
    <n v="23696.400000000001"/>
    <n v="18109.77"/>
    <n v="5586.63"/>
    <s v="Paid"/>
    <s v="Completed"/>
    <x v="0"/>
    <s v="Valid"/>
    <n v="5586.630000000001"/>
    <n v="0.23575859624246723"/>
    <x v="2"/>
    <x v="0"/>
    <s v="Clean"/>
  </r>
  <r>
    <s v="ORD-2024-10835"/>
    <s v="18-10-2024"/>
    <d v="2024-10-18T00:00:00"/>
    <s v="2024-10-22"/>
    <d v="2024-10-22T00:00:00"/>
    <s v="Valid"/>
    <n v="4"/>
    <s v="Valid"/>
    <s v="CUST-2879"/>
    <s v="Aarav Sharma"/>
    <s v="Aarav Sharma"/>
    <s v="Home Office"/>
    <x v="3"/>
    <s v="South"/>
    <x v="2"/>
    <s v="Telangana"/>
    <s v="Hyderabad"/>
    <s v="Office Supplies"/>
    <x v="0"/>
    <x v="2"/>
    <s v="Basic Art 143"/>
    <s v="First Class"/>
    <x v="2"/>
    <n v="6"/>
    <n v="674.61"/>
    <n v="0"/>
    <n v="0"/>
    <n v="4047.66"/>
    <n v="4047.66"/>
    <n v="3078.93"/>
    <n v="1279.79"/>
    <s v="Paid"/>
    <s v="Completed"/>
    <x v="0"/>
    <s v="Valid"/>
    <n v="968.73"/>
    <n v="0.23933087265234729"/>
    <x v="9"/>
    <x v="0"/>
    <s v="Clean"/>
  </r>
  <r>
    <s v="ORD-2025-10836"/>
    <s v="09/26/2025"/>
    <d v="2025-09-26T00:00:00"/>
    <s v="04-10-2025"/>
    <d v="2025-10-04T00:00:00"/>
    <s v="Valid"/>
    <n v="8"/>
    <s v="Valid"/>
    <s v="CUST-5150"/>
    <s v="Priya Menon"/>
    <s v="Priya Menon"/>
    <s v="Small Business"/>
    <x v="1"/>
    <s v="East"/>
    <x v="1"/>
    <s v="Assam"/>
    <s v="Guwahati"/>
    <s v="Technology"/>
    <x v="2"/>
    <x v="11"/>
    <s v="Prime Phones 338"/>
    <s v="Second Class"/>
    <x v="0"/>
    <n v="7"/>
    <n v="1509.59"/>
    <n v="0.05"/>
    <n v="0.05"/>
    <n v="10038.773499999999"/>
    <n v="10038.77"/>
    <n v="5673.1"/>
    <n v="4365.67"/>
    <s v="Paid"/>
    <s v="Completed"/>
    <x v="0"/>
    <s v="Valid"/>
    <n v="4365.67"/>
    <n v="0.43488081487245434"/>
    <x v="7"/>
    <x v="1"/>
    <s v="Clean"/>
  </r>
  <r>
    <s v="ORD-2024-10837"/>
    <s v="2024-12-15"/>
    <d v="2024-12-15T00:00:00"/>
    <s v="2024-12-18"/>
    <d v="2024-12-18T00:00:00"/>
    <s v="Valid"/>
    <n v="3"/>
    <s v="Valid"/>
    <s v="CUST-9776"/>
    <s v="Isha Nair"/>
    <s v="Isha Nair"/>
    <s v="Small Business"/>
    <x v="1"/>
    <s v="North"/>
    <x v="0"/>
    <s v="Rajasthan"/>
    <s v="Jaipur"/>
    <s v="Office Supplies"/>
    <x v="0"/>
    <x v="7"/>
    <s v="Smart Labels 814"/>
    <s v="Second Class"/>
    <x v="0"/>
    <n v="2"/>
    <n v="537.11"/>
    <n v="0"/>
    <n v="0"/>
    <n v="1074.22"/>
    <n v="1074.22"/>
    <n v="850.86"/>
    <n v="223.36"/>
    <s v="Paid"/>
    <s v="Completed"/>
    <x v="0"/>
    <s v="Valid"/>
    <n v="223.36"/>
    <n v="0.20792761259332354"/>
    <x v="8"/>
    <x v="0"/>
    <s v="Clean"/>
  </r>
  <r>
    <s v="ORD-2025-10838"/>
    <s v="2025-09-27"/>
    <d v="2025-09-27T00:00:00"/>
    <s v="09/28/2025"/>
    <d v="2025-09-28T00:00:00"/>
    <s v="Valid"/>
    <n v="1"/>
    <s v="Valid"/>
    <s v="CUST-2551"/>
    <s v="Karan Malhotra"/>
    <s v="Karan Malhotra"/>
    <s v="Home Office"/>
    <x v="3"/>
    <s v="West"/>
    <x v="3"/>
    <s v="Maharashtra"/>
    <s v="Mumbai"/>
    <s v="Office Supplies"/>
    <x v="0"/>
    <x v="0"/>
    <s v="Prime Paper 812"/>
    <s v="First Class"/>
    <x v="2"/>
    <n v="3"/>
    <n v="4177.63"/>
    <n v="0.25"/>
    <n v="0.25"/>
    <n v="9399.6674999999996"/>
    <n v="9399.67"/>
    <n v="6540.37"/>
    <n v="2859.3"/>
    <s v="Paid"/>
    <s v="Completed"/>
    <x v="0"/>
    <s v="Valid"/>
    <n v="2859.3"/>
    <n v="0.30419161103304987"/>
    <x v="7"/>
    <x v="1"/>
    <s v="Clean"/>
  </r>
  <r>
    <s v="ORD-2025-10839"/>
    <s v="04/03/2025"/>
    <d v="2025-04-03T00:00:00"/>
    <s v="07 Apr 2025"/>
    <d v="2025-04-07T00:00:00"/>
    <s v="Valid"/>
    <n v="4"/>
    <s v="Valid"/>
    <s v="CUST-4708"/>
    <s v="Ananya Rao"/>
    <s v="Ananya Rao"/>
    <s v="Small Business"/>
    <x v="1"/>
    <s v="West"/>
    <x v="3"/>
    <s v="Goa"/>
    <s v="Panaji"/>
    <s v="Office Supplies"/>
    <x v="0"/>
    <x v="0"/>
    <s v="Pro Paper 355"/>
    <s v="Same Day"/>
    <x v="1"/>
    <n v="1"/>
    <n v="1470.57"/>
    <n v="0"/>
    <n v="0"/>
    <n v="1470.57"/>
    <n v="1470.57"/>
    <n v="834.02"/>
    <n v="636.54999999999995"/>
    <s v="Paid"/>
    <s v="Returned"/>
    <x v="2"/>
    <s v="Valid"/>
    <n v="636.54999999999995"/>
    <n v="0.43285936745615644"/>
    <x v="5"/>
    <x v="1"/>
    <s v="Clean"/>
  </r>
  <r>
    <s v="ORD-2024-10840"/>
    <s v="09/20/2024"/>
    <d v="2024-09-20T00:00:00"/>
    <s v="22-09-2024"/>
    <d v="2024-09-22T00:00:00"/>
    <s v="Valid"/>
    <n v="2"/>
    <s v="Valid"/>
    <s v="CUST-8206"/>
    <s v="Rohan Mehta"/>
    <s v="Rohan Mehta"/>
    <s v="Home Office"/>
    <x v="3"/>
    <s v="East"/>
    <x v="1"/>
    <s v="Odisha"/>
    <s v="Bhubaneswar"/>
    <s v="Technology"/>
    <x v="2"/>
    <x v="11"/>
    <s v="Basic Phones 398"/>
    <s v="Standard Class"/>
    <x v="3"/>
    <n v="8"/>
    <n v="531.42999999999995"/>
    <n v="0.1"/>
    <n v="0.1"/>
    <n v="3826.2959999999998"/>
    <n v="3826.3"/>
    <n v="2194.12"/>
    <n v="1632.18"/>
    <s v="Paid"/>
    <s v="Completed"/>
    <x v="0"/>
    <s v="Valid"/>
    <n v="1632.1800000000003"/>
    <n v="0.42656919381041097"/>
    <x v="7"/>
    <x v="0"/>
    <s v="Clean"/>
  </r>
  <r>
    <s v="ORD-2025-10841"/>
    <s v="2025-09-19"/>
    <d v="2025-09-19T00:00:00"/>
    <s v="19-09-2025"/>
    <d v="2025-09-19T00:00:00"/>
    <s v="Valid"/>
    <n v="0"/>
    <s v="Valid"/>
    <s v="CUST-1297"/>
    <s v="Neha Gupta"/>
    <s v="Neha Gupta"/>
    <s v="Home Office"/>
    <x v="3"/>
    <s v="North"/>
    <x v="0"/>
    <s v="Delhi"/>
    <s v="New Delhi"/>
    <s v="Furniture"/>
    <x v="1"/>
    <x v="4"/>
    <s v="Classic Chairs 204"/>
    <s v="Same Day"/>
    <x v="1"/>
    <n v="4"/>
    <n v="1584.11"/>
    <n v="0"/>
    <n v="0"/>
    <n v="6336.44"/>
    <n v="6336.44"/>
    <n v="4680.68"/>
    <n v="1655.76"/>
    <s v="Paid"/>
    <s v="Completed"/>
    <x v="0"/>
    <s v="Valid"/>
    <n v="1655.7599999999993"/>
    <n v="0.26130761121386764"/>
    <x v="7"/>
    <x v="1"/>
    <s v="Clean"/>
  </r>
  <r>
    <s v="ORD-2025-10842"/>
    <s v="2025-02-06"/>
    <d v="2025-02-06T00:00:00"/>
    <s v="12 Feb 2025"/>
    <d v="2025-02-12T00:00:00"/>
    <s v="Valid"/>
    <n v="6"/>
    <s v="Valid"/>
    <s v="CUST-7558"/>
    <s v="Ananya Rao"/>
    <s v="Ananya Rao"/>
    <s v="Small Business"/>
    <x v="1"/>
    <s v="East"/>
    <x v="1"/>
    <s v="Bihar"/>
    <s v="Patna"/>
    <s v="Office Supplies"/>
    <x v="0"/>
    <x v="2"/>
    <s v="Max Art 339"/>
    <s v="Standard Class"/>
    <x v="3"/>
    <n v="9"/>
    <n v="3237.16"/>
    <n v="0.25"/>
    <n v="0.25"/>
    <n v="21850.829999999998"/>
    <n v="21850.83"/>
    <n v="16600.13"/>
    <n v="5250.7"/>
    <s v="Paid"/>
    <s v="Completed"/>
    <x v="0"/>
    <s v="Valid"/>
    <n v="5250.7000000000007"/>
    <n v="0.24029750814957607"/>
    <x v="6"/>
    <x v="1"/>
    <s v="Clean"/>
  </r>
  <r>
    <s v="ORD-2024-10843"/>
    <s v="31-03-2024"/>
    <d v="2024-03-31T00:00:00"/>
    <s v="03/30/2024"/>
    <d v="2024-03-30T00:00:00"/>
    <s v="Invalid Shipping Record"/>
    <n v="-1"/>
    <s v="Invalid Shipping Record"/>
    <s v="CUST-1798"/>
    <s v="Kabir Singh"/>
    <s v="Kabir Singh"/>
    <s v="Consumer"/>
    <x v="0"/>
    <s v="North"/>
    <x v="0"/>
    <s v="Haryana"/>
    <s v="Gurugram"/>
    <s v="Technology"/>
    <x v="2"/>
    <x v="12"/>
    <s v="Smart Machines 581"/>
    <s v="First Class"/>
    <x v="2"/>
    <n v="4"/>
    <n v="2192.08"/>
    <n v="0.15"/>
    <n v="0.15"/>
    <n v="7453.0719999999992"/>
    <n v="7453.07"/>
    <n v="5133.78"/>
    <n v="2319.29"/>
    <s v="Paid"/>
    <s v="Returned"/>
    <x v="2"/>
    <s v="Valid"/>
    <n v="2319.29"/>
    <n v="0.31118577681793497"/>
    <x v="11"/>
    <x v="0"/>
    <s v="Invalid"/>
  </r>
  <r>
    <s v="ORD-2025-10844"/>
    <s v="18 Jul 2025"/>
    <d v="2025-07-18T00:00:00"/>
    <s v="25 Jul 2025"/>
    <d v="2025-07-25T00:00:00"/>
    <s v="Valid"/>
    <n v="7"/>
    <s v="Valid"/>
    <s v="CUST-7333"/>
    <s v="Priya Menon"/>
    <s v="Priya Menon"/>
    <s v="Small Business"/>
    <x v="1"/>
    <s v="North"/>
    <x v="0"/>
    <s v="Uttar Pradesh"/>
    <s v="Noida"/>
    <s v="Technology"/>
    <x v="2"/>
    <x v="11"/>
    <s v="Prime Phones 482"/>
    <s v="First Class"/>
    <x v="2"/>
    <n v="9"/>
    <n v="3989.52"/>
    <n v="-0.02"/>
    <n v="-0.02"/>
    <n v="36623.793600000005"/>
    <n v="35905.68"/>
    <n v="23916.1"/>
    <n v="11989.58"/>
    <s v="Paid"/>
    <s v="Completed"/>
    <x v="0"/>
    <s v="Invalid - Negative Discount"/>
    <n v="11989.580000000002"/>
    <n v="0.32737132944086927"/>
    <x v="0"/>
    <x v="1"/>
    <s v="Clean"/>
  </r>
  <r>
    <s v="ORD-2025-10845"/>
    <s v="20-01-2025"/>
    <d v="2025-01-20T00:00:00"/>
    <s v="25-01-2025"/>
    <d v="2025-01-25T00:00:00"/>
    <s v="Valid"/>
    <n v="5"/>
    <s v="Valid"/>
    <s v="CUST-2086"/>
    <s v="Aditi Sen"/>
    <s v="Aditi Sen"/>
    <s v="Home Office"/>
    <x v="3"/>
    <s v="West"/>
    <x v="3"/>
    <s v="Goa"/>
    <s v="Panaji"/>
    <s v="Office Supplies"/>
    <x v="0"/>
    <x v="2"/>
    <s v="Pro Art 588"/>
    <s v="First Class"/>
    <x v="2"/>
    <n v="1"/>
    <n v="3515.15"/>
    <n v="0"/>
    <n v="0"/>
    <n v="3515.15"/>
    <n v="3515.15"/>
    <n v="2216.34"/>
    <n v="1298.81"/>
    <s v="Paid"/>
    <s v="Completed"/>
    <x v="0"/>
    <s v="Valid"/>
    <n v="1298.81"/>
    <n v="0.36948921098672882"/>
    <x v="10"/>
    <x v="1"/>
    <s v="Clean"/>
  </r>
  <r>
    <s v="ORD-2024-10846"/>
    <s v="23-02-2024"/>
    <d v="2024-02-23T00:00:00"/>
    <s v="27 Feb 2024"/>
    <d v="2024-02-27T00:00:00"/>
    <s v="Valid"/>
    <n v="4"/>
    <s v="Valid"/>
    <s v="CUST-2367"/>
    <s v="Karan Malhotra"/>
    <s v="Karan Malhotra"/>
    <s v="Consumer"/>
    <x v="0"/>
    <s v="East"/>
    <x v="1"/>
    <s v="Odisha"/>
    <s v="Bhubaneswar"/>
    <s v="Furniture"/>
    <x v="1"/>
    <x v="1"/>
    <s v="Eco Tables 792"/>
    <s v="First Class"/>
    <x v="2"/>
    <n v="9"/>
    <n v="3616.23"/>
    <n v="0.25"/>
    <n v="0.25"/>
    <n v="24409.552499999998"/>
    <n v="24409.55"/>
    <n v="17157.580000000002"/>
    <n v="7251.97"/>
    <s v="Pending"/>
    <s v="Returned"/>
    <x v="2"/>
    <s v="Valid"/>
    <n v="7251.9699999999975"/>
    <n v="0.29709557354646293"/>
    <x v="6"/>
    <x v="0"/>
    <s v="Clean"/>
  </r>
  <r>
    <s v="ORD-2024-10847"/>
    <s v="2024-04-14"/>
    <d v="2024-04-14T00:00:00"/>
    <s v="2024-04-22"/>
    <d v="2024-04-22T00:00:00"/>
    <s v="Valid"/>
    <n v="8"/>
    <s v="Valid"/>
    <s v="CUST-6522"/>
    <s v="Priya Menon"/>
    <s v="Priya Menon"/>
    <s v="Small Business"/>
    <x v="1"/>
    <s v="West"/>
    <x v="3"/>
    <s v="Gujarat"/>
    <s v="Ahmedabad"/>
    <s v="Furniture"/>
    <x v="1"/>
    <x v="10"/>
    <s v="Prime Bookcases 177"/>
    <s v="Standard Class"/>
    <x v="3"/>
    <n v="2"/>
    <n v="3977.52"/>
    <n v="0"/>
    <n v="0"/>
    <n v="7955.04"/>
    <n v="7955.04"/>
    <n v="5580.68"/>
    <n v="2374.36"/>
    <s v="Pending"/>
    <s v="Returned"/>
    <x v="2"/>
    <s v="Valid"/>
    <n v="2374.3599999999997"/>
    <n v="0.29847241497214339"/>
    <x v="5"/>
    <x v="0"/>
    <s v="Clean"/>
  </r>
  <r>
    <s v="ORD-2025-10848"/>
    <s v="2025-05-20"/>
    <d v="2025-05-20T00:00:00"/>
    <s v="05/22/2025"/>
    <d v="2025-05-22T00:00:00"/>
    <s v="Valid"/>
    <n v="2"/>
    <s v="Valid"/>
    <s v="CUST-8329"/>
    <s v="Diya Patel"/>
    <s v="Diya Patel"/>
    <s v="Home Office"/>
    <x v="3"/>
    <s v="East"/>
    <x v="1"/>
    <s v="Odisha"/>
    <s v="Bhubaneswar"/>
    <s v="Furniture"/>
    <x v="1"/>
    <x v="1"/>
    <s v="Pro Tables 828"/>
    <s v="Second Class"/>
    <x v="0"/>
    <n v="2"/>
    <n v="210.08"/>
    <n v="0.2"/>
    <n v="0.2"/>
    <n v="336.12800000000004"/>
    <n v="336.13"/>
    <n v="242.19"/>
    <n v="93.94"/>
    <s v="Paid"/>
    <s v="Completed"/>
    <x v="0"/>
    <s v="Valid"/>
    <n v="93.94"/>
    <n v="0.27947686595582633"/>
    <x v="4"/>
    <x v="1"/>
    <s v="Clean"/>
  </r>
  <r>
    <s v="ORD-2025-10849"/>
    <s v="27-05-2025"/>
    <d v="2025-05-27T00:00:00"/>
    <s v="29 May 2025"/>
    <d v="2025-05-29T00:00:00"/>
    <s v="Valid"/>
    <n v="2"/>
    <s v="Valid"/>
    <s v="CUST-4426"/>
    <s v="Rahul Verma"/>
    <s v="Rahul Verma"/>
    <s v="Home Office"/>
    <x v="3"/>
    <s v="South"/>
    <x v="2"/>
    <s v="Tamil Nadu"/>
    <s v="Chennai"/>
    <s v="Furniture"/>
    <x v="1"/>
    <x v="3"/>
    <s v="Elite Furnishings 480"/>
    <s v="Second Class"/>
    <x v="0"/>
    <n v="1"/>
    <n v="1744.35"/>
    <n v="0.25"/>
    <n v="0.25"/>
    <n v="1308.2624999999998"/>
    <n v="1308.26"/>
    <n v="1083.56"/>
    <n v="224.7"/>
    <s v="Paid"/>
    <s v="Completed"/>
    <x v="0"/>
    <s v="Valid"/>
    <n v="224.70000000000005"/>
    <n v="0.17175452174162301"/>
    <x v="4"/>
    <x v="1"/>
    <s v="Clean"/>
  </r>
  <r>
    <s v="ORD-2024-10850"/>
    <s v="2024-03-06"/>
    <d v="2024-03-06T00:00:00"/>
    <s v="12-03-2024"/>
    <d v="2024-03-12T00:00:00"/>
    <s v="Valid"/>
    <n v="6"/>
    <s v="Valid"/>
    <s v="CUST-3360"/>
    <s v="Isha Nair"/>
    <s v="Isha Nair"/>
    <s v="Home Office"/>
    <x v="3"/>
    <s v="West"/>
    <x v="3"/>
    <s v="Gujarat"/>
    <s v="Ahmedabad"/>
    <s v="Furniture"/>
    <x v="1"/>
    <x v="10"/>
    <s v="Prime Bookcases 755"/>
    <s v="Standard Class"/>
    <x v="3"/>
    <n v="3"/>
    <n v="679.63"/>
    <n v="0.2"/>
    <n v="0.2"/>
    <n v="1631.1120000000001"/>
    <n v="1631.11"/>
    <n v="898.73"/>
    <n v="396.58"/>
    <s v="Paid"/>
    <s v="Completed"/>
    <x v="0"/>
    <s v="Valid"/>
    <n v="732.37999999999988"/>
    <n v="0.44900656729887334"/>
    <x v="11"/>
    <x v="0"/>
    <s v="Clean"/>
  </r>
  <r>
    <s v="ORD-2024-10851"/>
    <s v="30-06-2024"/>
    <d v="2024-06-30T00:00:00"/>
    <s v="2024-07-03"/>
    <d v="2024-07-03T00:00:00"/>
    <s v="Valid"/>
    <n v="3"/>
    <s v="Valid"/>
    <s v="CUST-2623"/>
    <s v="Priya Menon"/>
    <s v="Priya Menon"/>
    <s v="Home Office"/>
    <x v="3"/>
    <s v="East"/>
    <x v="1"/>
    <s v="West Bengal"/>
    <s v="Kolkata"/>
    <s v="Office Supplies"/>
    <x v="0"/>
    <x v="0"/>
    <s v="Prime Paper 317"/>
    <s v="First Class"/>
    <x v="2"/>
    <n v="6"/>
    <n v="1211.01"/>
    <n v="0"/>
    <n v="0"/>
    <n v="7266.0599999999995"/>
    <n v="7266.06"/>
    <n v="6216.89"/>
    <n v="1049.17"/>
    <s v="Paid"/>
    <s v="Completed"/>
    <x v="0"/>
    <s v="Valid"/>
    <n v="1049.17"/>
    <n v="0.14439324750965449"/>
    <x v="2"/>
    <x v="0"/>
    <s v="Clean"/>
  </r>
  <r>
    <s v="ORD-2024-10852"/>
    <s v="2024-03-26"/>
    <d v="2024-03-26T00:00:00"/>
    <s v="01 Apr 2024"/>
    <d v="2024-04-01T00:00:00"/>
    <s v="Valid"/>
    <n v="6"/>
    <s v="Valid"/>
    <s v="CUST-3175"/>
    <s v="Karan Malhotra"/>
    <s v="Karan Malhotra"/>
    <s v="Small Business"/>
    <x v="1"/>
    <s v="West"/>
    <x v="3"/>
    <s v="Gujarat"/>
    <s v="Ahmedabad"/>
    <s v="Technology"/>
    <x v="2"/>
    <x v="5"/>
    <s v="Classic Accessories 933"/>
    <s v="First Class"/>
    <x v="2"/>
    <n v="2"/>
    <n v="1161.3"/>
    <n v="0.2"/>
    <n v="0.2"/>
    <n v="1858.08"/>
    <n v="1858.08"/>
    <n v="1590.75"/>
    <n v="267.33"/>
    <s v="Paid"/>
    <s v="Completed"/>
    <x v="0"/>
    <s v="Valid"/>
    <n v="267.32999999999993"/>
    <n v="0.14387432188065097"/>
    <x v="11"/>
    <x v="0"/>
    <s v="Clean"/>
  </r>
  <r>
    <s v="ORD-2024-10853"/>
    <s v="01-04-2024"/>
    <d v="2024-04-01T00:00:00"/>
    <s v="08-04-2024"/>
    <d v="2024-04-08T00:00:00"/>
    <s v="Valid"/>
    <n v="7"/>
    <s v="Valid"/>
    <s v="CUST-9630"/>
    <s v="Ananya Rao"/>
    <s v="Ananya Rao"/>
    <s v="Consumer"/>
    <x v="0"/>
    <s v="East"/>
    <x v="1"/>
    <s v="Assam"/>
    <s v="Guwahati"/>
    <s v="Furniture"/>
    <x v="1"/>
    <x v="1"/>
    <s v="Smart Tables 513"/>
    <s v="Second Class"/>
    <x v="0"/>
    <n v="7"/>
    <n v="4205.3500000000004"/>
    <n v="0.15"/>
    <n v="0.15"/>
    <n v="25021.832500000004"/>
    <n v="25021.83"/>
    <n v="15544.44"/>
    <n v="9477.39"/>
    <s v="Pending"/>
    <s v="Cancelled"/>
    <x v="1"/>
    <s v="Valid"/>
    <n v="9477.3900000000012"/>
    <n v="0.37876482467860817"/>
    <x v="5"/>
    <x v="0"/>
    <s v="Clean"/>
  </r>
  <r>
    <s v="ORD-2025-10854"/>
    <s v="2025-05-16"/>
    <d v="2025-05-16T00:00:00"/>
    <s v="05/22/2025"/>
    <d v="2025-05-22T00:00:00"/>
    <s v="Valid"/>
    <n v="6"/>
    <s v="Valid"/>
    <s v="CUST-8274"/>
    <s v="Arjun Bose"/>
    <s v="Arjun Bose"/>
    <s v="Corporate"/>
    <x v="2"/>
    <s v="South"/>
    <x v="2"/>
    <s v="Tamil Nadu"/>
    <s v="Chennai"/>
    <s v="Technology"/>
    <x v="2"/>
    <x v="5"/>
    <s v="Elite Accessories 708"/>
    <s v="Same Day"/>
    <x v="1"/>
    <n v="8"/>
    <n v="579.79999999999995"/>
    <n v="0.2"/>
    <n v="0.2"/>
    <n v="3710.72"/>
    <n v="3710.72"/>
    <n v="3115.29"/>
    <n v="595.42999999999995"/>
    <s v="Paid"/>
    <s v="Completed"/>
    <x v="0"/>
    <s v="Valid"/>
    <n v="595.42999999999984"/>
    <n v="0.16046212055881334"/>
    <x v="4"/>
    <x v="1"/>
    <s v="Clean"/>
  </r>
  <r>
    <s v="ORD-2025-10855"/>
    <s v="03/25/2025"/>
    <d v="2025-03-25T00:00:00"/>
    <s v="04/02/2025"/>
    <d v="2025-04-02T00:00:00"/>
    <s v="Valid"/>
    <n v="8"/>
    <s v="Valid"/>
    <s v="CUST-2514"/>
    <s v="Priya Menon"/>
    <s v="Priya Menon"/>
    <s v="Consumer"/>
    <x v="0"/>
    <s v="South"/>
    <x v="2"/>
    <s v="Karnataka"/>
    <s v="Bengaluru"/>
    <s v="Furniture"/>
    <x v="1"/>
    <x v="10"/>
    <s v="Max Bookcases 381"/>
    <s v="Second Class"/>
    <x v="0"/>
    <n v="4"/>
    <n v="2233.64"/>
    <n v="0.05"/>
    <n v="0.05"/>
    <n v="8487.8319999999985"/>
    <n v="8487.83"/>
    <n v="5245.72"/>
    <n v="3242.11"/>
    <s v="Paid"/>
    <s v="Completed"/>
    <x v="0"/>
    <s v="Valid"/>
    <n v="3242.1099999999997"/>
    <n v="0.38197150933241847"/>
    <x v="11"/>
    <x v="1"/>
    <s v="Clean"/>
  </r>
  <r>
    <s v="ORD-2024-10856"/>
    <s v="25-07-2024"/>
    <d v="2024-07-25T00:00:00"/>
    <s v="02 Aug 2024"/>
    <d v="2024-08-02T00:00:00"/>
    <s v="Valid"/>
    <n v="8"/>
    <s v="Valid"/>
    <s v="CUST-2752"/>
    <s v="Rahul Verma"/>
    <s v="Rahul Verma"/>
    <s v="Consumer"/>
    <x v="0"/>
    <s v="North"/>
    <x v="0"/>
    <s v="Rajasthan"/>
    <s v="Jaipur"/>
    <s v="Office Supplies"/>
    <x v="0"/>
    <x v="7"/>
    <s v="Classic Labels 215"/>
    <s v="Second Class"/>
    <x v="0"/>
    <n v="2"/>
    <n v="2073.5300000000002"/>
    <n v="0.25"/>
    <n v="0.25"/>
    <n v="3110.2950000000001"/>
    <n v="3110.3"/>
    <n v="2101.0300000000002"/>
    <n v="1009.27"/>
    <s v="Paid"/>
    <s v="Completed"/>
    <x v="0"/>
    <s v="Valid"/>
    <n v="1009.27"/>
    <n v="0.32449333584113405"/>
    <x v="0"/>
    <x v="0"/>
    <s v="Clean"/>
  </r>
  <r>
    <s v="ORD-2024-10857"/>
    <s v="2024-06-12"/>
    <d v="2024-06-12T00:00:00"/>
    <s v="19 Jun 2024"/>
    <d v="2024-06-19T00:00:00"/>
    <s v="Valid"/>
    <n v="7"/>
    <s v="Valid"/>
    <s v="CUST-5647"/>
    <s v="Rohan Mehta"/>
    <s v="Rohan Mehta"/>
    <s v="Home Office"/>
    <x v="3"/>
    <s v="South"/>
    <x v="2"/>
    <s v="Tamil Nadu"/>
    <s v="Chennai"/>
    <s v="Office Supplies"/>
    <x v="0"/>
    <x v="8"/>
    <s v="Classic Storage 918"/>
    <s v="Standard Class"/>
    <x v="3"/>
    <n v="4"/>
    <n v="395.1"/>
    <n v="-0.16"/>
    <n v="-0.16"/>
    <n v="1833.2639999999999"/>
    <n v="1185.3"/>
    <n v="966.55"/>
    <n v="218.75"/>
    <s v="Failed"/>
    <s v="Cancelled"/>
    <x v="1"/>
    <s v="Invalid - Negative Discount"/>
    <n v="218.75"/>
    <n v="0.11932269438553313"/>
    <x v="2"/>
    <x v="0"/>
    <s v="Clean"/>
  </r>
  <r>
    <s v="ORD-2024-10858"/>
    <s v="04 Jun 2024"/>
    <d v="2024-06-04T00:00:00"/>
    <s v="04-06-2024"/>
    <d v="2024-06-04T00:00:00"/>
    <s v="Valid"/>
    <n v="0"/>
    <s v="Valid"/>
    <s v="CUST-8575"/>
    <s v="Sneha Kapoor"/>
    <s v="Sneha Kapoor"/>
    <s v="Home Office"/>
    <x v="3"/>
    <s v="South"/>
    <x v="2"/>
    <s v="Kerala"/>
    <s v="Kochi"/>
    <s v="Office Supplies"/>
    <x v="0"/>
    <x v="8"/>
    <s v="Max Storage 223"/>
    <s v="First Class"/>
    <x v="2"/>
    <n v="6"/>
    <n v="2708.97"/>
    <n v="0.25"/>
    <n v="0.25"/>
    <n v="12190.365"/>
    <n v="12190.36"/>
    <n v="10176.99"/>
    <n v="2013.37"/>
    <s v="Paid"/>
    <s v="Completed"/>
    <x v="0"/>
    <s v="Valid"/>
    <n v="2013.3700000000008"/>
    <n v="0.1651607642593147"/>
    <x v="2"/>
    <x v="0"/>
    <s v="Clean"/>
  </r>
  <r>
    <s v="ORD-2024-10859"/>
    <s v="05/02/2024"/>
    <d v="2024-05-02T00:00:00"/>
    <s v="09 May 2024"/>
    <d v="2024-05-09T00:00:00"/>
    <s v="Valid"/>
    <n v="7"/>
    <s v="Valid"/>
    <s v="CUST-9576"/>
    <s v="Arjun Bose"/>
    <s v="Arjun Bose"/>
    <s v="Consumer"/>
    <x v="0"/>
    <s v="East"/>
    <x v="1"/>
    <s v="Odisha"/>
    <s v="Bhubaneswar"/>
    <s v="Technology"/>
    <x v="2"/>
    <x v="5"/>
    <s v="Basic Accessories 602"/>
    <s v="Second Class"/>
    <x v="0"/>
    <n v="4"/>
    <n v="2904.86"/>
    <n v="0"/>
    <n v="0"/>
    <n v="11619.44"/>
    <n v="11619.44"/>
    <n v="7184.32"/>
    <n v="4494.6400000000003"/>
    <s v="Paid"/>
    <s v="Completed"/>
    <x v="0"/>
    <s v="Valid"/>
    <n v="4435.1200000000008"/>
    <n v="0.3816982574031107"/>
    <x v="4"/>
    <x v="0"/>
    <s v="Clean"/>
  </r>
  <r>
    <s v="ORD-2024-10860"/>
    <s v="10/27/2024"/>
    <d v="2024-10-27T00:00:00"/>
    <s v="2024-11-01"/>
    <d v="2024-11-01T00:00:00"/>
    <s v="Valid"/>
    <n v="5"/>
    <s v="Valid"/>
    <s v="CUST-2395"/>
    <s v="Aditi Sen"/>
    <s v="Aditi Sen"/>
    <s v="Corporate"/>
    <x v="2"/>
    <s v="South"/>
    <x v="2"/>
    <s v="Tamil Nadu"/>
    <s v="Chennai"/>
    <s v="Technology"/>
    <x v="2"/>
    <x v="11"/>
    <s v="Elite Phones 394"/>
    <s v="Standard Class"/>
    <x v="3"/>
    <n v="6"/>
    <n v="4399.2"/>
    <n v="0.05"/>
    <n v="0.05"/>
    <n v="25075.439999999995"/>
    <n v="25075.439999999999"/>
    <n v="16282.74"/>
    <n v="8792.7000000000007"/>
    <s v="Paid"/>
    <s v="Completed"/>
    <x v="0"/>
    <s v="Valid"/>
    <n v="8792.6999999999989"/>
    <n v="0.35064987892535487"/>
    <x v="9"/>
    <x v="0"/>
    <s v="Clean"/>
  </r>
  <r>
    <s v="ORD-2024-10861"/>
    <s v="02 Feb 2024"/>
    <d v="2024-02-02T00:00:00"/>
    <s v="04 Feb 2024"/>
    <d v="2024-02-04T00:00:00"/>
    <s v="Valid"/>
    <n v="2"/>
    <s v="Valid"/>
    <s v="CUST-8941"/>
    <s v="Vikram Iyer"/>
    <s v="Vikram Iyer"/>
    <s v="Home Office"/>
    <x v="3"/>
    <s v="North"/>
    <x v="0"/>
    <s v="Uttar Pradesh"/>
    <s v="Noida"/>
    <s v="Office Supplies"/>
    <x v="0"/>
    <x v="8"/>
    <s v="Classic Storage 194"/>
    <s v="Second Class"/>
    <x v="0"/>
    <n v="1"/>
    <n v="4397.32"/>
    <n v="0.05"/>
    <n v="0.05"/>
    <n v="4177.4539999999997"/>
    <n v="4177.45"/>
    <n v="2299.5"/>
    <n v="1877.95"/>
    <s v="Paid"/>
    <s v="Completed"/>
    <x v="0"/>
    <s v="Valid"/>
    <n v="1877.9499999999998"/>
    <n v="0.44954414818212241"/>
    <x v="6"/>
    <x v="0"/>
    <s v="Clean"/>
  </r>
  <r>
    <s v="ORD-2025-10862"/>
    <s v="2025-03-08"/>
    <d v="2025-03-08T00:00:00"/>
    <s v="2025-03-09"/>
    <d v="2025-03-09T00:00:00"/>
    <s v="Valid"/>
    <n v="1"/>
    <s v="Valid"/>
    <s v="CUST-9448"/>
    <s v="Priya Menon"/>
    <s v="Priya Menon"/>
    <s v="Home Office"/>
    <x v="3"/>
    <s v="North"/>
    <x v="0"/>
    <s v="Delhi"/>
    <s v="New Delhi"/>
    <s v="Furniture"/>
    <x v="1"/>
    <x v="3"/>
    <s v="Smart Furnishings 892"/>
    <s v="Same Day"/>
    <x v="1"/>
    <n v="4"/>
    <n v="3405.68"/>
    <n v="0.2"/>
    <n v="0.2"/>
    <n v="10898.175999999999"/>
    <n v="10898.18"/>
    <n v="6231.41"/>
    <n v="4666.7700000000004"/>
    <s v="Paid"/>
    <s v="Completed"/>
    <x v="0"/>
    <s v="Valid"/>
    <n v="4666.7700000000004"/>
    <n v="0.42821569407577936"/>
    <x v="11"/>
    <x v="1"/>
    <s v="Clean"/>
  </r>
  <r>
    <s v="ORD-2025-10863"/>
    <s v="2025-03-26"/>
    <d v="2025-03-26T00:00:00"/>
    <s v="31-03-2025"/>
    <d v="2025-03-31T00:00:00"/>
    <s v="Valid"/>
    <n v="5"/>
    <s v="Valid"/>
    <s v="CUST-8354"/>
    <s v="Priya Menon"/>
    <s v="Priya Menon"/>
    <s v="Small Business"/>
    <x v="1"/>
    <s v="East"/>
    <x v="1"/>
    <s v="Jharkhand"/>
    <s v="Ranchi"/>
    <s v="Office Supplies"/>
    <x v="0"/>
    <x v="9"/>
    <s v="Pro Binders 488"/>
    <s v="First Class"/>
    <x v="2"/>
    <n v="5"/>
    <n v="1395.14"/>
    <n v="0"/>
    <n v="0"/>
    <n v="6975.7000000000007"/>
    <n v="6975.7"/>
    <n v="4797.88"/>
    <n v="2177.8200000000002"/>
    <s v="Paid"/>
    <s v="Cancelled"/>
    <x v="1"/>
    <s v="Valid"/>
    <n v="2177.8199999999997"/>
    <n v="0.31220092607193534"/>
    <x v="11"/>
    <x v="1"/>
    <s v="Clean"/>
  </r>
  <r>
    <s v="ORD-2025-10864"/>
    <s v="09/06/2025"/>
    <d v="2025-09-06T00:00:00"/>
    <s v="09/08/2025"/>
    <d v="2025-09-08T00:00:00"/>
    <s v="Valid"/>
    <n v="2"/>
    <s v="Valid"/>
    <s v="CUST-2200"/>
    <s v="Aarav Sharma"/>
    <s v="Aarav Sharma"/>
    <s v="Home Office"/>
    <x v="3"/>
    <s v="West"/>
    <x v="3"/>
    <s v="Madhya Pradesh"/>
    <s v="Indore"/>
    <s v="Furniture"/>
    <x v="1"/>
    <x v="3"/>
    <s v="Prime Furnishings 679"/>
    <s v="Same Day"/>
    <x v="1"/>
    <n v="3"/>
    <n v="2937.23"/>
    <n v="0"/>
    <n v="0"/>
    <n v="8811.69"/>
    <n v="8811.69"/>
    <n v="6765.91"/>
    <n v="2045.78"/>
    <s v="Paid"/>
    <s v="Completed"/>
    <x v="0"/>
    <s v="Valid"/>
    <n v="2045.7800000000007"/>
    <n v="0.23216658779416893"/>
    <x v="7"/>
    <x v="1"/>
    <s v="Clean"/>
  </r>
  <r>
    <s v="ORD-2025-10865"/>
    <s v="02 Sep 2025"/>
    <d v="2025-09-02T00:00:00"/>
    <s v="05-09-2025"/>
    <d v="2025-09-05T00:00:00"/>
    <s v="Valid"/>
    <n v="3"/>
    <s v="Valid"/>
    <s v="CUST-1178"/>
    <s v="Vikram Iyer"/>
    <s v="Vikram Iyer"/>
    <s v="Consumer"/>
    <x v="0"/>
    <s v="South"/>
    <x v="2"/>
    <s v="Tamil Nadu"/>
    <s v="Chennai"/>
    <s v="Technology"/>
    <x v="2"/>
    <x v="11"/>
    <s v="Smart Phones 158"/>
    <s v="First Class"/>
    <x v="2"/>
    <n v="5"/>
    <n v="3406.87"/>
    <n v="0"/>
    <n v="0"/>
    <n v="17034.349999999999"/>
    <n v="17034.349999999999"/>
    <n v="14631.36"/>
    <n v="2402.9899999999998"/>
    <s v="Paid"/>
    <s v="Completed"/>
    <x v="0"/>
    <s v="Valid"/>
    <n v="2402.989999999998"/>
    <n v="0.14106731398615141"/>
    <x v="7"/>
    <x v="1"/>
    <s v="Clean"/>
  </r>
  <r>
    <s v="ORD-2025-10866"/>
    <s v="06-02-2025"/>
    <d v="2025-02-06T00:00:00"/>
    <s v="14-02-2025"/>
    <d v="2025-02-14T00:00:00"/>
    <s v="Valid"/>
    <n v="8"/>
    <s v="Valid"/>
    <s v="CUST-8099"/>
    <s v="Kabir Singh"/>
    <s v="Kabir Singh"/>
    <s v="Consumer"/>
    <x v="0"/>
    <s v="West"/>
    <x v="3"/>
    <s v="Maharashtra"/>
    <s v="Mumbai"/>
    <s v="Office Supplies"/>
    <x v="0"/>
    <x v="7"/>
    <s v="Classic Labels 218"/>
    <s v="Second Class"/>
    <x v="0"/>
    <n v="2"/>
    <n v="3992.04"/>
    <n v="0"/>
    <n v="0"/>
    <n v="7984.08"/>
    <n v="7984.08"/>
    <n v="5658.05"/>
    <n v="2326.0300000000002"/>
    <s v="Paid"/>
    <s v="Completed"/>
    <x v="0"/>
    <s v="Valid"/>
    <n v="2326.0299999999997"/>
    <n v="0.29133350367230787"/>
    <x v="6"/>
    <x v="1"/>
    <s v="Clean"/>
  </r>
  <r>
    <s v="ORD-2025-10867"/>
    <s v="02/26/2025"/>
    <d v="2025-02-26T00:00:00"/>
    <s v="2025-03-06"/>
    <d v="2025-03-06T00:00:00"/>
    <s v="Valid"/>
    <n v="8"/>
    <s v="Valid"/>
    <s v="CUST-7596"/>
    <s v="Priya Menon"/>
    <s v="Priya Menon"/>
    <s v="Consumer"/>
    <x v="0"/>
    <s v="East"/>
    <x v="1"/>
    <s v="Bihar"/>
    <s v="Patna"/>
    <s v="Furniture"/>
    <x v="1"/>
    <x v="10"/>
    <s v="Smart Bookcases 552"/>
    <s v="First Class"/>
    <x v="2"/>
    <n v="9"/>
    <n v="3043.37"/>
    <n v="0.2"/>
    <n v="0.2"/>
    <n v="21912.263999999999"/>
    <n v="21912.26"/>
    <n v="16367.78"/>
    <n v="5544.48"/>
    <s v="Pending"/>
    <s v="Cancelled"/>
    <x v="1"/>
    <s v="Valid"/>
    <n v="5544.4799999999977"/>
    <n v="0.25303090543268364"/>
    <x v="6"/>
    <x v="1"/>
    <s v="Clean"/>
  </r>
  <r>
    <s v="ORD-2024-10868"/>
    <s v="21 Nov 2024"/>
    <d v="2024-11-21T00:00:00"/>
    <s v="22 Nov 2024"/>
    <d v="2024-11-22T00:00:00"/>
    <s v="Valid"/>
    <n v="1"/>
    <s v="Valid"/>
    <s v="CUST-2328"/>
    <s v="Rahul Verma"/>
    <s v="Rahul Verma"/>
    <s v="Home Office"/>
    <x v="3"/>
    <s v="South"/>
    <x v="2"/>
    <s v="Andhra Pradesh"/>
    <s v="Vijayawada"/>
    <s v="Technology"/>
    <x v="2"/>
    <x v="5"/>
    <s v="Eco Accessories 389"/>
    <s v="Same Day"/>
    <x v="1"/>
    <n v="6"/>
    <n v="1043.49"/>
    <n v="0.25"/>
    <n v="0.25"/>
    <n v="4695.7049999999999"/>
    <n v="4695.7"/>
    <n v="3871.69"/>
    <n v="824.01"/>
    <s v="Failed"/>
    <s v="Cancelled"/>
    <x v="1"/>
    <s v="Valid"/>
    <n v="824.00999999999976"/>
    <n v="0.17548163694269545"/>
    <x v="3"/>
    <x v="0"/>
    <s v="Clean"/>
  </r>
  <r>
    <s v="ORD-2025-10869"/>
    <s v="11-04-2025"/>
    <d v="2025-04-11T00:00:00"/>
    <s v="2025-04-15"/>
    <d v="2025-04-15T00:00:00"/>
    <s v="Valid"/>
    <n v="4"/>
    <s v="Valid"/>
    <s v="CUST-8483"/>
    <s v="Vikram Iyer"/>
    <s v="Vikram Iyer"/>
    <s v="Home Office"/>
    <x v="3"/>
    <s v="South"/>
    <x v="2"/>
    <s v="Karnataka"/>
    <s v="Bengaluru"/>
    <s v="Office Supplies"/>
    <x v="0"/>
    <x v="8"/>
    <s v="Elite Storage 187"/>
    <s v="Same Day"/>
    <x v="1"/>
    <n v="9"/>
    <n v="224.94"/>
    <n v="0.05"/>
    <n v="0.05"/>
    <n v="1923.2369999999999"/>
    <n v="1923.24"/>
    <n v="1093.6600000000001"/>
    <n v="829.58"/>
    <s v="Paid"/>
    <s v="Completed"/>
    <x v="0"/>
    <s v="Valid"/>
    <n v="829.57999999999993"/>
    <n v="0.43134569478436613"/>
    <x v="5"/>
    <x v="1"/>
    <s v="Clean"/>
  </r>
  <r>
    <s v="ORD-2025-10870"/>
    <s v="03/06/2025"/>
    <d v="2025-03-06T00:00:00"/>
    <s v="07-03-2025"/>
    <d v="2025-03-07T00:00:00"/>
    <s v="Valid"/>
    <n v="1"/>
    <s v="Valid"/>
    <s v="CUST-2388"/>
    <s v="Rohan Mehta"/>
    <s v="Rohan Mehta"/>
    <s v="Home Office"/>
    <x v="3"/>
    <m/>
    <x v="4"/>
    <s v="Delhi"/>
    <s v="New Delhi"/>
    <s v="Furniture"/>
    <x v="1"/>
    <x v="4"/>
    <s v="Max Chairs 487"/>
    <s v="Same Day"/>
    <x v="1"/>
    <n v="6"/>
    <n v="796.65"/>
    <n v="0.1"/>
    <n v="0.1"/>
    <n v="4301.91"/>
    <n v="4301.91"/>
    <n v="2374.4"/>
    <n v="1927.51"/>
    <s v="Paid"/>
    <s v="Completed"/>
    <x v="0"/>
    <s v="Valid"/>
    <n v="1927.5099999999998"/>
    <n v="0.44805911792668834"/>
    <x v="11"/>
    <x v="1"/>
    <s v="Clean"/>
  </r>
  <r>
    <s v="ORD-2025-10871"/>
    <s v="06 Jun 2025"/>
    <d v="2025-06-06T00:00:00"/>
    <s v="07 Jun 2025"/>
    <d v="2025-06-07T00:00:00"/>
    <s v="Valid"/>
    <n v="1"/>
    <s v="Valid"/>
    <s v="CUST-7054"/>
    <s v="Vikram Iyer"/>
    <s v="Vikram Iyer"/>
    <s v="Corporate"/>
    <x v="2"/>
    <s v="West"/>
    <x v="3"/>
    <s v="Goa"/>
    <s v="Panaji"/>
    <s v="Furniture"/>
    <x v="1"/>
    <x v="1"/>
    <s v="Max Tables 281"/>
    <s v="Standard Class"/>
    <x v="3"/>
    <n v="9"/>
    <n v="2932.92"/>
    <n v="0.15"/>
    <n v="0.15"/>
    <n v="22436.838"/>
    <n v="22436.84"/>
    <n v="17454.669999999998"/>
    <n v="4982.17"/>
    <s v="Paid"/>
    <s v="Cancelled"/>
    <x v="1"/>
    <s v="Valid"/>
    <n v="4982.1700000000019"/>
    <n v="0.22205312531115132"/>
    <x v="2"/>
    <x v="1"/>
    <s v="Clean"/>
  </r>
  <r>
    <s v="ORD-2024-10872"/>
    <s v="02/20/2024"/>
    <d v="2024-02-20T00:00:00"/>
    <s v="2024-02-22"/>
    <d v="2024-02-22T00:00:00"/>
    <s v="Valid"/>
    <n v="2"/>
    <s v="Valid"/>
    <s v="CUST-4375"/>
    <s v="Neha Gupta"/>
    <s v="Neha Gupta"/>
    <s v="Small Business"/>
    <x v="1"/>
    <s v="South"/>
    <x v="2"/>
    <s v="Telangana"/>
    <s v="Hyderabad"/>
    <s v="Technology"/>
    <x v="2"/>
    <x v="5"/>
    <s v="Pro Accessories 325"/>
    <s v="First Class"/>
    <x v="2"/>
    <n v="9"/>
    <n v="2186.23"/>
    <n v="0"/>
    <n v="0"/>
    <n v="19676.07"/>
    <n v="19676.07"/>
    <n v="12458.62"/>
    <n v="7217.45"/>
    <s v="Refunded"/>
    <s v="Cancelled"/>
    <x v="1"/>
    <s v="Valid"/>
    <n v="7217.4499999999989"/>
    <n v="0.36681359641432454"/>
    <x v="6"/>
    <x v="0"/>
    <s v="Clean"/>
  </r>
  <r>
    <s v="ORD-2024-10873"/>
    <s v="11/01/2024"/>
    <d v="2024-11-01T00:00:00"/>
    <s v="02 Nov 2024"/>
    <d v="2024-11-02T00:00:00"/>
    <s v="Valid"/>
    <n v="1"/>
    <s v="Valid"/>
    <s v="CUST-6262"/>
    <s v="Karan Malhotra"/>
    <s v="Karan Malhotra"/>
    <s v="Corporate"/>
    <x v="2"/>
    <s v="East"/>
    <x v="1"/>
    <s v="West Bengal"/>
    <s v="Kolkata"/>
    <s v="Furniture"/>
    <x v="1"/>
    <x v="3"/>
    <s v="Prime Furnishings 178"/>
    <s v="Standard Class"/>
    <x v="3"/>
    <n v="5"/>
    <n v="2212.02"/>
    <n v="0.2"/>
    <n v="0.2"/>
    <n v="8848.08"/>
    <n v="8848.08"/>
    <n v="5691.56"/>
    <n v="3156.52"/>
    <s v="Paid"/>
    <s v="Completed"/>
    <x v="0"/>
    <s v="Valid"/>
    <n v="3156.5199999999995"/>
    <n v="0.35674632236598219"/>
    <x v="3"/>
    <x v="0"/>
    <s v="Clean"/>
  </r>
  <r>
    <s v="ORD-2025-10874"/>
    <s v="01 Feb 2025"/>
    <d v="2025-02-01T00:00:00"/>
    <s v="08-02-2025"/>
    <d v="2025-02-08T00:00:00"/>
    <s v="Valid"/>
    <n v="7"/>
    <s v="Valid"/>
    <s v="CUST-8160"/>
    <s v="Aditi Sen"/>
    <s v="Aditi Sen"/>
    <s v="Home Office"/>
    <x v="3"/>
    <s v="West"/>
    <x v="3"/>
    <s v="Gujarat"/>
    <s v="Ahmedabad"/>
    <s v="Office Supplies"/>
    <x v="0"/>
    <x v="8"/>
    <s v="Elite Storage 144"/>
    <s v="Second Class"/>
    <x v="0"/>
    <n v="8"/>
    <n v="623.30999999999995"/>
    <n v="0.1"/>
    <n v="0.1"/>
    <n v="4487.8319999999994"/>
    <n v="4487.83"/>
    <n v="2633.78"/>
    <n v="1854.05"/>
    <s v="Paid"/>
    <s v="Completed"/>
    <x v="0"/>
    <s v="Valid"/>
    <n v="1854.0499999999997"/>
    <n v="0.41312820979038428"/>
    <x v="6"/>
    <x v="1"/>
    <s v="Clean"/>
  </r>
  <r>
    <s v="ORD-2025-10875"/>
    <s v="15 Jul 2025"/>
    <d v="2025-07-15T00:00:00"/>
    <s v="16 Jul 2025"/>
    <d v="2025-07-16T00:00:00"/>
    <s v="Valid"/>
    <n v="1"/>
    <s v="Valid"/>
    <s v="CUST-8770"/>
    <s v="Vikram Iyer"/>
    <s v="Vikram Iyer"/>
    <s v="Small Business"/>
    <x v="1"/>
    <s v="West"/>
    <x v="3"/>
    <s v="Maharashtra"/>
    <s v="Mumbai"/>
    <s v="Office Supplies"/>
    <x v="0"/>
    <x v="0"/>
    <s v="Elite Paper 309"/>
    <s v="Standard Class"/>
    <x v="3"/>
    <n v="8"/>
    <n v="3924.88"/>
    <n v="0.05"/>
    <n v="0.05"/>
    <n v="29829.088"/>
    <n v="29829.09"/>
    <n v="20710.18"/>
    <n v="9118.91"/>
    <s v="Paid"/>
    <s v="Completed"/>
    <x v="0"/>
    <s v="Valid"/>
    <n v="9118.91"/>
    <n v="0.30570529008463149"/>
    <x v="0"/>
    <x v="1"/>
    <s v="Clean"/>
  </r>
  <r>
    <s v="ORD-2024-10876"/>
    <s v="10 Aug 2024"/>
    <d v="2024-08-10T00:00:00"/>
    <s v="08/11/2024"/>
    <d v="2024-08-11T00:00:00"/>
    <s v="Valid"/>
    <n v="1"/>
    <s v="Valid"/>
    <s v="CUST-6928"/>
    <s v="Mira Das"/>
    <s v="Mira Das"/>
    <s v="Corporate"/>
    <x v="2"/>
    <s v="West"/>
    <x v="3"/>
    <s v="Maharashtra"/>
    <s v="Mumbai"/>
    <s v="Technology"/>
    <x v="2"/>
    <x v="6"/>
    <s v="Elite Copiers 752"/>
    <s v="First Class"/>
    <x v="2"/>
    <n v="7"/>
    <n v="3852.62"/>
    <n v="0.2"/>
    <n v="0.2"/>
    <n v="21574.672000000002"/>
    <n v="21574.67"/>
    <n v="14672.83"/>
    <n v="6901.84"/>
    <s v="Paid"/>
    <s v="Completed"/>
    <x v="0"/>
    <s v="Valid"/>
    <n v="6901.8399999999983"/>
    <n v="0.31990474756696174"/>
    <x v="1"/>
    <x v="0"/>
    <s v="Clean"/>
  </r>
  <r>
    <s v="ORD-2024-10877"/>
    <s v="11/18/2024"/>
    <d v="2024-11-18T00:00:00"/>
    <s v="20-11-2024"/>
    <d v="2024-11-20T00:00:00"/>
    <s v="Valid"/>
    <n v="2"/>
    <s v="Valid"/>
    <s v="CUST-9044"/>
    <s v="Priya Menon"/>
    <s v="Priya Menon"/>
    <s v="Consumer"/>
    <x v="0"/>
    <s v="West"/>
    <x v="3"/>
    <s v="Rajasthan"/>
    <s v="Udaipur"/>
    <s v="Furniture"/>
    <x v="1"/>
    <x v="4"/>
    <s v="Pro Chairs 316"/>
    <s v="First Class"/>
    <x v="2"/>
    <n v="6"/>
    <n v="3790.22"/>
    <n v="0"/>
    <n v="0"/>
    <n v="22741.32"/>
    <n v="22741.32"/>
    <n v="16388.57"/>
    <n v="6352.75"/>
    <s v="Paid"/>
    <s v="Completed"/>
    <x v="0"/>
    <s v="Valid"/>
    <n v="6352.75"/>
    <n v="0.27934834037777928"/>
    <x v="3"/>
    <x v="0"/>
    <s v="Clean"/>
  </r>
  <r>
    <s v="ORD-2025-10878"/>
    <s v="26-08-2025"/>
    <d v="2025-08-26T00:00:00"/>
    <s v="2025-09-03"/>
    <d v="2025-09-03T00:00:00"/>
    <s v="Valid"/>
    <n v="8"/>
    <s v="Valid"/>
    <s v="CUST-7146"/>
    <s v="Aarav Sharma"/>
    <s v="Aarav Sharma"/>
    <s v="Consumer"/>
    <x v="0"/>
    <s v="West"/>
    <x v="3"/>
    <s v="Rajasthan"/>
    <s v="Udaipur"/>
    <s v="Office Supplies"/>
    <x v="0"/>
    <x v="8"/>
    <s v="Max Storage 438"/>
    <s v="Second Class"/>
    <x v="0"/>
    <n v="6"/>
    <n v="674.36"/>
    <n v="0.1"/>
    <n v="0.1"/>
    <n v="3641.5439999999999"/>
    <n v="3641.54"/>
    <n v="2690.37"/>
    <n v="951.17"/>
    <s v="Paid"/>
    <s v="Completed"/>
    <x v="0"/>
    <s v="Valid"/>
    <n v="951.17000000000007"/>
    <n v="0.26119964498575332"/>
    <x v="1"/>
    <x v="1"/>
    <s v="Clean"/>
  </r>
  <r>
    <s v="ORD-2024-10879"/>
    <s v="2024-01-22"/>
    <d v="2024-01-22T00:00:00"/>
    <s v="2024-01-22"/>
    <d v="2024-01-22T00:00:00"/>
    <s v="Valid"/>
    <n v="0"/>
    <s v="Valid"/>
    <s v="CUST-8534"/>
    <s v="Karan Malhotra"/>
    <s v="Karan Malhotra"/>
    <s v="Corporate"/>
    <x v="2"/>
    <s v="East"/>
    <x v="1"/>
    <s v="West Bengal"/>
    <s v="Kolkata"/>
    <s v="Office Supplies"/>
    <x v="0"/>
    <x v="0"/>
    <s v="Basic Paper 904"/>
    <s v="First Class"/>
    <x v="2"/>
    <n v="8"/>
    <n v="1557.21"/>
    <n v="0.05"/>
    <n v="0.05"/>
    <n v="11834.796"/>
    <n v="11834.8"/>
    <n v="9322.36"/>
    <n v="2512.44"/>
    <s v="Paid"/>
    <s v="Completed"/>
    <x v="0"/>
    <s v="Valid"/>
    <n v="2512.4399999999987"/>
    <n v="0.21229263267402315"/>
    <x v="10"/>
    <x v="0"/>
    <s v="Clean"/>
  </r>
  <r>
    <s v="ORD-2025-10880"/>
    <s v="2025-08-27"/>
    <d v="2025-08-27T00:00:00"/>
    <s v="08/28/2025"/>
    <d v="2025-08-28T00:00:00"/>
    <s v="Valid"/>
    <n v="1"/>
    <s v="Valid"/>
    <s v="CUST-4486"/>
    <s v="Ananya Rao"/>
    <s v="Ananya Rao"/>
    <s v="Home Office"/>
    <x v="3"/>
    <s v="North"/>
    <x v="0"/>
    <s v="Uttar Pradesh"/>
    <s v="Noida"/>
    <s v="Office Supplies"/>
    <x v="0"/>
    <x v="2"/>
    <s v="Smart Art 990"/>
    <s v="Standard Class"/>
    <x v="3"/>
    <n v="6"/>
    <n v="1182.03"/>
    <n v="0.15"/>
    <n v="0.15"/>
    <n v="6028.3530000000001"/>
    <n v="6028.35"/>
    <n v="4433.63"/>
    <n v="1594.72"/>
    <s v="Paid"/>
    <s v="Completed"/>
    <x v="0"/>
    <s v="Valid"/>
    <n v="1594.7200000000003"/>
    <n v="0.26453659896824228"/>
    <x v="1"/>
    <x v="1"/>
    <s v="Clean"/>
  </r>
  <r>
    <s v="ORD-2024-10881"/>
    <s v="08-03-2024"/>
    <d v="2024-03-08T00:00:00"/>
    <s v="03/15/2024"/>
    <d v="2024-03-15T00:00:00"/>
    <s v="Valid"/>
    <n v="7"/>
    <s v="Valid"/>
    <s v="CUST-5287"/>
    <s v="Aarav Sharma"/>
    <s v="Aarav Sharma"/>
    <s v="Small Business"/>
    <x v="1"/>
    <m/>
    <x v="4"/>
    <s v="Punjab"/>
    <s v="Ludhiana"/>
    <s v="Furniture"/>
    <x v="1"/>
    <x v="4"/>
    <s v="Basic Chairs 327"/>
    <s v="First Class"/>
    <x v="2"/>
    <n v="5"/>
    <n v="3234.77"/>
    <n v="0"/>
    <n v="0"/>
    <n v="16173.85"/>
    <n v="16173.85"/>
    <n v="13636.34"/>
    <n v="2537.5100000000002"/>
    <s v="Paid"/>
    <s v="Completed"/>
    <x v="0"/>
    <s v="Valid"/>
    <n v="2537.5100000000002"/>
    <n v="0.15688967067210344"/>
    <x v="11"/>
    <x v="0"/>
    <s v="Clean"/>
  </r>
  <r>
    <s v="ORD-2024-10882"/>
    <s v="01 Dec 2024"/>
    <d v="2024-12-01T00:00:00"/>
    <s v="05-12-2024"/>
    <d v="2024-12-05T00:00:00"/>
    <s v="Valid"/>
    <n v="4"/>
    <s v="Valid"/>
    <s v="CUST-3445"/>
    <s v="Ananya Rao"/>
    <s v="Ananya Rao"/>
    <s v="Small Business"/>
    <x v="1"/>
    <s v="South"/>
    <x v="2"/>
    <s v="Andhra Pradesh"/>
    <s v="Vijayawada"/>
    <s v="Technology"/>
    <x v="2"/>
    <x v="6"/>
    <s v="Eco Copiers 987"/>
    <s v="Second Class"/>
    <x v="0"/>
    <n v="9"/>
    <n v="3726.75"/>
    <n v="0.25"/>
    <n v="0.25"/>
    <n v="25155.5625"/>
    <n v="25155.56"/>
    <n v="17592.689999999999"/>
    <n v="7562.87"/>
    <s v="Paid"/>
    <s v="Completed"/>
    <x v="0"/>
    <s v="Valid"/>
    <n v="7562.8700000000026"/>
    <n v="0.30064404244588061"/>
    <x v="8"/>
    <x v="0"/>
    <s v="Clean"/>
  </r>
  <r>
    <s v="ORD-2025-10883"/>
    <s v="02 Feb 2025"/>
    <d v="2025-02-02T00:00:00"/>
    <s v="02/10/2025"/>
    <d v="2025-02-10T00:00:00"/>
    <s v="Valid"/>
    <n v="8"/>
    <s v="Valid"/>
    <s v="CUST-4983"/>
    <s v="Sneha Kapoor"/>
    <s v="Sneha Kapoor"/>
    <s v="Corporate"/>
    <x v="2"/>
    <s v="East"/>
    <x v="1"/>
    <s v="Bihar"/>
    <s v="Patna"/>
    <s v="Technology"/>
    <x v="2"/>
    <x v="5"/>
    <s v="Basic Accessories 607"/>
    <s v="Standard Class"/>
    <x v="3"/>
    <n v="4"/>
    <n v="1912.45"/>
    <n v="0"/>
    <n v="0"/>
    <n v="7649.8"/>
    <n v="7649.8"/>
    <n v="4894.53"/>
    <n v="2755.27"/>
    <s v="Pending"/>
    <s v="Returned"/>
    <x v="2"/>
    <s v="Valid"/>
    <n v="2755.2700000000004"/>
    <n v="0.36017542942299152"/>
    <x v="6"/>
    <x v="1"/>
    <s v="Clean"/>
  </r>
  <r>
    <s v="ORD-2025-10884"/>
    <s v="28 Apr 2025"/>
    <d v="2025-04-28T00:00:00"/>
    <s v="05/01/2025"/>
    <d v="2025-05-01T00:00:00"/>
    <s v="Valid"/>
    <n v="3"/>
    <s v="Valid"/>
    <s v="CUST-2597"/>
    <s v="Aarav Sharma"/>
    <s v="Aarav Sharma"/>
    <s v="Small Business"/>
    <x v="1"/>
    <s v="West"/>
    <x v="3"/>
    <s v="Goa"/>
    <s v="Panaji"/>
    <s v="Office Supplies"/>
    <x v="0"/>
    <x v="8"/>
    <s v="Classic Storage 211"/>
    <s v="Same Day"/>
    <x v="1"/>
    <n v="1"/>
    <n v="1620.87"/>
    <n v="0"/>
    <n v="0"/>
    <n v="1620.87"/>
    <n v="1620.87"/>
    <n v="1103.6099999999999"/>
    <n v="517.26"/>
    <s v="Paid"/>
    <s v="Completed"/>
    <x v="0"/>
    <s v="Valid"/>
    <n v="517.26"/>
    <n v="0.31912491439782342"/>
    <x v="5"/>
    <x v="1"/>
    <s v="Clean"/>
  </r>
  <r>
    <s v="ORD-2025-10885"/>
    <s v="18-01-2025"/>
    <d v="2025-01-18T00:00:00"/>
    <s v="2025-01-25"/>
    <d v="2025-01-25T00:00:00"/>
    <s v="Valid"/>
    <n v="7"/>
    <s v="Valid"/>
    <s v="CUST-7505"/>
    <s v="Neha Gupta"/>
    <s v="Neha Gupta"/>
    <s v="Home Office"/>
    <x v="3"/>
    <s v="South"/>
    <x v="2"/>
    <s v="Karnataka"/>
    <s v="Bengaluru"/>
    <s v="Office Supplies"/>
    <x v="0"/>
    <x v="8"/>
    <s v="Eco Storage 783"/>
    <s v="Same Day"/>
    <x v="1"/>
    <n v="2"/>
    <n v="2098.54"/>
    <n v="0.15"/>
    <n v="0.15"/>
    <n v="3567.518"/>
    <n v="3567.52"/>
    <n v="2411.8000000000002"/>
    <n v="1155.72"/>
    <s v="Paid"/>
    <s v="Completed"/>
    <x v="0"/>
    <s v="Valid"/>
    <n v="1155.7199999999998"/>
    <n v="0.32395631921128354"/>
    <x v="10"/>
    <x v="1"/>
    <s v="Clean"/>
  </r>
  <r>
    <s v="ORD-2024-10886"/>
    <s v="2024-01-05"/>
    <d v="2024-01-05T00:00:00"/>
    <s v="2024-01-05"/>
    <d v="2024-01-05T00:00:00"/>
    <s v="Valid"/>
    <n v="0"/>
    <s v="Valid"/>
    <s v="CUST-3446"/>
    <s v="Diya Patel"/>
    <s v="Diya Patel"/>
    <s v="Consumer"/>
    <x v="0"/>
    <s v="North"/>
    <x v="0"/>
    <s v="Rajasthan"/>
    <s v="Jaipur"/>
    <s v="Furniture"/>
    <x v="1"/>
    <x v="1"/>
    <s v="Pro Tables 866"/>
    <s v="Standard Class"/>
    <x v="3"/>
    <n v="1"/>
    <n v="2167.08"/>
    <n v="0.25"/>
    <n v="0.25"/>
    <n v="1625.31"/>
    <n v="1625.31"/>
    <n v="1157.8900000000001"/>
    <n v="467.42"/>
    <s v="Paid"/>
    <s v="Completed"/>
    <x v="0"/>
    <s v="Valid"/>
    <n v="467.41999999999985"/>
    <n v="0.28758821394072509"/>
    <x v="10"/>
    <x v="0"/>
    <s v="Clean"/>
  </r>
  <r>
    <s v="ORD-2025-10887"/>
    <s v="26-04-2025"/>
    <d v="2025-04-26T00:00:00"/>
    <s v="03-05-2025"/>
    <d v="2025-05-03T00:00:00"/>
    <s v="Valid"/>
    <n v="7"/>
    <s v="Valid"/>
    <s v="CUST-3549"/>
    <s v="Arjun Bose"/>
    <s v="Arjun Bose"/>
    <s v="Home Office"/>
    <x v="3"/>
    <s v="South"/>
    <x v="2"/>
    <s v="Tamil Nadu"/>
    <s v="Chennai"/>
    <s v="Technology"/>
    <x v="2"/>
    <x v="5"/>
    <s v="Max Accessories 541"/>
    <s v="First Class"/>
    <x v="2"/>
    <n v="7"/>
    <n v="3989.9"/>
    <n v="0.15"/>
    <n v="0.15"/>
    <n v="23739.904999999999"/>
    <n v="23739.9"/>
    <n v="17716.52"/>
    <n v="6023.38"/>
    <s v="Paid"/>
    <s v="Cancelled"/>
    <x v="1"/>
    <s v="Valid"/>
    <n v="6023.380000000001"/>
    <n v="0.25372384598843178"/>
    <x v="5"/>
    <x v="1"/>
    <s v="Clean"/>
  </r>
  <r>
    <s v="ORD-2024-10888"/>
    <s v="2024-06-12"/>
    <d v="2024-06-12T00:00:00"/>
    <s v="2024-06-18"/>
    <d v="2024-06-18T00:00:00"/>
    <s v="Valid"/>
    <n v="6"/>
    <s v="Valid"/>
    <s v="CUST-2795"/>
    <s v="Aarav Sharma"/>
    <s v="Aarav Sharma"/>
    <s v="Small Business"/>
    <x v="1"/>
    <s v="South"/>
    <x v="2"/>
    <s v="Andhra Pradesh"/>
    <s v="Vijayawada"/>
    <s v="Office Supplies"/>
    <x v="0"/>
    <x v="2"/>
    <s v="Prime Art 596"/>
    <s v="Standard Class"/>
    <x v="3"/>
    <n v="4"/>
    <n v="4176.13"/>
    <n v="0"/>
    <n v="0"/>
    <n v="16704.52"/>
    <n v="16704.52"/>
    <n v="10158.280000000001"/>
    <n v="6546.24"/>
    <s v="Paid"/>
    <s v="Completed"/>
    <x v="0"/>
    <s v="Valid"/>
    <n v="6546.24"/>
    <n v="0.39188435225914897"/>
    <x v="2"/>
    <x v="0"/>
    <s v="Clean"/>
  </r>
  <r>
    <s v="ORD-2025-10889"/>
    <s v="06-08-2025"/>
    <d v="2025-08-06T00:00:00"/>
    <s v="07-08-2025"/>
    <d v="2025-08-07T00:00:00"/>
    <s v="Valid"/>
    <n v="1"/>
    <s v="Valid"/>
    <s v="CUST-1081"/>
    <s v="Rahul Verma"/>
    <s v="Rahul Verma"/>
    <s v="Small Business"/>
    <x v="1"/>
    <s v="West"/>
    <x v="3"/>
    <s v="Maharashtra"/>
    <s v="Mumbai"/>
    <s v="Office Supplies"/>
    <x v="0"/>
    <x v="2"/>
    <s v="Pro Art 620"/>
    <s v="Standard Class"/>
    <x v="3"/>
    <n v="4"/>
    <n v="3523.64"/>
    <n v="0.1"/>
    <n v="0.1"/>
    <n v="12685.103999999999"/>
    <n v="12685.1"/>
    <n v="10779.56"/>
    <n v="1905.54"/>
    <s v="Refunded"/>
    <s v="Cancelled"/>
    <x v="1"/>
    <s v="Valid"/>
    <n v="1905.5400000000009"/>
    <n v="0.15021871322458225"/>
    <x v="1"/>
    <x v="1"/>
    <s v="Clean"/>
  </r>
  <r>
    <s v="ORD-2025-10890"/>
    <s v="10 Mar 2025"/>
    <d v="2025-03-10T00:00:00"/>
    <s v="03/11/2025"/>
    <d v="2025-03-11T00:00:00"/>
    <s v="Valid"/>
    <n v="1"/>
    <s v="Valid"/>
    <s v="CUST-8467"/>
    <s v="Aditi Sen"/>
    <s v="Aditi Sen"/>
    <s v="Home Office"/>
    <x v="3"/>
    <s v="West"/>
    <x v="3"/>
    <s v="Madhya Pradesh"/>
    <s v="Indore"/>
    <s v="Office Supplies"/>
    <x v="0"/>
    <x v="8"/>
    <s v="Prime Storage 806"/>
    <s v="First Class"/>
    <x v="2"/>
    <n v="2"/>
    <n v="3922.08"/>
    <n v="0.25"/>
    <n v="0.25"/>
    <n v="5883.12"/>
    <n v="5883.12"/>
    <n v="4647.91"/>
    <n v="1235.21"/>
    <s v="Paid"/>
    <s v="Returned"/>
    <x v="2"/>
    <s v="Valid"/>
    <n v="1235.21"/>
    <n v="0.20995832143488491"/>
    <x v="11"/>
    <x v="1"/>
    <s v="Clean"/>
  </r>
  <r>
    <s v="ORD-2024-10891"/>
    <s v="15-05-2024"/>
    <d v="2024-05-15T00:00:00"/>
    <s v="21-05-2024"/>
    <d v="2024-05-21T00:00:00"/>
    <s v="Valid"/>
    <n v="6"/>
    <s v="Valid"/>
    <s v="CUST-3992"/>
    <s v="Karan Malhotra"/>
    <s v="Karan Malhotra"/>
    <s v="Consumer"/>
    <x v="0"/>
    <s v="West"/>
    <x v="3"/>
    <s v="Goa"/>
    <s v="Panaji"/>
    <s v="Office Supplies"/>
    <x v="0"/>
    <x v="8"/>
    <s v="Smart Storage 288"/>
    <s v="Standard Class"/>
    <x v="3"/>
    <n v="6"/>
    <n v="2909.56"/>
    <n v="0.2"/>
    <n v="0.2"/>
    <n v="13965.888000000001"/>
    <n v="13965.89"/>
    <n v="11646.12"/>
    <n v="2319.77"/>
    <s v="Paid"/>
    <s v="Completed"/>
    <x v="0"/>
    <s v="Valid"/>
    <n v="2319.7699999999986"/>
    <n v="0.16610257793847397"/>
    <x v="4"/>
    <x v="0"/>
    <s v="Clean"/>
  </r>
  <r>
    <s v="ORD-2024-10892"/>
    <s v="08 Oct 2024"/>
    <d v="2024-10-08T00:00:00"/>
    <s v="09-10-2024"/>
    <d v="2024-10-09T00:00:00"/>
    <s v="Valid"/>
    <n v="1"/>
    <s v="Valid"/>
    <s v="CUST-6647"/>
    <s v="Kabir Singh"/>
    <s v="Kabir Singh"/>
    <s v="Corporate"/>
    <x v="2"/>
    <s v="South"/>
    <x v="2"/>
    <s v="Tamil Nadu"/>
    <s v="Chennai"/>
    <s v="Technology"/>
    <x v="2"/>
    <x v="12"/>
    <s v="Elite Machines 281"/>
    <s v="Same Day"/>
    <x v="1"/>
    <n v="5"/>
    <n v="2407.9699999999998"/>
    <n v="0.1"/>
    <n v="0.1"/>
    <n v="10835.865"/>
    <n v="10835.86"/>
    <n v="6419.92"/>
    <n v="4415.9399999999996"/>
    <s v="Failed"/>
    <s v="Cancelled"/>
    <x v="1"/>
    <s v="Valid"/>
    <n v="4415.9400000000005"/>
    <n v="0.40752999414444535"/>
    <x v="9"/>
    <x v="0"/>
    <s v="Clean"/>
  </r>
  <r>
    <s v="ORD-2025-10893"/>
    <s v="04/12/2025"/>
    <d v="2025-04-12T00:00:00"/>
    <s v="04/18/2025"/>
    <d v="2025-04-18T00:00:00"/>
    <s v="Valid"/>
    <n v="6"/>
    <s v="Valid"/>
    <s v="CUST-5087"/>
    <s v="Isha Nair"/>
    <s v="Isha Nair"/>
    <s v="Small Business"/>
    <x v="1"/>
    <s v="East"/>
    <x v="1"/>
    <s v="Jharkhand"/>
    <s v="Ranchi"/>
    <s v="Technology"/>
    <x v="2"/>
    <x v="6"/>
    <s v="Elite Copiers 221"/>
    <s v="Same Day"/>
    <x v="1"/>
    <n v="1"/>
    <n v="726.89"/>
    <n v="0.2"/>
    <n v="0.2"/>
    <n v="581.51200000000006"/>
    <n v="581.51"/>
    <n v="423.86"/>
    <n v="157.65"/>
    <s v="Paid"/>
    <s v="Completed"/>
    <x v="0"/>
    <s v="Valid"/>
    <n v="157.64999999999998"/>
    <n v="0.27110360577253773"/>
    <x v="5"/>
    <x v="1"/>
    <s v="Clean"/>
  </r>
  <r>
    <s v="ORD-2024-10894"/>
    <s v="06 Jun 2024"/>
    <d v="2024-06-06T00:00:00"/>
    <s v="08 Jun 2024"/>
    <d v="2024-06-08T00:00:00"/>
    <s v="Valid"/>
    <n v="2"/>
    <s v="Valid"/>
    <s v="CUST-9297"/>
    <s v="Aarav Sharma"/>
    <s v="Aarav Sharma"/>
    <s v="Corporate"/>
    <x v="2"/>
    <s v="South"/>
    <x v="2"/>
    <s v="Karnataka"/>
    <s v="Bengaluru"/>
    <s v="Furniture"/>
    <x v="1"/>
    <x v="1"/>
    <s v="Max Tables 291"/>
    <s v="Second Class"/>
    <x v="0"/>
    <n v="3"/>
    <n v="395.49"/>
    <n v="0.05"/>
    <n v="0.05"/>
    <n v="1127.1465000000001"/>
    <n v="1127.1500000000001"/>
    <n v="845.62"/>
    <n v="281.52999999999997"/>
    <s v="Paid"/>
    <s v="Returned"/>
    <x v="2"/>
    <s v="Valid"/>
    <n v="281.53000000000009"/>
    <n v="0.2497723232960401"/>
    <x v="2"/>
    <x v="0"/>
    <s v="Clean"/>
  </r>
  <r>
    <s v="ORD-2024-10895"/>
    <s v="22 Feb 2024"/>
    <d v="2024-02-22T00:00:00"/>
    <s v="02/29/2024"/>
    <d v="2024-02-29T00:00:00"/>
    <s v="Valid"/>
    <n v="7"/>
    <s v="Valid"/>
    <s v="CUST-7996"/>
    <s v="Isha Nair"/>
    <s v="Isha Nair"/>
    <s v="Home Office"/>
    <x v="3"/>
    <s v="South"/>
    <x v="2"/>
    <s v="Telangana"/>
    <s v="Hyderabad"/>
    <s v="Furniture"/>
    <x v="1"/>
    <x v="1"/>
    <s v="Classic Tables 638"/>
    <s v="First Class"/>
    <x v="2"/>
    <n v="6"/>
    <n v="4254.05"/>
    <n v="0"/>
    <n v="0"/>
    <n v="25524.300000000003"/>
    <n v="25524.3"/>
    <n v="16711.93"/>
    <n v="8812.3700000000008"/>
    <s v="Paid"/>
    <s v="Completed"/>
    <x v="0"/>
    <s v="Valid"/>
    <n v="8812.369999999999"/>
    <n v="0.3452541303777184"/>
    <x v="6"/>
    <x v="0"/>
    <s v="Clean"/>
  </r>
  <r>
    <s v="ORD-2024-10896"/>
    <s v="05 Nov 2024"/>
    <d v="2024-11-05T00:00:00"/>
    <s v="11/10/2024"/>
    <d v="2024-11-10T00:00:00"/>
    <s v="Valid"/>
    <n v="5"/>
    <s v="Valid"/>
    <s v="CUST-4117"/>
    <s v="Arjun Bose"/>
    <s v="Arjun Bose"/>
    <s v="Consumer"/>
    <x v="0"/>
    <s v="South"/>
    <x v="2"/>
    <s v="Kerala"/>
    <s v="Kochi"/>
    <s v="Furniture"/>
    <x v="1"/>
    <x v="4"/>
    <s v="Basic Chairs 212"/>
    <s v="Same Day"/>
    <x v="1"/>
    <n v="4"/>
    <n v="711.18"/>
    <n v="0.15"/>
    <n v="0.15"/>
    <n v="2418.0119999999997"/>
    <n v="2418.0100000000002"/>
    <n v="1441.89"/>
    <n v="976.12"/>
    <s v="Pending"/>
    <s v="Returned"/>
    <x v="2"/>
    <s v="Valid"/>
    <n v="976.12000000000012"/>
    <n v="0.40368699576346201"/>
    <x v="3"/>
    <x v="0"/>
    <s v="Clean"/>
  </r>
  <r>
    <s v="ORD-2024-10897"/>
    <s v="12/24/2024"/>
    <d v="2024-12-24T00:00:00"/>
    <s v="25-12-2024"/>
    <d v="2024-12-25T00:00:00"/>
    <s v="Valid"/>
    <n v="1"/>
    <s v="Valid"/>
    <s v="CUST-4848"/>
    <s v="Ananya Rao"/>
    <s v="Ananya Rao"/>
    <s v="Small Business"/>
    <x v="1"/>
    <s v="South"/>
    <x v="2"/>
    <s v="Tamil Nadu"/>
    <s v="Chennai"/>
    <s v="Technology"/>
    <x v="2"/>
    <x v="6"/>
    <s v="Max Copiers 121"/>
    <s v="Second Class"/>
    <x v="0"/>
    <n v="1"/>
    <n v="3693.03"/>
    <n v="0.05"/>
    <n v="0.05"/>
    <n v="3508.3784999999998"/>
    <n v="3508.38"/>
    <n v="2828.06"/>
    <n v="680.32"/>
    <s v="Failed"/>
    <s v="Returned"/>
    <x v="2"/>
    <s v="Valid"/>
    <n v="680.32000000000016"/>
    <n v="0.19391294297351333"/>
    <x v="8"/>
    <x v="0"/>
    <s v="Clean"/>
  </r>
  <r>
    <s v="ORD-2025-10898"/>
    <s v="04/29/2025"/>
    <d v="2025-04-29T00:00:00"/>
    <s v="03 May 2025"/>
    <d v="2025-05-03T00:00:00"/>
    <s v="Valid"/>
    <n v="4"/>
    <s v="Valid"/>
    <s v="CUST-2897"/>
    <s v="Rohan Mehta"/>
    <s v="Rohan Mehta"/>
    <s v="Corporate"/>
    <x v="2"/>
    <s v="North"/>
    <x v="0"/>
    <s v="Haryana"/>
    <s v="Gurugram"/>
    <s v="Office Supplies"/>
    <x v="0"/>
    <x v="0"/>
    <s v="Eco Paper 747"/>
    <s v="First Class"/>
    <x v="2"/>
    <n v="4"/>
    <n v="1786.65"/>
    <n v="0.05"/>
    <n v="0.05"/>
    <n v="6789.27"/>
    <n v="6789.27"/>
    <n v="5626.43"/>
    <n v="1162.8399999999999"/>
    <s v="Paid"/>
    <s v="Completed"/>
    <x v="0"/>
    <s v="Valid"/>
    <n v="1162.8400000000001"/>
    <n v="0.17127614603631908"/>
    <x v="5"/>
    <x v="1"/>
    <s v="Clean"/>
  </r>
  <r>
    <s v="ORD-2024-10899"/>
    <s v="2024-06-02"/>
    <d v="2024-06-02T00:00:00"/>
    <s v="06/08/2024"/>
    <d v="2024-06-08T00:00:00"/>
    <s v="Valid"/>
    <n v="6"/>
    <s v="Valid"/>
    <s v="CUST-6046"/>
    <s v="Vikram Iyer"/>
    <s v="Vikram Iyer"/>
    <s v="Consumer"/>
    <x v="0"/>
    <s v="North"/>
    <x v="0"/>
    <s v="Delhi"/>
    <s v="New Delhi"/>
    <s v="Furniture"/>
    <x v="1"/>
    <x v="1"/>
    <s v="Classic Tables 535"/>
    <s v="First Class"/>
    <x v="2"/>
    <n v="4"/>
    <n v="1536.7"/>
    <n v="0.2"/>
    <n v="0.2"/>
    <n v="4917.4400000000005"/>
    <n v="4917.4399999999996"/>
    <n v="3846.77"/>
    <n v="1070.67"/>
    <s v="Paid"/>
    <s v="Completed"/>
    <x v="0"/>
    <s v="Valid"/>
    <n v="1070.6699999999996"/>
    <n v="0.21772914361944418"/>
    <x v="2"/>
    <x v="0"/>
    <s v="Clean"/>
  </r>
  <r>
    <s v="ORD-2025-10900"/>
    <s v="27 May 2025"/>
    <d v="2025-05-27T00:00:00"/>
    <s v="06/03/2025"/>
    <d v="2025-06-03T00:00:00"/>
    <s v="Valid"/>
    <n v="7"/>
    <s v="Valid"/>
    <s v="CUST-3789"/>
    <s v="Karan Malhotra"/>
    <s v="Karan Malhotra"/>
    <s v="Consumer"/>
    <x v="0"/>
    <s v="North"/>
    <x v="0"/>
    <s v="Punjab"/>
    <s v="Ludhiana"/>
    <s v="Furniture"/>
    <x v="1"/>
    <x v="4"/>
    <s v="Elite Chairs 971"/>
    <s v="First Class"/>
    <x v="2"/>
    <n v="5"/>
    <n v="881.08"/>
    <n v="0.25"/>
    <n v="0.25"/>
    <n v="3304.05"/>
    <n v="3304.05"/>
    <n v="2279.41"/>
    <n v="1024.6400000000001"/>
    <s v="Failed"/>
    <s v="Cancelled"/>
    <x v="1"/>
    <s v="Valid"/>
    <n v="1024.6400000000003"/>
    <n v="0.31011637233092726"/>
    <x v="4"/>
    <x v="1"/>
    <s v="Clean"/>
  </r>
  <r>
    <s v="ORD-2024-10332"/>
    <s v="04-12-2024"/>
    <d v="2024-12-04T00:00:00"/>
    <s v="2024-12-06"/>
    <d v="2024-12-06T00:00:00"/>
    <s v="Valid"/>
    <n v="2"/>
    <s v="Valid"/>
    <s v="CUST-9346"/>
    <s v="Sneha Kapoor"/>
    <s v="Sneha Kapoor"/>
    <s v="Home Office"/>
    <x v="3"/>
    <s v="East"/>
    <x v="1"/>
    <s v="Odisha"/>
    <s v="Bhubaneswar"/>
    <s v="Office Supplies"/>
    <x v="0"/>
    <x v="9"/>
    <s v="Smart Binders 939"/>
    <s v="Second Class"/>
    <x v="0"/>
    <n v="4"/>
    <n v="2685.66"/>
    <n v="0"/>
    <n v="0"/>
    <n v="10742.64"/>
    <n v="10989.89"/>
    <n v="6477.37"/>
    <n v="4265.2700000000004"/>
    <s v="Paid"/>
    <s v="Completed"/>
    <x v="0"/>
    <s v="Valid"/>
    <n v="4512.5199999999995"/>
    <n v="0.42005689476702185"/>
    <x v="8"/>
    <x v="0"/>
    <s v="Clean"/>
  </r>
  <r>
    <s v="ORD-2025-10091"/>
    <s v="08/24/2025"/>
    <d v="2025-08-24T00:00:00"/>
    <s v="29 Aug 2025"/>
    <d v="2025-08-29T00:00:00"/>
    <s v="Valid"/>
    <n v="5"/>
    <s v="Valid"/>
    <s v="CUST-5909"/>
    <s v="Aarav Sharma"/>
    <s v="Aarav Sharma"/>
    <s v="Small Business"/>
    <x v="1"/>
    <s v="East"/>
    <x v="1"/>
    <s v="Bihar"/>
    <s v="Patna"/>
    <s v="Technology"/>
    <x v="2"/>
    <x v="6"/>
    <s v="Smart Copiers 556"/>
    <s v="First Class"/>
    <x v="2"/>
    <n v="3"/>
    <n v="3703.96"/>
    <n v="0.15"/>
    <n v="0.15"/>
    <n v="9445.098"/>
    <n v="9549.44"/>
    <n v="5586.28"/>
    <n v="3858.82"/>
    <s v="Paid"/>
    <s v="Returned"/>
    <x v="2"/>
    <s v="Valid"/>
    <n v="3963.1600000000008"/>
    <n v="0.41959966958521772"/>
    <x v="1"/>
    <x v="1"/>
    <s v="Clean"/>
  </r>
  <r>
    <s v="ORD-2025-10374"/>
    <s v="2025-04-13"/>
    <d v="2025-04-13T00:00:00"/>
    <s v="2025-04-13"/>
    <d v="2025-04-13T00:00:00"/>
    <s v="Valid"/>
    <n v="0"/>
    <s v="Valid"/>
    <s v="CUST-8566"/>
    <s v="Sneha Kapoor"/>
    <s v="Sneha Kapoor"/>
    <s v="Small Business"/>
    <x v="1"/>
    <s v="North"/>
    <x v="0"/>
    <s v="Uttar Pradesh"/>
    <s v="Noida"/>
    <s v="Office Supplies"/>
    <x v="0"/>
    <x v="8"/>
    <s v="Prime Storage 951"/>
    <s v="Second Class"/>
    <x v="0"/>
    <n v="9"/>
    <n v="1118.68"/>
    <n v="0"/>
    <n v="0"/>
    <n v="10068.120000000001"/>
    <n v="10348.43"/>
    <n v="8595.3700000000008"/>
    <n v="1472.75"/>
    <s v="Paid"/>
    <s v="Returned"/>
    <x v="2"/>
    <s v="Valid"/>
    <n v="1753.0599999999995"/>
    <n v="0.17411989527339755"/>
    <x v="5"/>
    <x v="1"/>
    <s v="Clean"/>
  </r>
  <r>
    <s v="ORD-2025-10225"/>
    <s v="10/02/2025"/>
    <d v="2025-10-02T00:00:00"/>
    <s v="08 Oct 2025"/>
    <d v="2025-10-08T00:00:00"/>
    <s v="Valid"/>
    <n v="6"/>
    <s v="Valid"/>
    <s v="CUST-9871"/>
    <s v="Isha Nair"/>
    <s v="Isha Nair"/>
    <s v="Small Business"/>
    <x v="1"/>
    <s v="North"/>
    <x v="0"/>
    <s v="Punjab"/>
    <s v="Ludhiana"/>
    <s v="Furniture"/>
    <x v="1"/>
    <x v="3"/>
    <s v="Classic Furnishings 109"/>
    <s v="Standard Class"/>
    <x v="3"/>
    <n v="4"/>
    <n v="3944.64"/>
    <n v="0.25"/>
    <n v="0.25"/>
    <n v="11833.92"/>
    <n v="12116.89"/>
    <n v="6682.92"/>
    <n v="5151"/>
    <s v="Paid"/>
    <s v="Returned"/>
    <x v="2"/>
    <s v="Valid"/>
    <n v="5433.9699999999993"/>
    <n v="0.45918596711824983"/>
    <x v="9"/>
    <x v="1"/>
    <s v="Clean"/>
  </r>
  <r>
    <s v="ORD-2025-10315"/>
    <s v="05/18/2025"/>
    <d v="2025-05-18T00:00:00"/>
    <s v="20 May 2025"/>
    <d v="2025-05-20T00:00:00"/>
    <s v="Valid"/>
    <n v="2"/>
    <s v="Valid"/>
    <s v="CUST-1945"/>
    <s v="Isha Nair"/>
    <s v="Isha Nair"/>
    <s v="Corporate"/>
    <x v="2"/>
    <s v="West"/>
    <x v="3"/>
    <s v="Madhya Pradesh"/>
    <s v="Indore"/>
    <s v="Office Supplies"/>
    <x v="0"/>
    <x v="7"/>
    <s v="Elite Labels 544"/>
    <s v="Standard Class"/>
    <x v="3"/>
    <n v="9"/>
    <n v="847.76"/>
    <n v="0.15"/>
    <n v="0.15"/>
    <n v="6485.3639999999996"/>
    <n v="6589.37"/>
    <n v="5376.17"/>
    <n v="1109.19"/>
    <s v="Failed"/>
    <s v="Completed"/>
    <x v="0"/>
    <s v="Valid"/>
    <n v="1213.1999999999998"/>
    <n v="0.18706737200872608"/>
    <x v="4"/>
    <x v="1"/>
    <s v="Clean"/>
  </r>
  <r>
    <s v="ORD-2025-10171"/>
    <s v="07-09-2025"/>
    <d v="2025-09-07T00:00:00"/>
    <s v="09/15/2025"/>
    <d v="2025-09-15T00:00:00"/>
    <s v="Valid"/>
    <n v="8"/>
    <s v="Valid"/>
    <s v="CUST-3734"/>
    <s v="Rohan Mehta"/>
    <s v="Rohan Mehta"/>
    <s v="Corporate"/>
    <x v="2"/>
    <s v="East"/>
    <x v="1"/>
    <s v="Bihar"/>
    <s v="Patna"/>
    <s v="Technology"/>
    <x v="2"/>
    <x v="6"/>
    <s v="Eco Copiers 102"/>
    <s v="Standard Class"/>
    <x v="3"/>
    <n v="3"/>
    <n v="1711.32"/>
    <n v="0"/>
    <n v="0"/>
    <n v="5133.96"/>
    <n v="5206.53"/>
    <n v="3930"/>
    <n v="1203.96"/>
    <s v="Paid"/>
    <s v="Returned"/>
    <x v="2"/>
    <s v="Valid"/>
    <n v="1276.5299999999997"/>
    <n v="0.24864432134258929"/>
    <x v="7"/>
    <x v="1"/>
    <s v="Clean"/>
  </r>
  <r>
    <s v="ORD-2024-10424"/>
    <s v="2024-02-20"/>
    <d v="2024-02-20T00:00:00"/>
    <s v="27-02-2024"/>
    <d v="2024-02-27T00:00:00"/>
    <s v="Valid"/>
    <n v="7"/>
    <s v="Valid"/>
    <s v="CUST-6169"/>
    <s v="Diya Patel"/>
    <s v="Diya Patel"/>
    <s v="Consumer"/>
    <x v="0"/>
    <s v="South"/>
    <x v="2"/>
    <s v="Kerala"/>
    <s v="Kochi"/>
    <s v="Technology"/>
    <x v="2"/>
    <x v="5"/>
    <s v="Prime Accessories 236"/>
    <s v="First Class"/>
    <x v="2"/>
    <n v="9"/>
    <n v="3779.31"/>
    <n v="0.2"/>
    <n v="0.2"/>
    <n v="27211.032000000003"/>
    <n v="27322.9"/>
    <n v="17940.43"/>
    <n v="9270.6"/>
    <s v="Paid"/>
    <s v="Returned"/>
    <x v="2"/>
    <s v="Valid"/>
    <n v="9382.4700000000012"/>
    <n v="0.34480390159402996"/>
    <x v="6"/>
    <x v="0"/>
    <s v="Clean"/>
  </r>
  <r>
    <s v="ORD-2025-10572"/>
    <s v="10 Feb 2025"/>
    <d v="2025-02-10T00:00:00"/>
    <s v="2025-02-14"/>
    <d v="2025-02-14T00:00:00"/>
    <s v="Valid"/>
    <n v="4"/>
    <s v="Valid"/>
    <s v="CUST-3425"/>
    <s v="Priya Menon"/>
    <s v="Priya Menon"/>
    <s v="Small Business"/>
    <x v="1"/>
    <s v="North"/>
    <x v="0"/>
    <s v="Uttar Pradesh"/>
    <s v="Noida"/>
    <s v="Technology"/>
    <x v="2"/>
    <x v="11"/>
    <s v="Prime Phones 895"/>
    <m/>
    <x v="4"/>
    <n v="5"/>
    <n v="4276.29"/>
    <n v="0"/>
    <n v="0"/>
    <n v="21381.45"/>
    <n v="21443.63"/>
    <n v="13240.21"/>
    <n v="8141.24"/>
    <s v="Failed"/>
    <s v="Completed"/>
    <x v="0"/>
    <s v="Valid"/>
    <n v="8203.4200000000019"/>
    <n v="0.38366995690189398"/>
    <x v="6"/>
    <x v="1"/>
    <s v="Clean"/>
  </r>
  <r>
    <s v="ORD-2024-10143"/>
    <s v="30 Mar 2024"/>
    <d v="2024-03-30T00:00:00"/>
    <s v="26 Mar 2024"/>
    <d v="2024-03-26T00:00:00"/>
    <s v="Invalid Shipping Record"/>
    <n v="-4"/>
    <s v="Invalid Shipping Record"/>
    <s v="CUST-8944"/>
    <s v="Aditi Sen"/>
    <s v="Aditi Sen"/>
    <s v="Home Office"/>
    <x v="3"/>
    <s v="North"/>
    <x v="0"/>
    <s v="Rajasthan"/>
    <s v="Jaipur"/>
    <s v="Technology"/>
    <x v="2"/>
    <x v="11"/>
    <s v="Classic Phones 142"/>
    <s v="Second Class"/>
    <x v="0"/>
    <n v="5"/>
    <n v="907.54"/>
    <n v="0.15"/>
    <n v="0.15"/>
    <n v="3857.0449999999996"/>
    <n v="4099.6899999999996"/>
    <n v="2769.26"/>
    <n v="1087.78"/>
    <s v="Paid"/>
    <s v="Returned"/>
    <x v="2"/>
    <s v="Valid"/>
    <n v="1330.4299999999994"/>
    <n v="0.34493504742620307"/>
    <x v="11"/>
    <x v="0"/>
    <s v="Invalid"/>
  </r>
  <r>
    <s v="ORD-2024-10273"/>
    <s v="08/18/2024"/>
    <d v="2024-08-18T00:00:00"/>
    <s v="24 Aug 2024"/>
    <d v="2024-08-24T00:00:00"/>
    <s v="Valid"/>
    <n v="6"/>
    <s v="Valid"/>
    <s v="CUST-7389"/>
    <s v="Arjun Bose"/>
    <s v="Arjun Bose"/>
    <s v="Consumer"/>
    <x v="0"/>
    <s v="South"/>
    <x v="2"/>
    <s v="Andhra Pradesh"/>
    <s v="Vijayawada"/>
    <s v="Furniture"/>
    <x v="1"/>
    <x v="4"/>
    <s v="Eco Chairs 314"/>
    <s v="First Class"/>
    <x v="2"/>
    <n v="7"/>
    <n v="557.21"/>
    <n v="0.1"/>
    <n v="0.1"/>
    <n v="3510.4230000000002"/>
    <n v="3797.79"/>
    <n v="2191.5"/>
    <n v="1213.48"/>
    <s v="Paid"/>
    <s v="Returned"/>
    <x v="2"/>
    <s v="Valid"/>
    <n v="1606.29"/>
    <n v="0.45757733469727147"/>
    <x v="1"/>
    <x v="0"/>
    <s v="Clean"/>
  </r>
  <r>
    <s v="ORD-2024-10124"/>
    <s v="05/24/2024"/>
    <d v="2024-05-24T00:00:00"/>
    <s v="25 May 2024"/>
    <d v="2024-05-25T00:00:00"/>
    <s v="Valid"/>
    <n v="1"/>
    <s v="Valid"/>
    <s v="CUST-1007"/>
    <s v="Sneha Kapoor"/>
    <s v="Sneha Kapoor"/>
    <s v="Small Business"/>
    <x v="1"/>
    <s v="North"/>
    <x v="0"/>
    <s v="Punjab"/>
    <s v="Ludhiana"/>
    <s v="Technology"/>
    <x v="2"/>
    <x v="6"/>
    <s v="Max Copiers 970"/>
    <s v="Same Day"/>
    <x v="1"/>
    <n v="1"/>
    <n v="634.13"/>
    <n v="0"/>
    <n v="0"/>
    <n v="634.13"/>
    <n v="808.67"/>
    <n v="453.35"/>
    <n v="180.78"/>
    <s v="Refunded"/>
    <s v="Returned"/>
    <x v="2"/>
    <s v="Valid"/>
    <n v="355.31999999999994"/>
    <n v="0.56032674688155415"/>
    <x v="4"/>
    <x v="0"/>
    <s v="Clean"/>
  </r>
  <r>
    <s v="ORD-2025-10336"/>
    <s v="06/16/2025"/>
    <d v="2025-06-16T00:00:00"/>
    <s v="18 Jun 2025"/>
    <d v="2025-06-18T00:00:00"/>
    <s v="Valid"/>
    <n v="2"/>
    <s v="Valid"/>
    <s v="CUST-3621"/>
    <s v="Rahul Verma"/>
    <s v="Rahul Verma"/>
    <s v="Home Office"/>
    <x v="3"/>
    <s v="West"/>
    <x v="3"/>
    <s v="Madhya Pradesh"/>
    <s v="Indore"/>
    <s v="Office Supplies"/>
    <x v="0"/>
    <x v="0"/>
    <s v="Prime Paper 559"/>
    <s v="First Class"/>
    <x v="2"/>
    <n v="3"/>
    <n v="4289.37"/>
    <n v="0.1"/>
    <n v="0.1"/>
    <n v="11581.299000000001"/>
    <n v="11778.71"/>
    <n v="6829.43"/>
    <n v="4751.87"/>
    <s v="Paid"/>
    <s v="Returned"/>
    <x v="2"/>
    <s v="Valid"/>
    <n v="4949.2799999999988"/>
    <n v="0.42735102513111856"/>
    <x v="2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86D1D-06D9-42D5-8EC5-0713ED5137A2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14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8" baseField="0" baseItem="0"/>
    <dataField name="Sum of profit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441C2-55D1-47AD-BBB2-24584F586E7E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0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2">
    <field x="18"/>
    <field x="19"/>
  </rowFields>
  <rowItems count="17">
    <i>
      <x/>
    </i>
    <i r="1">
      <x v="4"/>
    </i>
    <i r="1">
      <x v="6"/>
    </i>
    <i r="1">
      <x v="3"/>
    </i>
    <i r="1">
      <x v="12"/>
    </i>
    <i>
      <x v="1"/>
    </i>
    <i r="1">
      <x v="11"/>
    </i>
    <i r="1">
      <x v="9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8" baseField="0" baseItem="0"/>
    <dataField name="Sum of profit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BB89C-583B-4DD6-80F8-1C33BC516CB5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40">
    <pivotField dataField="1"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A4C42-842D-4849-8CA8-3E05A9D2667B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36" subtotal="average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BA0D9-1AAA-4FCE-9C9C-5CFF8EEBACA5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0" firstHeaderRow="1" firstDataRow="2" firstDataCol="1"/>
  <pivotFields count="40">
    <pivotField dataField="1"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numFmtId="10"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3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C4CCF-93B2-49A0-B013-8BDB601465C1}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8" firstHeaderRow="1" firstDataRow="1" firstDataCol="1"/>
  <pivotFields count="40">
    <pivotField showAll="0"/>
    <pivotField showAll="0"/>
    <pivotField numFmtId="14" showAll="0"/>
    <pivotField showAll="0"/>
    <pivotField numFmtId="1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38"/>
    <field x="37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sales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B64A-19AB-44D4-B18C-A59B3C6EEF3D}">
  <dimension ref="A3:C9"/>
  <sheetViews>
    <sheetView tabSelected="1" workbookViewId="0">
      <selection activeCell="A3" sqref="A3:C9"/>
    </sheetView>
  </sheetViews>
  <sheetFormatPr defaultRowHeight="14"/>
  <cols>
    <col min="1" max="1" width="12.9140625" bestFit="1" customWidth="1"/>
    <col min="2" max="3" width="11.75" bestFit="1" customWidth="1"/>
  </cols>
  <sheetData>
    <row r="3" spans="1:3">
      <c r="A3" s="13" t="s">
        <v>4107</v>
      </c>
      <c r="B3" t="s">
        <v>4110</v>
      </c>
      <c r="C3" t="s">
        <v>4111</v>
      </c>
    </row>
    <row r="4" spans="1:3">
      <c r="A4" s="14" t="s">
        <v>61</v>
      </c>
      <c r="B4" s="15">
        <v>2319638.1999999993</v>
      </c>
      <c r="C4" s="15">
        <v>664110.75999999943</v>
      </c>
    </row>
    <row r="5" spans="1:3">
      <c r="A5" s="14" t="s">
        <v>41</v>
      </c>
      <c r="B5" s="15">
        <v>2195887.7799999998</v>
      </c>
      <c r="C5" s="15">
        <v>674396.4800000001</v>
      </c>
    </row>
    <row r="6" spans="1:3">
      <c r="A6" s="14" t="s">
        <v>26</v>
      </c>
      <c r="B6" s="15">
        <v>2166470.1099999994</v>
      </c>
      <c r="C6" s="15">
        <v>642497.06000000029</v>
      </c>
    </row>
    <row r="7" spans="1:3">
      <c r="A7" s="14" t="s">
        <v>72</v>
      </c>
      <c r="B7" s="15">
        <v>2107785.1700000013</v>
      </c>
      <c r="C7" s="15">
        <v>591397.11</v>
      </c>
    </row>
    <row r="8" spans="1:3">
      <c r="A8" s="14" t="s">
        <v>4108</v>
      </c>
      <c r="B8" s="15">
        <v>289809.21000000002</v>
      </c>
      <c r="C8" s="15">
        <v>94818.06</v>
      </c>
    </row>
    <row r="9" spans="1:3">
      <c r="A9" s="14" t="s">
        <v>4109</v>
      </c>
      <c r="B9" s="15">
        <v>9079590.4699999988</v>
      </c>
      <c r="C9" s="15">
        <v>2667219.4699999997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6E8F1-A9D2-40B1-97AA-1324029EBD1A}">
  <dimension ref="A3:C20"/>
  <sheetViews>
    <sheetView workbookViewId="0">
      <selection activeCell="E24" sqref="E24"/>
    </sheetView>
  </sheetViews>
  <sheetFormatPr defaultRowHeight="14"/>
  <cols>
    <col min="1" max="1" width="15.33203125" bestFit="1" customWidth="1"/>
    <col min="2" max="3" width="11.75" bestFit="1" customWidth="1"/>
  </cols>
  <sheetData>
    <row r="3" spans="1:3">
      <c r="A3" s="13" t="s">
        <v>4107</v>
      </c>
      <c r="B3" t="s">
        <v>4110</v>
      </c>
      <c r="C3" t="s">
        <v>4111</v>
      </c>
    </row>
    <row r="4" spans="1:3">
      <c r="A4" s="14" t="s">
        <v>44</v>
      </c>
      <c r="B4" s="15">
        <v>3128366.6500000004</v>
      </c>
      <c r="C4" s="15">
        <v>920214.45</v>
      </c>
    </row>
    <row r="5" spans="1:3">
      <c r="A5" s="16" t="s">
        <v>75</v>
      </c>
      <c r="B5" s="15">
        <v>972075.33999999985</v>
      </c>
      <c r="C5" s="15">
        <v>282367.33999999997</v>
      </c>
    </row>
    <row r="6" spans="1:3">
      <c r="A6" s="16" t="s">
        <v>64</v>
      </c>
      <c r="B6" s="15">
        <v>789467.08000000007</v>
      </c>
      <c r="C6" s="15">
        <v>228402.52999999997</v>
      </c>
    </row>
    <row r="7" spans="1:3">
      <c r="A7" s="16" t="s">
        <v>203</v>
      </c>
      <c r="B7" s="15">
        <v>686750.93</v>
      </c>
      <c r="C7" s="15">
        <v>198694.22000000003</v>
      </c>
    </row>
    <row r="8" spans="1:3">
      <c r="A8" s="16" t="s">
        <v>45</v>
      </c>
      <c r="B8" s="15">
        <v>680073.3</v>
      </c>
      <c r="C8" s="15">
        <v>210750.36</v>
      </c>
    </row>
    <row r="9" spans="1:3">
      <c r="A9" s="14" t="s">
        <v>29</v>
      </c>
      <c r="B9" s="15">
        <v>2783462.06</v>
      </c>
      <c r="C9" s="15">
        <v>803677.37</v>
      </c>
    </row>
    <row r="10" spans="1:3">
      <c r="A10" s="16" t="s">
        <v>155</v>
      </c>
      <c r="B10" s="15">
        <v>689035.87999999989</v>
      </c>
      <c r="C10" s="15">
        <v>189473.88000000003</v>
      </c>
    </row>
    <row r="11" spans="1:3">
      <c r="A11" s="16" t="s">
        <v>30</v>
      </c>
      <c r="B11" s="15">
        <v>616740.47000000009</v>
      </c>
      <c r="C11" s="15">
        <v>176877.61</v>
      </c>
    </row>
    <row r="12" spans="1:3">
      <c r="A12" s="16" t="s">
        <v>53</v>
      </c>
      <c r="B12" s="15">
        <v>580984.80000000005</v>
      </c>
      <c r="C12" s="15">
        <v>165565.25999999995</v>
      </c>
    </row>
    <row r="13" spans="1:3">
      <c r="A13" s="16" t="s">
        <v>197</v>
      </c>
      <c r="B13" s="15">
        <v>555619.29999999993</v>
      </c>
      <c r="C13" s="15">
        <v>166674.33000000002</v>
      </c>
    </row>
    <row r="14" spans="1:3">
      <c r="A14" s="16" t="s">
        <v>108</v>
      </c>
      <c r="B14" s="15">
        <v>341081.60999999993</v>
      </c>
      <c r="C14" s="15">
        <v>105086.29</v>
      </c>
    </row>
    <row r="15" spans="1:3">
      <c r="A15" s="14" t="s">
        <v>85</v>
      </c>
      <c r="B15" s="15">
        <v>3167761.7599999993</v>
      </c>
      <c r="C15" s="15">
        <v>943327.65</v>
      </c>
    </row>
    <row r="16" spans="1:3">
      <c r="A16" s="16" t="s">
        <v>93</v>
      </c>
      <c r="B16" s="15">
        <v>895289.60000000021</v>
      </c>
      <c r="C16" s="15">
        <v>263451.58</v>
      </c>
    </row>
    <row r="17" spans="1:3">
      <c r="A17" s="16" t="s">
        <v>86</v>
      </c>
      <c r="B17" s="15">
        <v>822281.68999999959</v>
      </c>
      <c r="C17" s="15">
        <v>248081.91000000006</v>
      </c>
    </row>
    <row r="18" spans="1:3">
      <c r="A18" s="16" t="s">
        <v>222</v>
      </c>
      <c r="B18" s="15">
        <v>797517.77999999991</v>
      </c>
      <c r="C18" s="15">
        <v>229100.15999999995</v>
      </c>
    </row>
    <row r="19" spans="1:3">
      <c r="A19" s="16" t="s">
        <v>381</v>
      </c>
      <c r="B19" s="15">
        <v>652672.68999999983</v>
      </c>
      <c r="C19" s="15">
        <v>202694</v>
      </c>
    </row>
    <row r="20" spans="1:3">
      <c r="A20" s="14" t="s">
        <v>4109</v>
      </c>
      <c r="B20" s="15">
        <v>9079590.4699999988</v>
      </c>
      <c r="C20" s="15">
        <v>2667219.4700000002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D61A-D4BF-4FFE-B487-7D958D90FCE5}">
  <dimension ref="A3:B9"/>
  <sheetViews>
    <sheetView workbookViewId="0">
      <selection activeCell="A3" sqref="A3:B9"/>
    </sheetView>
  </sheetViews>
  <sheetFormatPr defaultRowHeight="14"/>
  <cols>
    <col min="1" max="1" width="13.08203125" bestFit="1" customWidth="1"/>
    <col min="2" max="2" width="15.6640625" bestFit="1" customWidth="1"/>
  </cols>
  <sheetData>
    <row r="3" spans="1:2">
      <c r="A3" s="13" t="s">
        <v>4107</v>
      </c>
      <c r="B3" t="s">
        <v>4112</v>
      </c>
    </row>
    <row r="4" spans="1:2">
      <c r="A4" s="14" t="s">
        <v>55</v>
      </c>
      <c r="B4" s="15">
        <v>223</v>
      </c>
    </row>
    <row r="5" spans="1:2">
      <c r="A5" s="14" t="s">
        <v>47</v>
      </c>
      <c r="B5" s="15">
        <v>204</v>
      </c>
    </row>
    <row r="6" spans="1:2">
      <c r="A6" s="14" t="s">
        <v>32</v>
      </c>
      <c r="B6" s="15">
        <v>222</v>
      </c>
    </row>
    <row r="7" spans="1:2">
      <c r="A7" s="14" t="s">
        <v>66</v>
      </c>
      <c r="B7" s="15">
        <v>242</v>
      </c>
    </row>
    <row r="8" spans="1:2">
      <c r="A8" s="14" t="s">
        <v>4108</v>
      </c>
      <c r="B8" s="15">
        <v>21</v>
      </c>
    </row>
    <row r="9" spans="1:2">
      <c r="A9" s="14" t="s">
        <v>4109</v>
      </c>
      <c r="B9" s="15">
        <v>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4E91-6410-46A9-9CA3-8C495AC8F1D4}">
  <dimension ref="A3:B8"/>
  <sheetViews>
    <sheetView workbookViewId="0">
      <selection activeCell="A3" sqref="A3:B8"/>
    </sheetView>
  </sheetViews>
  <sheetFormatPr defaultRowHeight="14"/>
  <cols>
    <col min="1" max="1" width="13" bestFit="1" customWidth="1"/>
    <col min="2" max="2" width="22" bestFit="1" customWidth="1"/>
  </cols>
  <sheetData>
    <row r="3" spans="1:2">
      <c r="A3" s="13" t="s">
        <v>4107</v>
      </c>
      <c r="B3" t="s">
        <v>4113</v>
      </c>
    </row>
    <row r="4" spans="1:2">
      <c r="A4" s="14" t="s">
        <v>25</v>
      </c>
      <c r="B4" s="17">
        <v>0.33520298387579506</v>
      </c>
    </row>
    <row r="5" spans="1:2">
      <c r="A5" s="14" t="s">
        <v>107</v>
      </c>
      <c r="B5" s="17">
        <v>0.30403208797113179</v>
      </c>
    </row>
    <row r="6" spans="1:2">
      <c r="A6" s="14" t="s">
        <v>114</v>
      </c>
      <c r="B6" s="17">
        <v>0.3038922421803944</v>
      </c>
    </row>
    <row r="7" spans="1:2">
      <c r="A7" s="14" t="s">
        <v>40</v>
      </c>
      <c r="B7" s="17">
        <v>0.30142533985658132</v>
      </c>
    </row>
    <row r="8" spans="1:2">
      <c r="A8" s="14" t="s">
        <v>4109</v>
      </c>
      <c r="B8" s="17">
        <v>0.31089802577168169</v>
      </c>
    </row>
  </sheetData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63B9-D2FF-4755-AA63-C3ADF68C123A}">
  <dimension ref="A3:E10"/>
  <sheetViews>
    <sheetView workbookViewId="0">
      <selection activeCell="A3" sqref="A3:E10"/>
    </sheetView>
  </sheetViews>
  <sheetFormatPr defaultRowHeight="14"/>
  <cols>
    <col min="1" max="1" width="15.6640625" bestFit="1" customWidth="1"/>
    <col min="2" max="2" width="15.58203125" bestFit="1" customWidth="1"/>
    <col min="3" max="3" width="9.9140625" bestFit="1" customWidth="1"/>
    <col min="4" max="4" width="8.58203125" bestFit="1" customWidth="1"/>
    <col min="5" max="5" width="10.83203125" bestFit="1" customWidth="1"/>
  </cols>
  <sheetData>
    <row r="3" spans="1:5">
      <c r="A3" s="13" t="s">
        <v>4112</v>
      </c>
      <c r="B3" s="13" t="s">
        <v>4114</v>
      </c>
    </row>
    <row r="4" spans="1:5">
      <c r="A4" s="13" t="s">
        <v>4107</v>
      </c>
      <c r="B4" t="s">
        <v>77</v>
      </c>
      <c r="C4" t="s">
        <v>34</v>
      </c>
      <c r="D4" t="s">
        <v>124</v>
      </c>
      <c r="E4" t="s">
        <v>4109</v>
      </c>
    </row>
    <row r="5" spans="1:5">
      <c r="A5" s="14" t="s">
        <v>41</v>
      </c>
      <c r="B5" s="15">
        <v>30</v>
      </c>
      <c r="C5" s="15">
        <v>149</v>
      </c>
      <c r="D5" s="15">
        <v>45</v>
      </c>
      <c r="E5" s="15">
        <v>224</v>
      </c>
    </row>
    <row r="6" spans="1:5">
      <c r="A6" s="14" t="s">
        <v>26</v>
      </c>
      <c r="B6" s="15">
        <v>48</v>
      </c>
      <c r="C6" s="15">
        <v>129</v>
      </c>
      <c r="D6" s="15">
        <v>37</v>
      </c>
      <c r="E6" s="15">
        <v>214</v>
      </c>
    </row>
    <row r="7" spans="1:5">
      <c r="A7" s="14" t="s">
        <v>61</v>
      </c>
      <c r="B7" s="15">
        <v>35</v>
      </c>
      <c r="C7" s="15">
        <v>153</v>
      </c>
      <c r="D7" s="15">
        <v>37</v>
      </c>
      <c r="E7" s="15">
        <v>225</v>
      </c>
    </row>
    <row r="8" spans="1:5">
      <c r="A8" s="14" t="s">
        <v>4108</v>
      </c>
      <c r="B8" s="15">
        <v>2</v>
      </c>
      <c r="C8" s="15">
        <v>19</v>
      </c>
      <c r="D8" s="15">
        <v>4</v>
      </c>
      <c r="E8" s="15">
        <v>25</v>
      </c>
    </row>
    <row r="9" spans="1:5">
      <c r="A9" s="14" t="s">
        <v>72</v>
      </c>
      <c r="B9" s="15">
        <v>30</v>
      </c>
      <c r="C9" s="15">
        <v>154</v>
      </c>
      <c r="D9" s="15">
        <v>40</v>
      </c>
      <c r="E9" s="15">
        <v>224</v>
      </c>
    </row>
    <row r="10" spans="1:5">
      <c r="A10" s="14" t="s">
        <v>4109</v>
      </c>
      <c r="B10" s="15">
        <v>145</v>
      </c>
      <c r="C10" s="15">
        <v>604</v>
      </c>
      <c r="D10" s="15">
        <v>163</v>
      </c>
      <c r="E10" s="15">
        <v>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2A84-4822-4317-B23C-74AE424DCBAB}">
  <dimension ref="A3:B28"/>
  <sheetViews>
    <sheetView topLeftCell="A4" workbookViewId="0">
      <selection activeCell="A3" sqref="A3:B28"/>
    </sheetView>
  </sheetViews>
  <sheetFormatPr defaultRowHeight="14"/>
  <cols>
    <col min="1" max="1" width="12.9140625" bestFit="1" customWidth="1"/>
    <col min="2" max="2" width="11.75" bestFit="1" customWidth="1"/>
    <col min="3" max="3" width="10.75" bestFit="1" customWidth="1"/>
    <col min="4" max="13" width="9.75" bestFit="1" customWidth="1"/>
    <col min="14" max="14" width="10.83203125" bestFit="1" customWidth="1"/>
  </cols>
  <sheetData>
    <row r="3" spans="1:2">
      <c r="A3" s="13" t="s">
        <v>4107</v>
      </c>
      <c r="B3" t="s">
        <v>4110</v>
      </c>
    </row>
    <row r="4" spans="1:2">
      <c r="A4" s="14">
        <v>2024</v>
      </c>
      <c r="B4" s="15">
        <v>4845060.2799999993</v>
      </c>
    </row>
    <row r="5" spans="1:2">
      <c r="A5" s="16">
        <v>1</v>
      </c>
      <c r="B5" s="15">
        <v>349011.20999999996</v>
      </c>
    </row>
    <row r="6" spans="1:2">
      <c r="A6" s="16">
        <v>2</v>
      </c>
      <c r="B6" s="15">
        <v>470974.12</v>
      </c>
    </row>
    <row r="7" spans="1:2">
      <c r="A7" s="16">
        <v>3</v>
      </c>
      <c r="B7" s="15">
        <v>403611.77999999997</v>
      </c>
    </row>
    <row r="8" spans="1:2">
      <c r="A8" s="16">
        <v>4</v>
      </c>
      <c r="B8" s="15">
        <v>394957.54000000004</v>
      </c>
    </row>
    <row r="9" spans="1:2">
      <c r="A9" s="16">
        <v>5</v>
      </c>
      <c r="B9" s="15">
        <v>488523.59000000008</v>
      </c>
    </row>
    <row r="10" spans="1:2">
      <c r="A10" s="16">
        <v>6</v>
      </c>
      <c r="B10" s="15">
        <v>493887.88</v>
      </c>
    </row>
    <row r="11" spans="1:2">
      <c r="A11" s="16">
        <v>7</v>
      </c>
      <c r="B11" s="15">
        <v>408782.56999999995</v>
      </c>
    </row>
    <row r="12" spans="1:2">
      <c r="A12" s="16">
        <v>8</v>
      </c>
      <c r="B12" s="15">
        <v>326859.19999999995</v>
      </c>
    </row>
    <row r="13" spans="1:2">
      <c r="A13" s="16">
        <v>9</v>
      </c>
      <c r="B13" s="15">
        <v>397741.76999999996</v>
      </c>
    </row>
    <row r="14" spans="1:2">
      <c r="A14" s="16">
        <v>10</v>
      </c>
      <c r="B14" s="15">
        <v>485086.86000000004</v>
      </c>
    </row>
    <row r="15" spans="1:2">
      <c r="A15" s="16">
        <v>11</v>
      </c>
      <c r="B15" s="15">
        <v>336412.08000000013</v>
      </c>
    </row>
    <row r="16" spans="1:2">
      <c r="A16" s="16">
        <v>12</v>
      </c>
      <c r="B16" s="15">
        <v>289211.68</v>
      </c>
    </row>
    <row r="17" spans="1:2">
      <c r="A17" s="14">
        <v>2025</v>
      </c>
      <c r="B17" s="15">
        <v>4234530.1900000004</v>
      </c>
    </row>
    <row r="18" spans="1:2">
      <c r="A18" s="16">
        <v>1</v>
      </c>
      <c r="B18" s="15">
        <v>409378.9</v>
      </c>
    </row>
    <row r="19" spans="1:2">
      <c r="A19" s="16">
        <v>2</v>
      </c>
      <c r="B19" s="15">
        <v>561386.84</v>
      </c>
    </row>
    <row r="20" spans="1:2">
      <c r="A20" s="16">
        <v>3</v>
      </c>
      <c r="B20" s="15">
        <v>412919.28</v>
      </c>
    </row>
    <row r="21" spans="1:2">
      <c r="A21" s="16">
        <v>4</v>
      </c>
      <c r="B21" s="15">
        <v>457506.28000000014</v>
      </c>
    </row>
    <row r="22" spans="1:2">
      <c r="A22" s="16">
        <v>5</v>
      </c>
      <c r="B22" s="15">
        <v>325405.69</v>
      </c>
    </row>
    <row r="23" spans="1:2">
      <c r="A23" s="16">
        <v>6</v>
      </c>
      <c r="B23" s="15">
        <v>386438.43000000005</v>
      </c>
    </row>
    <row r="24" spans="1:2">
      <c r="A24" s="16">
        <v>7</v>
      </c>
      <c r="B24" s="15">
        <v>429263.17000000004</v>
      </c>
    </row>
    <row r="25" spans="1:2">
      <c r="A25" s="16">
        <v>8</v>
      </c>
      <c r="B25" s="15">
        <v>566956.84000000008</v>
      </c>
    </row>
    <row r="26" spans="1:2">
      <c r="A26" s="16">
        <v>9</v>
      </c>
      <c r="B26" s="15">
        <v>444266.13000000006</v>
      </c>
    </row>
    <row r="27" spans="1:2">
      <c r="A27" s="16">
        <v>10</v>
      </c>
      <c r="B27" s="15">
        <v>241008.63</v>
      </c>
    </row>
    <row r="28" spans="1:2">
      <c r="A28" s="14" t="s">
        <v>4109</v>
      </c>
      <c r="B28" s="15">
        <v>9079590.4700000025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33"/>
  <sheetViews>
    <sheetView workbookViewId="0">
      <selection activeCell="B5" sqref="B5"/>
    </sheetView>
  </sheetViews>
  <sheetFormatPr defaultRowHeight="14"/>
  <cols>
    <col min="1" max="2" width="16" customWidth="1"/>
    <col min="3" max="3" width="29.1640625" style="10" customWidth="1"/>
    <col min="4" max="4" width="16" customWidth="1"/>
    <col min="5" max="5" width="23.1640625" style="10" customWidth="1"/>
    <col min="6" max="6" width="15.9140625" style="6" customWidth="1"/>
    <col min="7" max="7" width="12.1640625" style="8" customWidth="1"/>
    <col min="8" max="8" width="23.1640625" style="8" customWidth="1"/>
    <col min="9" max="20" width="16" customWidth="1"/>
    <col min="21" max="21" width="21.08203125" customWidth="1"/>
    <col min="22" max="33" width="16" customWidth="1"/>
    <col min="34" max="34" width="12.58203125" customWidth="1"/>
    <col min="35" max="35" width="22.08203125" customWidth="1"/>
    <col min="36" max="36" width="21.33203125" customWidth="1"/>
    <col min="37" max="37" width="13.75" customWidth="1"/>
    <col min="38" max="38" width="12" customWidth="1"/>
    <col min="39" max="39" width="12.83203125" customWidth="1"/>
    <col min="40" max="40" width="11.1640625" customWidth="1"/>
  </cols>
  <sheetData>
    <row r="1" spans="1:40" ht="44" customHeight="1">
      <c r="A1" s="1" t="s">
        <v>0</v>
      </c>
      <c r="B1" s="2" t="s">
        <v>1</v>
      </c>
      <c r="C1" s="4" t="s">
        <v>4096</v>
      </c>
      <c r="D1" s="1" t="s">
        <v>4093</v>
      </c>
      <c r="E1" s="4" t="s">
        <v>4097</v>
      </c>
      <c r="F1" s="5" t="s">
        <v>4095</v>
      </c>
      <c r="G1" s="7" t="s">
        <v>4094</v>
      </c>
      <c r="H1" s="7" t="s">
        <v>4105</v>
      </c>
      <c r="I1" s="1" t="s">
        <v>2</v>
      </c>
      <c r="J1" s="1" t="s">
        <v>3</v>
      </c>
      <c r="K1" s="1" t="s">
        <v>4092</v>
      </c>
      <c r="L1" s="1" t="s">
        <v>4</v>
      </c>
      <c r="M1" s="1" t="s">
        <v>4087</v>
      </c>
      <c r="N1" s="1" t="s">
        <v>5</v>
      </c>
      <c r="O1" s="1" t="s">
        <v>4088</v>
      </c>
      <c r="P1" s="1" t="s">
        <v>6</v>
      </c>
      <c r="Q1" s="1" t="s">
        <v>7</v>
      </c>
      <c r="R1" s="1" t="s">
        <v>8</v>
      </c>
      <c r="S1" s="1" t="s">
        <v>4089</v>
      </c>
      <c r="T1" s="1" t="s">
        <v>9</v>
      </c>
      <c r="U1" s="1" t="s">
        <v>10</v>
      </c>
      <c r="V1" s="1" t="s">
        <v>11</v>
      </c>
      <c r="W1" s="1" t="s">
        <v>4090</v>
      </c>
      <c r="X1" s="1" t="s">
        <v>12</v>
      </c>
      <c r="Y1" s="1" t="s">
        <v>13</v>
      </c>
      <c r="Z1" s="1" t="s">
        <v>14</v>
      </c>
      <c r="AA1" s="9" t="s">
        <v>4098</v>
      </c>
      <c r="AB1" s="9" t="s">
        <v>4101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4091</v>
      </c>
      <c r="AI1" s="9" t="s">
        <v>4099</v>
      </c>
      <c r="AJ1" s="9" t="s">
        <v>4100</v>
      </c>
      <c r="AK1" s="9" t="s">
        <v>4102</v>
      </c>
      <c r="AL1" s="9" t="s">
        <v>4103</v>
      </c>
      <c r="AM1" s="9" t="s">
        <v>4104</v>
      </c>
      <c r="AN1" s="9" t="s">
        <v>4106</v>
      </c>
    </row>
    <row r="2" spans="1:40">
      <c r="A2" t="s">
        <v>20</v>
      </c>
      <c r="B2" s="3" t="s">
        <v>21</v>
      </c>
      <c r="C2" s="10">
        <v>45494</v>
      </c>
      <c r="D2" s="3" t="s">
        <v>22</v>
      </c>
      <c r="E2" s="10">
        <v>45500</v>
      </c>
      <c r="F2" s="6" t="str">
        <f t="shared" ref="F2:F65" si="0">IF(E2&lt;C2,"Invalid Shipping Record","Valid")</f>
        <v>Valid</v>
      </c>
      <c r="G2" s="8">
        <f t="shared" ref="G2:G65" si="1">E2-C2</f>
        <v>6</v>
      </c>
      <c r="H2" s="8" t="str">
        <f t="shared" ref="H2:H65" si="2">IF(OR(C2="",E2=""),"Missing Date",IF(OR(NOT(ISNUMBER(C2)),NOT(ISNUMBER(E2))),"Invalid Date",IF(E2&lt;C2,"Invalid Shipping Record","Valid")))</f>
        <v>Valid</v>
      </c>
      <c r="I2" t="s">
        <v>23</v>
      </c>
      <c r="J2" t="s">
        <v>24</v>
      </c>
      <c r="K2" t="s">
        <v>24</v>
      </c>
      <c r="L2" t="s">
        <v>25</v>
      </c>
      <c r="M2" s="3" t="str">
        <f t="shared" ref="M2:M65" si="3">PROPER(TRIM(L2))</f>
        <v>Consumer</v>
      </c>
      <c r="N2" t="s">
        <v>26</v>
      </c>
      <c r="O2" s="3" t="str">
        <f t="shared" ref="O2:O65" si="4">IF(TRIM(N2)="","Unknown",PROPER(TRIM(N2)))</f>
        <v>North</v>
      </c>
      <c r="P2" t="s">
        <v>27</v>
      </c>
      <c r="Q2" t="s">
        <v>28</v>
      </c>
      <c r="R2" t="s">
        <v>29</v>
      </c>
      <c r="S2" s="3" t="str">
        <f t="shared" ref="S2:S65" si="5">PROPER(TRIM(R2))</f>
        <v>Office Supplies</v>
      </c>
      <c r="T2" t="s">
        <v>30</v>
      </c>
      <c r="U2" t="s">
        <v>31</v>
      </c>
      <c r="V2" t="s">
        <v>32</v>
      </c>
      <c r="W2" s="3" t="str">
        <f t="shared" ref="W2:W65" si="6">IF(TRIM(V2)="","Unknown",PROPER(TRIM(V2)))</f>
        <v>Second Class</v>
      </c>
      <c r="X2">
        <v>8</v>
      </c>
      <c r="Y2">
        <v>2976.45</v>
      </c>
      <c r="Z2">
        <v>0.2</v>
      </c>
      <c r="AA2">
        <f>IF(Z2="",0,Z2)</f>
        <v>0.2</v>
      </c>
      <c r="AB2">
        <f>X2*Y2*(1-Z2)</f>
        <v>19049.28</v>
      </c>
      <c r="AC2">
        <v>19049.28</v>
      </c>
      <c r="AD2">
        <v>15841.89</v>
      </c>
      <c r="AE2">
        <v>3207.39</v>
      </c>
      <c r="AF2" t="s">
        <v>33</v>
      </c>
      <c r="AG2" t="s">
        <v>34</v>
      </c>
      <c r="AH2" t="str">
        <f t="shared" ref="AH2:AH65" si="7">PROPER(TRIM(AG2))</f>
        <v>Completed</v>
      </c>
      <c r="AI2" t="str">
        <f t="shared" ref="AI2:AI65" si="8">IF(Z2&lt;0,"Invalid - Negative Discount",IF(Z2&gt;1,"Invalid - Discount Above Range","Valid"))</f>
        <v>Valid</v>
      </c>
      <c r="AJ2">
        <f t="shared" ref="AJ2:AJ65" si="9">AC2-AD2</f>
        <v>3207.3899999999994</v>
      </c>
      <c r="AK2" s="12">
        <f>IF(AB2=0,"",AJ2/AB2)</f>
        <v>0.16837329284886357</v>
      </c>
      <c r="AL2">
        <f>MONTH(C2)</f>
        <v>7</v>
      </c>
      <c r="AM2">
        <f>YEAR(C2)</f>
        <v>2024</v>
      </c>
      <c r="AN2" t="str">
        <f>IF(H2="Invalid Shipping Record","Invalid","Clean")</f>
        <v>Clean</v>
      </c>
    </row>
    <row r="3" spans="1:40">
      <c r="A3" t="s">
        <v>35</v>
      </c>
      <c r="B3" s="3" t="s">
        <v>36</v>
      </c>
      <c r="C3" s="10">
        <v>45535</v>
      </c>
      <c r="D3" s="3" t="s">
        <v>37</v>
      </c>
      <c r="E3" s="10">
        <v>45540</v>
      </c>
      <c r="F3" s="6" t="str">
        <f t="shared" si="0"/>
        <v>Valid</v>
      </c>
      <c r="G3" s="8">
        <f t="shared" si="1"/>
        <v>5</v>
      </c>
      <c r="H3" s="8" t="str">
        <f t="shared" si="2"/>
        <v>Valid</v>
      </c>
      <c r="I3" t="s">
        <v>38</v>
      </c>
      <c r="J3" t="s">
        <v>39</v>
      </c>
      <c r="K3" t="s">
        <v>39</v>
      </c>
      <c r="L3" t="s">
        <v>40</v>
      </c>
      <c r="M3" s="3" t="str">
        <f t="shared" si="3"/>
        <v>Small Business</v>
      </c>
      <c r="N3" t="s">
        <v>41</v>
      </c>
      <c r="O3" s="3" t="str">
        <f t="shared" si="4"/>
        <v>East</v>
      </c>
      <c r="P3" t="s">
        <v>42</v>
      </c>
      <c r="Q3" t="s">
        <v>43</v>
      </c>
      <c r="R3" t="s">
        <v>44</v>
      </c>
      <c r="S3" s="3" t="str">
        <f t="shared" si="5"/>
        <v>Furniture</v>
      </c>
      <c r="T3" t="s">
        <v>45</v>
      </c>
      <c r="U3" t="s">
        <v>46</v>
      </c>
      <c r="V3" t="s">
        <v>47</v>
      </c>
      <c r="W3" s="3" t="str">
        <f t="shared" si="6"/>
        <v>Same Day</v>
      </c>
      <c r="X3">
        <v>3</v>
      </c>
      <c r="Y3">
        <v>2437.5</v>
      </c>
      <c r="Z3">
        <v>0</v>
      </c>
      <c r="AA3">
        <f t="shared" ref="AA3:AA66" si="10">IF(Z3="",0,Z3)</f>
        <v>0</v>
      </c>
      <c r="AB3">
        <f t="shared" ref="AB3:AB66" si="11">X3*Y3*(1-Z3)</f>
        <v>7312.5</v>
      </c>
      <c r="AC3">
        <v>7312.5</v>
      </c>
      <c r="AD3">
        <v>4904.7299999999996</v>
      </c>
      <c r="AE3">
        <v>2407.77</v>
      </c>
      <c r="AF3" t="s">
        <v>33</v>
      </c>
      <c r="AG3" t="s">
        <v>34</v>
      </c>
      <c r="AH3" t="str">
        <f t="shared" si="7"/>
        <v>Completed</v>
      </c>
      <c r="AI3" t="str">
        <f t="shared" si="8"/>
        <v>Valid</v>
      </c>
      <c r="AJ3">
        <f t="shared" si="9"/>
        <v>2407.7700000000004</v>
      </c>
      <c r="AK3" s="12">
        <f t="shared" ref="AK3:AK66" si="12">IF(AB3=0,"",AJ3/AB3)</f>
        <v>0.32926769230769237</v>
      </c>
      <c r="AL3">
        <f t="shared" ref="AL3:AL66" si="13">MONTH(C3)</f>
        <v>8</v>
      </c>
      <c r="AM3">
        <f t="shared" ref="AM3:AM66" si="14">YEAR(C3)</f>
        <v>2024</v>
      </c>
      <c r="AN3" t="str">
        <f t="shared" ref="AN3:AN66" si="15">IF(H3="Invalid Shipping Record","Invalid","Clean")</f>
        <v>Clean</v>
      </c>
    </row>
    <row r="4" spans="1:40">
      <c r="A4" t="s">
        <v>48</v>
      </c>
      <c r="B4" s="3" t="s">
        <v>49</v>
      </c>
      <c r="C4" s="10">
        <v>45451</v>
      </c>
      <c r="D4" s="3" t="s">
        <v>50</v>
      </c>
      <c r="E4" s="10">
        <v>45458</v>
      </c>
      <c r="F4" s="6" t="str">
        <f t="shared" si="0"/>
        <v>Valid</v>
      </c>
      <c r="G4" s="8">
        <f t="shared" si="1"/>
        <v>7</v>
      </c>
      <c r="H4" s="8" t="str">
        <f t="shared" si="2"/>
        <v>Valid</v>
      </c>
      <c r="I4" t="s">
        <v>51</v>
      </c>
      <c r="J4" t="s">
        <v>52</v>
      </c>
      <c r="K4" t="s">
        <v>52</v>
      </c>
      <c r="L4" t="s">
        <v>25</v>
      </c>
      <c r="M4" s="3" t="str">
        <f t="shared" si="3"/>
        <v>Consumer</v>
      </c>
      <c r="N4" t="s">
        <v>41</v>
      </c>
      <c r="O4" s="3" t="str">
        <f t="shared" si="4"/>
        <v>East</v>
      </c>
      <c r="P4" t="s">
        <v>42</v>
      </c>
      <c r="Q4" t="s">
        <v>43</v>
      </c>
      <c r="R4" t="s">
        <v>29</v>
      </c>
      <c r="S4" s="3" t="str">
        <f t="shared" si="5"/>
        <v>Office Supplies</v>
      </c>
      <c r="T4" t="s">
        <v>53</v>
      </c>
      <c r="U4" t="s">
        <v>54</v>
      </c>
      <c r="V4" t="s">
        <v>55</v>
      </c>
      <c r="W4" s="3" t="str">
        <f t="shared" si="6"/>
        <v>First Class</v>
      </c>
      <c r="X4">
        <v>4</v>
      </c>
      <c r="Y4">
        <v>1065.43</v>
      </c>
      <c r="Z4">
        <v>0.55000000000000004</v>
      </c>
      <c r="AA4">
        <f t="shared" si="10"/>
        <v>0.55000000000000004</v>
      </c>
      <c r="AB4">
        <f t="shared" si="11"/>
        <v>1917.7739999999999</v>
      </c>
      <c r="AC4">
        <v>4261.72</v>
      </c>
      <c r="AD4">
        <v>2465.69</v>
      </c>
      <c r="AE4">
        <v>1796.03</v>
      </c>
      <c r="AF4" t="s">
        <v>33</v>
      </c>
      <c r="AG4" t="s">
        <v>34</v>
      </c>
      <c r="AH4" t="str">
        <f t="shared" si="7"/>
        <v>Completed</v>
      </c>
      <c r="AI4" t="str">
        <f t="shared" si="8"/>
        <v>Valid</v>
      </c>
      <c r="AJ4">
        <f t="shared" si="9"/>
        <v>1796.0300000000002</v>
      </c>
      <c r="AK4" s="12">
        <f t="shared" si="12"/>
        <v>0.93651806730094389</v>
      </c>
      <c r="AL4">
        <f t="shared" si="13"/>
        <v>6</v>
      </c>
      <c r="AM4">
        <f t="shared" si="14"/>
        <v>2024</v>
      </c>
      <c r="AN4" t="str">
        <f t="shared" si="15"/>
        <v>Clean</v>
      </c>
    </row>
    <row r="5" spans="1:40">
      <c r="A5" t="s">
        <v>56</v>
      </c>
      <c r="B5" s="3" t="s">
        <v>57</v>
      </c>
      <c r="C5" s="10">
        <v>45624</v>
      </c>
      <c r="D5" s="3" t="s">
        <v>58</v>
      </c>
      <c r="E5" s="10">
        <v>45625</v>
      </c>
      <c r="F5" s="6" t="str">
        <f t="shared" si="0"/>
        <v>Valid</v>
      </c>
      <c r="G5" s="8">
        <f t="shared" si="1"/>
        <v>1</v>
      </c>
      <c r="H5" s="8" t="str">
        <f t="shared" si="2"/>
        <v>Valid</v>
      </c>
      <c r="I5" t="s">
        <v>59</v>
      </c>
      <c r="J5" t="s">
        <v>60</v>
      </c>
      <c r="K5" t="s">
        <v>60</v>
      </c>
      <c r="L5" t="s">
        <v>40</v>
      </c>
      <c r="M5" s="3" t="str">
        <f t="shared" si="3"/>
        <v>Small Business</v>
      </c>
      <c r="N5" t="s">
        <v>61</v>
      </c>
      <c r="O5" s="3" t="str">
        <f t="shared" si="4"/>
        <v>South</v>
      </c>
      <c r="P5" t="s">
        <v>62</v>
      </c>
      <c r="Q5" t="s">
        <v>63</v>
      </c>
      <c r="R5" t="s">
        <v>44</v>
      </c>
      <c r="S5" s="3" t="str">
        <f t="shared" si="5"/>
        <v>Furniture</v>
      </c>
      <c r="T5" t="s">
        <v>64</v>
      </c>
      <c r="U5" t="s">
        <v>65</v>
      </c>
      <c r="V5" t="s">
        <v>66</v>
      </c>
      <c r="W5" s="3" t="str">
        <f t="shared" si="6"/>
        <v>Standard Class</v>
      </c>
      <c r="X5">
        <v>6</v>
      </c>
      <c r="Y5">
        <v>1848.43</v>
      </c>
      <c r="Z5">
        <v>0.25</v>
      </c>
      <c r="AA5">
        <f t="shared" si="10"/>
        <v>0.25</v>
      </c>
      <c r="AB5">
        <f t="shared" si="11"/>
        <v>8317.9349999999995</v>
      </c>
      <c r="AC5">
        <v>8317.93</v>
      </c>
      <c r="AD5">
        <v>6796.77</v>
      </c>
      <c r="AE5">
        <v>1521.16</v>
      </c>
      <c r="AF5" t="s">
        <v>33</v>
      </c>
      <c r="AG5" t="s">
        <v>34</v>
      </c>
      <c r="AH5" t="str">
        <f t="shared" si="7"/>
        <v>Completed</v>
      </c>
      <c r="AI5" t="str">
        <f t="shared" si="8"/>
        <v>Valid</v>
      </c>
      <c r="AJ5">
        <f t="shared" si="9"/>
        <v>1521.1599999999999</v>
      </c>
      <c r="AK5" s="12">
        <f t="shared" si="12"/>
        <v>0.18287712034296974</v>
      </c>
      <c r="AL5">
        <f t="shared" si="13"/>
        <v>11</v>
      </c>
      <c r="AM5">
        <f t="shared" si="14"/>
        <v>2024</v>
      </c>
      <c r="AN5" t="str">
        <f t="shared" si="15"/>
        <v>Clean</v>
      </c>
    </row>
    <row r="6" spans="1:40">
      <c r="A6" t="s">
        <v>67</v>
      </c>
      <c r="B6" s="3" t="s">
        <v>68</v>
      </c>
      <c r="C6" s="10">
        <v>45898</v>
      </c>
      <c r="D6" s="3" t="s">
        <v>69</v>
      </c>
      <c r="E6" s="10">
        <v>45901</v>
      </c>
      <c r="F6" s="6" t="str">
        <f t="shared" si="0"/>
        <v>Valid</v>
      </c>
      <c r="G6" s="8">
        <f t="shared" si="1"/>
        <v>3</v>
      </c>
      <c r="H6" s="8" t="str">
        <f t="shared" si="2"/>
        <v>Valid</v>
      </c>
      <c r="I6" t="s">
        <v>70</v>
      </c>
      <c r="J6" t="s">
        <v>71</v>
      </c>
      <c r="K6" t="s">
        <v>71</v>
      </c>
      <c r="L6" t="s">
        <v>40</v>
      </c>
      <c r="M6" s="3" t="str">
        <f t="shared" si="3"/>
        <v>Small Business</v>
      </c>
      <c r="N6" t="s">
        <v>72</v>
      </c>
      <c r="O6" s="3" t="str">
        <f t="shared" si="4"/>
        <v>West</v>
      </c>
      <c r="P6" t="s">
        <v>73</v>
      </c>
      <c r="Q6" t="s">
        <v>74</v>
      </c>
      <c r="R6" t="s">
        <v>44</v>
      </c>
      <c r="S6" s="3" t="str">
        <f t="shared" si="5"/>
        <v>Furniture</v>
      </c>
      <c r="T6" t="s">
        <v>75</v>
      </c>
      <c r="U6" t="s">
        <v>76</v>
      </c>
      <c r="V6" t="s">
        <v>55</v>
      </c>
      <c r="W6" s="3" t="str">
        <f t="shared" si="6"/>
        <v>First Class</v>
      </c>
      <c r="X6">
        <v>7</v>
      </c>
      <c r="Y6">
        <v>2973.76</v>
      </c>
      <c r="Z6">
        <v>0</v>
      </c>
      <c r="AA6">
        <f t="shared" si="10"/>
        <v>0</v>
      </c>
      <c r="AB6">
        <f t="shared" si="11"/>
        <v>20816.32</v>
      </c>
      <c r="AC6">
        <v>20816.32</v>
      </c>
      <c r="AD6">
        <v>17705.37</v>
      </c>
      <c r="AE6">
        <v>3110.95</v>
      </c>
      <c r="AF6" t="s">
        <v>33</v>
      </c>
      <c r="AG6" t="s">
        <v>77</v>
      </c>
      <c r="AH6" t="str">
        <f t="shared" si="7"/>
        <v>Cancelled</v>
      </c>
      <c r="AI6" t="str">
        <f t="shared" si="8"/>
        <v>Valid</v>
      </c>
      <c r="AJ6">
        <f t="shared" si="9"/>
        <v>3110.9500000000007</v>
      </c>
      <c r="AK6" s="12">
        <f t="shared" si="12"/>
        <v>0.14944764492475138</v>
      </c>
      <c r="AL6">
        <f t="shared" si="13"/>
        <v>8</v>
      </c>
      <c r="AM6">
        <f t="shared" si="14"/>
        <v>2025</v>
      </c>
      <c r="AN6" t="str">
        <f t="shared" si="15"/>
        <v>Clean</v>
      </c>
    </row>
    <row r="7" spans="1:40">
      <c r="A7" t="s">
        <v>78</v>
      </c>
      <c r="B7" s="3" t="s">
        <v>79</v>
      </c>
      <c r="C7" s="10">
        <v>45436</v>
      </c>
      <c r="D7" s="3" t="s">
        <v>80</v>
      </c>
      <c r="E7" s="10">
        <v>45440</v>
      </c>
      <c r="F7" s="6" t="str">
        <f t="shared" si="0"/>
        <v>Valid</v>
      </c>
      <c r="G7" s="8">
        <f t="shared" si="1"/>
        <v>4</v>
      </c>
      <c r="H7" s="8" t="str">
        <f t="shared" si="2"/>
        <v>Valid</v>
      </c>
      <c r="I7" t="s">
        <v>81</v>
      </c>
      <c r="J7" t="s">
        <v>82</v>
      </c>
      <c r="K7" t="s">
        <v>82</v>
      </c>
      <c r="L7" t="s">
        <v>40</v>
      </c>
      <c r="M7" s="3" t="str">
        <f t="shared" si="3"/>
        <v>Small Business</v>
      </c>
      <c r="N7" t="s">
        <v>72</v>
      </c>
      <c r="O7" s="3" t="str">
        <f t="shared" si="4"/>
        <v>West</v>
      </c>
      <c r="P7" t="s">
        <v>83</v>
      </c>
      <c r="Q7" t="s">
        <v>84</v>
      </c>
      <c r="R7" t="s">
        <v>85</v>
      </c>
      <c r="S7" s="3" t="str">
        <f t="shared" si="5"/>
        <v>Technology</v>
      </c>
      <c r="T7" t="s">
        <v>86</v>
      </c>
      <c r="U7" t="s">
        <v>87</v>
      </c>
      <c r="V7" t="s">
        <v>47</v>
      </c>
      <c r="W7" s="3" t="str">
        <f t="shared" si="6"/>
        <v>Same Day</v>
      </c>
      <c r="X7">
        <v>3</v>
      </c>
      <c r="Y7">
        <v>1053.1099999999999</v>
      </c>
      <c r="Z7">
        <v>0.2</v>
      </c>
      <c r="AA7">
        <f t="shared" si="10"/>
        <v>0.2</v>
      </c>
      <c r="AB7">
        <f t="shared" si="11"/>
        <v>2527.4639999999999</v>
      </c>
      <c r="AC7">
        <v>2527.46</v>
      </c>
      <c r="AD7">
        <v>1533.58</v>
      </c>
      <c r="AE7">
        <v>993.88</v>
      </c>
      <c r="AF7" t="s">
        <v>33</v>
      </c>
      <c r="AG7" t="s">
        <v>34</v>
      </c>
      <c r="AH7" t="str">
        <f t="shared" si="7"/>
        <v>Completed</v>
      </c>
      <c r="AI7" t="str">
        <f t="shared" si="8"/>
        <v>Valid</v>
      </c>
      <c r="AJ7">
        <f t="shared" si="9"/>
        <v>993.88000000000011</v>
      </c>
      <c r="AK7" s="12">
        <f t="shared" si="12"/>
        <v>0.39323210933963854</v>
      </c>
      <c r="AL7">
        <f t="shared" si="13"/>
        <v>5</v>
      </c>
      <c r="AM7">
        <f t="shared" si="14"/>
        <v>2024</v>
      </c>
      <c r="AN7" t="str">
        <f t="shared" si="15"/>
        <v>Clean</v>
      </c>
    </row>
    <row r="8" spans="1:40">
      <c r="A8" t="s">
        <v>88</v>
      </c>
      <c r="B8" s="3" t="s">
        <v>89</v>
      </c>
      <c r="C8" s="10">
        <v>45757</v>
      </c>
      <c r="D8" s="3" t="s">
        <v>90</v>
      </c>
      <c r="E8" s="10">
        <v>45763</v>
      </c>
      <c r="F8" s="6" t="str">
        <f t="shared" si="0"/>
        <v>Valid</v>
      </c>
      <c r="G8" s="8">
        <f t="shared" si="1"/>
        <v>6</v>
      </c>
      <c r="H8" s="8" t="str">
        <f t="shared" si="2"/>
        <v>Valid</v>
      </c>
      <c r="I8" t="s">
        <v>91</v>
      </c>
      <c r="J8" t="s">
        <v>92</v>
      </c>
      <c r="K8" t="s">
        <v>92</v>
      </c>
      <c r="L8" t="s">
        <v>25</v>
      </c>
      <c r="M8" s="3" t="str">
        <f t="shared" si="3"/>
        <v>Consumer</v>
      </c>
      <c r="N8" t="s">
        <v>41</v>
      </c>
      <c r="O8" s="3" t="str">
        <f t="shared" si="4"/>
        <v>East</v>
      </c>
      <c r="P8" t="s">
        <v>42</v>
      </c>
      <c r="Q8" t="s">
        <v>43</v>
      </c>
      <c r="R8" t="s">
        <v>85</v>
      </c>
      <c r="S8" s="3" t="str">
        <f t="shared" si="5"/>
        <v>Technology</v>
      </c>
      <c r="T8" t="s">
        <v>93</v>
      </c>
      <c r="U8" t="s">
        <v>94</v>
      </c>
      <c r="V8" t="s">
        <v>66</v>
      </c>
      <c r="W8" s="3" t="str">
        <f t="shared" si="6"/>
        <v>Standard Class</v>
      </c>
      <c r="X8">
        <v>4</v>
      </c>
      <c r="Y8">
        <v>1719.87</v>
      </c>
      <c r="Z8">
        <v>0.15</v>
      </c>
      <c r="AA8">
        <f t="shared" si="10"/>
        <v>0.15</v>
      </c>
      <c r="AB8">
        <f t="shared" si="11"/>
        <v>5847.5579999999991</v>
      </c>
      <c r="AC8">
        <v>5847.56</v>
      </c>
      <c r="AD8">
        <v>4727.25</v>
      </c>
      <c r="AE8">
        <v>1120.31</v>
      </c>
      <c r="AF8" t="s">
        <v>33</v>
      </c>
      <c r="AG8" t="s">
        <v>34</v>
      </c>
      <c r="AH8" t="str">
        <f t="shared" si="7"/>
        <v>Completed</v>
      </c>
      <c r="AI8" t="str">
        <f t="shared" si="8"/>
        <v>Valid</v>
      </c>
      <c r="AJ8">
        <f t="shared" si="9"/>
        <v>1120.3100000000004</v>
      </c>
      <c r="AK8" s="12">
        <f t="shared" si="12"/>
        <v>0.19158595776219758</v>
      </c>
      <c r="AL8">
        <f t="shared" si="13"/>
        <v>4</v>
      </c>
      <c r="AM8">
        <f t="shared" si="14"/>
        <v>2025</v>
      </c>
      <c r="AN8" t="str">
        <f t="shared" si="15"/>
        <v>Clean</v>
      </c>
    </row>
    <row r="9" spans="1:40">
      <c r="A9" t="s">
        <v>95</v>
      </c>
      <c r="B9" s="3" t="s">
        <v>96</v>
      </c>
      <c r="C9" s="10">
        <v>45711</v>
      </c>
      <c r="D9" s="3" t="s">
        <v>97</v>
      </c>
      <c r="E9" s="10">
        <v>45714</v>
      </c>
      <c r="F9" s="6" t="str">
        <f t="shared" si="0"/>
        <v>Valid</v>
      </c>
      <c r="G9" s="8">
        <f t="shared" si="1"/>
        <v>3</v>
      </c>
      <c r="H9" s="8" t="str">
        <f t="shared" si="2"/>
        <v>Valid</v>
      </c>
      <c r="I9" t="s">
        <v>98</v>
      </c>
      <c r="J9" t="s">
        <v>52</v>
      </c>
      <c r="K9" t="s">
        <v>52</v>
      </c>
      <c r="L9" t="s">
        <v>40</v>
      </c>
      <c r="M9" s="3" t="str">
        <f t="shared" si="3"/>
        <v>Small Business</v>
      </c>
      <c r="N9" t="s">
        <v>61</v>
      </c>
      <c r="O9" s="3" t="str">
        <f t="shared" si="4"/>
        <v>South</v>
      </c>
      <c r="P9" t="s">
        <v>99</v>
      </c>
      <c r="Q9" t="s">
        <v>100</v>
      </c>
      <c r="R9" t="s">
        <v>29</v>
      </c>
      <c r="S9" s="3" t="str">
        <f t="shared" si="5"/>
        <v>Office Supplies</v>
      </c>
      <c r="T9" t="s">
        <v>53</v>
      </c>
      <c r="U9" t="s">
        <v>101</v>
      </c>
      <c r="V9" t="s">
        <v>55</v>
      </c>
      <c r="W9" s="3" t="str">
        <f t="shared" si="6"/>
        <v>First Class</v>
      </c>
      <c r="X9">
        <v>1</v>
      </c>
      <c r="Y9">
        <v>2980.71</v>
      </c>
      <c r="Z9">
        <v>0</v>
      </c>
      <c r="AA9">
        <f t="shared" si="10"/>
        <v>0</v>
      </c>
      <c r="AB9">
        <f t="shared" si="11"/>
        <v>2980.71</v>
      </c>
      <c r="AC9">
        <v>2980.71</v>
      </c>
      <c r="AD9">
        <v>2357.2199999999998</v>
      </c>
      <c r="AE9">
        <v>623.49</v>
      </c>
      <c r="AF9" t="s">
        <v>33</v>
      </c>
      <c r="AG9" t="s">
        <v>34</v>
      </c>
      <c r="AH9" t="str">
        <f t="shared" si="7"/>
        <v>Completed</v>
      </c>
      <c r="AI9" t="str">
        <f t="shared" si="8"/>
        <v>Valid</v>
      </c>
      <c r="AJ9">
        <f t="shared" si="9"/>
        <v>623.49000000000024</v>
      </c>
      <c r="AK9" s="12">
        <f t="shared" si="12"/>
        <v>0.20917499521925992</v>
      </c>
      <c r="AL9">
        <f t="shared" si="13"/>
        <v>2</v>
      </c>
      <c r="AM9">
        <f t="shared" si="14"/>
        <v>2025</v>
      </c>
      <c r="AN9" t="str">
        <f t="shared" si="15"/>
        <v>Clean</v>
      </c>
    </row>
    <row r="10" spans="1:40">
      <c r="A10" t="s">
        <v>102</v>
      </c>
      <c r="B10" s="3" t="s">
        <v>103</v>
      </c>
      <c r="C10" s="10">
        <v>45601</v>
      </c>
      <c r="D10" s="3" t="s">
        <v>104</v>
      </c>
      <c r="E10" s="10">
        <v>45606</v>
      </c>
      <c r="F10" s="6" t="str">
        <f t="shared" si="0"/>
        <v>Valid</v>
      </c>
      <c r="G10" s="8">
        <f t="shared" si="1"/>
        <v>5</v>
      </c>
      <c r="H10" s="8" t="str">
        <f t="shared" si="2"/>
        <v>Valid</v>
      </c>
      <c r="I10" t="s">
        <v>105</v>
      </c>
      <c r="J10" t="s">
        <v>106</v>
      </c>
      <c r="K10" t="s">
        <v>106</v>
      </c>
      <c r="L10" t="s">
        <v>107</v>
      </c>
      <c r="M10" s="3" t="str">
        <f t="shared" si="3"/>
        <v>Corporate</v>
      </c>
      <c r="N10" t="s">
        <v>61</v>
      </c>
      <c r="O10" s="3" t="str">
        <f t="shared" si="4"/>
        <v>South</v>
      </c>
      <c r="P10" t="s">
        <v>62</v>
      </c>
      <c r="Q10" t="s">
        <v>63</v>
      </c>
      <c r="R10" t="s">
        <v>29</v>
      </c>
      <c r="S10" s="3" t="str">
        <f t="shared" si="5"/>
        <v>Office Supplies</v>
      </c>
      <c r="T10" t="s">
        <v>108</v>
      </c>
      <c r="U10" t="s">
        <v>109</v>
      </c>
      <c r="V10" t="s">
        <v>55</v>
      </c>
      <c r="W10" s="3" t="str">
        <f t="shared" si="6"/>
        <v>First Class</v>
      </c>
      <c r="X10">
        <v>8</v>
      </c>
      <c r="Y10">
        <v>3134.2</v>
      </c>
      <c r="Z10">
        <v>0</v>
      </c>
      <c r="AA10">
        <f t="shared" si="10"/>
        <v>0</v>
      </c>
      <c r="AB10">
        <f t="shared" si="11"/>
        <v>25073.599999999999</v>
      </c>
      <c r="AC10">
        <v>25073.599999999999</v>
      </c>
      <c r="AD10">
        <v>17347.23</v>
      </c>
      <c r="AE10">
        <v>7726.37</v>
      </c>
      <c r="AF10" t="s">
        <v>33</v>
      </c>
      <c r="AG10" t="s">
        <v>34</v>
      </c>
      <c r="AH10" t="str">
        <f t="shared" si="7"/>
        <v>Completed</v>
      </c>
      <c r="AI10" t="str">
        <f t="shared" si="8"/>
        <v>Valid</v>
      </c>
      <c r="AJ10">
        <f t="shared" si="9"/>
        <v>7726.369999999999</v>
      </c>
      <c r="AK10" s="12">
        <f t="shared" si="12"/>
        <v>0.30814761342607361</v>
      </c>
      <c r="AL10">
        <f t="shared" si="13"/>
        <v>11</v>
      </c>
      <c r="AM10">
        <f t="shared" si="14"/>
        <v>2024</v>
      </c>
      <c r="AN10" t="str">
        <f t="shared" si="15"/>
        <v>Clean</v>
      </c>
    </row>
    <row r="11" spans="1:40">
      <c r="A11" t="s">
        <v>110</v>
      </c>
      <c r="B11" s="3" t="s">
        <v>111</v>
      </c>
      <c r="C11" s="10">
        <v>45907</v>
      </c>
      <c r="D11" s="3" t="s">
        <v>112</v>
      </c>
      <c r="E11" s="10">
        <v>45912</v>
      </c>
      <c r="F11" s="6" t="str">
        <f t="shared" si="0"/>
        <v>Valid</v>
      </c>
      <c r="G11" s="8">
        <f t="shared" si="1"/>
        <v>5</v>
      </c>
      <c r="H11" s="8" t="str">
        <f t="shared" si="2"/>
        <v>Valid</v>
      </c>
      <c r="I11" t="s">
        <v>113</v>
      </c>
      <c r="J11" t="s">
        <v>39</v>
      </c>
      <c r="K11" t="s">
        <v>39</v>
      </c>
      <c r="L11" t="s">
        <v>114</v>
      </c>
      <c r="M11" s="3" t="str">
        <f t="shared" si="3"/>
        <v>Home Office</v>
      </c>
      <c r="N11" t="s">
        <v>61</v>
      </c>
      <c r="O11" s="3" t="str">
        <f t="shared" si="4"/>
        <v>South</v>
      </c>
      <c r="P11" t="s">
        <v>62</v>
      </c>
      <c r="Q11" t="s">
        <v>63</v>
      </c>
      <c r="R11" t="s">
        <v>29</v>
      </c>
      <c r="S11" s="3" t="str">
        <f t="shared" si="5"/>
        <v>Office Supplies</v>
      </c>
      <c r="T11" t="s">
        <v>30</v>
      </c>
      <c r="U11" t="s">
        <v>115</v>
      </c>
      <c r="V11" t="s">
        <v>32</v>
      </c>
      <c r="W11" s="3" t="str">
        <f t="shared" si="6"/>
        <v>Second Class</v>
      </c>
      <c r="X11">
        <v>9</v>
      </c>
      <c r="Y11">
        <v>852.04</v>
      </c>
      <c r="Z11">
        <v>0.2</v>
      </c>
      <c r="AA11">
        <f t="shared" si="10"/>
        <v>0.2</v>
      </c>
      <c r="AB11">
        <f t="shared" si="11"/>
        <v>6134.6880000000001</v>
      </c>
      <c r="AC11">
        <v>6134.69</v>
      </c>
      <c r="AD11">
        <v>3800.19</v>
      </c>
      <c r="AE11">
        <v>2334.5</v>
      </c>
      <c r="AF11" t="s">
        <v>33</v>
      </c>
      <c r="AG11" t="s">
        <v>34</v>
      </c>
      <c r="AH11" t="str">
        <f t="shared" si="7"/>
        <v>Completed</v>
      </c>
      <c r="AI11" t="str">
        <f t="shared" si="8"/>
        <v>Valid</v>
      </c>
      <c r="AJ11">
        <f t="shared" si="9"/>
        <v>2334.4999999999995</v>
      </c>
      <c r="AK11" s="12">
        <f t="shared" si="12"/>
        <v>0.38054095008580707</v>
      </c>
      <c r="AL11">
        <f t="shared" si="13"/>
        <v>9</v>
      </c>
      <c r="AM11">
        <f t="shared" si="14"/>
        <v>2025</v>
      </c>
      <c r="AN11" t="str">
        <f t="shared" si="15"/>
        <v>Clean</v>
      </c>
    </row>
    <row r="12" spans="1:40">
      <c r="A12" t="s">
        <v>116</v>
      </c>
      <c r="B12" s="3" t="s">
        <v>117</v>
      </c>
      <c r="C12" s="10">
        <v>45797</v>
      </c>
      <c r="D12" s="3" t="s">
        <v>118</v>
      </c>
      <c r="E12" s="10">
        <v>45797</v>
      </c>
      <c r="F12" s="6" t="str">
        <f t="shared" si="0"/>
        <v>Valid</v>
      </c>
      <c r="G12" s="8">
        <f t="shared" si="1"/>
        <v>0</v>
      </c>
      <c r="H12" s="8" t="str">
        <f t="shared" si="2"/>
        <v>Valid</v>
      </c>
      <c r="I12" t="s">
        <v>119</v>
      </c>
      <c r="J12" t="s">
        <v>71</v>
      </c>
      <c r="K12" t="s">
        <v>71</v>
      </c>
      <c r="L12" t="s">
        <v>107</v>
      </c>
      <c r="M12" s="3" t="str">
        <f t="shared" si="3"/>
        <v>Corporate</v>
      </c>
      <c r="N12" t="s">
        <v>41</v>
      </c>
      <c r="O12" s="3" t="str">
        <f t="shared" si="4"/>
        <v>East</v>
      </c>
      <c r="P12" t="s">
        <v>120</v>
      </c>
      <c r="Q12" t="s">
        <v>121</v>
      </c>
      <c r="R12" t="s">
        <v>29</v>
      </c>
      <c r="S12" s="3" t="str">
        <f t="shared" si="5"/>
        <v>Office Supplies</v>
      </c>
      <c r="T12" t="s">
        <v>108</v>
      </c>
      <c r="U12" t="s">
        <v>122</v>
      </c>
      <c r="V12" t="s">
        <v>32</v>
      </c>
      <c r="W12" s="3" t="str">
        <f t="shared" si="6"/>
        <v>Second Class</v>
      </c>
      <c r="X12">
        <v>3</v>
      </c>
      <c r="Y12">
        <v>3534.83</v>
      </c>
      <c r="Z12">
        <v>0.05</v>
      </c>
      <c r="AA12">
        <f t="shared" si="10"/>
        <v>0.05</v>
      </c>
      <c r="AB12">
        <f t="shared" si="11"/>
        <v>10074.2655</v>
      </c>
      <c r="AC12">
        <v>10074.27</v>
      </c>
      <c r="AD12">
        <v>6048.27</v>
      </c>
      <c r="AE12">
        <v>4026</v>
      </c>
      <c r="AF12" t="s">
        <v>123</v>
      </c>
      <c r="AG12" t="s">
        <v>124</v>
      </c>
      <c r="AH12" t="str">
        <f t="shared" si="7"/>
        <v>Returned</v>
      </c>
      <c r="AI12" t="str">
        <f t="shared" si="8"/>
        <v>Valid</v>
      </c>
      <c r="AJ12">
        <f t="shared" si="9"/>
        <v>4026</v>
      </c>
      <c r="AK12" s="12">
        <f t="shared" si="12"/>
        <v>0.39963211213760447</v>
      </c>
      <c r="AL12">
        <f t="shared" si="13"/>
        <v>5</v>
      </c>
      <c r="AM12">
        <f t="shared" si="14"/>
        <v>2025</v>
      </c>
      <c r="AN12" t="str">
        <f t="shared" si="15"/>
        <v>Clean</v>
      </c>
    </row>
    <row r="13" spans="1:40">
      <c r="A13" t="s">
        <v>125</v>
      </c>
      <c r="B13" s="3" t="s">
        <v>126</v>
      </c>
      <c r="C13" s="10">
        <v>45495</v>
      </c>
      <c r="D13" s="3" t="s">
        <v>127</v>
      </c>
      <c r="E13" s="10">
        <v>45496</v>
      </c>
      <c r="F13" s="6" t="str">
        <f t="shared" si="0"/>
        <v>Valid</v>
      </c>
      <c r="G13" s="8">
        <f t="shared" si="1"/>
        <v>1</v>
      </c>
      <c r="H13" s="8" t="str">
        <f t="shared" si="2"/>
        <v>Valid</v>
      </c>
      <c r="I13" t="s">
        <v>128</v>
      </c>
      <c r="J13" t="s">
        <v>82</v>
      </c>
      <c r="K13" t="s">
        <v>82</v>
      </c>
      <c r="L13" t="s">
        <v>40</v>
      </c>
      <c r="M13" s="3" t="str">
        <f t="shared" si="3"/>
        <v>Small Business</v>
      </c>
      <c r="N13" t="s">
        <v>41</v>
      </c>
      <c r="O13" s="3" t="str">
        <f t="shared" si="4"/>
        <v>East</v>
      </c>
      <c r="P13" t="s">
        <v>42</v>
      </c>
      <c r="Q13" t="s">
        <v>43</v>
      </c>
      <c r="R13" t="s">
        <v>85</v>
      </c>
      <c r="S13" s="3" t="str">
        <f t="shared" si="5"/>
        <v>Technology</v>
      </c>
      <c r="T13" t="s">
        <v>86</v>
      </c>
      <c r="U13" t="s">
        <v>129</v>
      </c>
      <c r="V13" t="s">
        <v>47</v>
      </c>
      <c r="W13" s="3" t="str">
        <f t="shared" si="6"/>
        <v>Same Day</v>
      </c>
      <c r="X13">
        <v>6</v>
      </c>
      <c r="Y13">
        <v>2005.95</v>
      </c>
      <c r="Z13">
        <v>0.2</v>
      </c>
      <c r="AA13">
        <f t="shared" si="10"/>
        <v>0.2</v>
      </c>
      <c r="AB13">
        <f t="shared" si="11"/>
        <v>9628.5600000000013</v>
      </c>
      <c r="AC13">
        <v>9628.56</v>
      </c>
      <c r="AD13">
        <v>8038.59</v>
      </c>
      <c r="AE13">
        <v>1589.97</v>
      </c>
      <c r="AF13" t="s">
        <v>33</v>
      </c>
      <c r="AG13" t="s">
        <v>34</v>
      </c>
      <c r="AH13" t="str">
        <f t="shared" si="7"/>
        <v>Completed</v>
      </c>
      <c r="AI13" t="str">
        <f t="shared" si="8"/>
        <v>Valid</v>
      </c>
      <c r="AJ13">
        <f t="shared" si="9"/>
        <v>1589.9699999999993</v>
      </c>
      <c r="AK13" s="12">
        <f t="shared" si="12"/>
        <v>0.1651306114309927</v>
      </c>
      <c r="AL13">
        <f t="shared" si="13"/>
        <v>7</v>
      </c>
      <c r="AM13">
        <f t="shared" si="14"/>
        <v>2024</v>
      </c>
      <c r="AN13" t="str">
        <f t="shared" si="15"/>
        <v>Clean</v>
      </c>
    </row>
    <row r="14" spans="1:40">
      <c r="A14" t="s">
        <v>130</v>
      </c>
      <c r="B14" s="3" t="s">
        <v>131</v>
      </c>
      <c r="C14" s="10">
        <v>45646</v>
      </c>
      <c r="D14" s="3" t="s">
        <v>132</v>
      </c>
      <c r="E14" s="10">
        <v>45647</v>
      </c>
      <c r="F14" s="6" t="str">
        <f t="shared" si="0"/>
        <v>Valid</v>
      </c>
      <c r="G14" s="8">
        <f t="shared" si="1"/>
        <v>1</v>
      </c>
      <c r="H14" s="8" t="str">
        <f t="shared" si="2"/>
        <v>Valid</v>
      </c>
      <c r="I14" t="s">
        <v>133</v>
      </c>
      <c r="J14" t="s">
        <v>71</v>
      </c>
      <c r="K14" t="s">
        <v>71</v>
      </c>
      <c r="L14" t="s">
        <v>107</v>
      </c>
      <c r="M14" s="3" t="str">
        <f t="shared" si="3"/>
        <v>Corporate</v>
      </c>
      <c r="N14" t="s">
        <v>72</v>
      </c>
      <c r="O14" s="3" t="str">
        <f t="shared" si="4"/>
        <v>West</v>
      </c>
      <c r="P14" t="s">
        <v>27</v>
      </c>
      <c r="Q14" t="s">
        <v>134</v>
      </c>
      <c r="R14" t="s">
        <v>29</v>
      </c>
      <c r="S14" s="3" t="str">
        <f t="shared" si="5"/>
        <v>Office Supplies</v>
      </c>
      <c r="T14" t="s">
        <v>30</v>
      </c>
      <c r="U14" t="s">
        <v>135</v>
      </c>
      <c r="V14" t="s">
        <v>55</v>
      </c>
      <c r="W14" s="3" t="str">
        <f t="shared" si="6"/>
        <v>First Class</v>
      </c>
      <c r="X14">
        <v>1</v>
      </c>
      <c r="Y14">
        <v>702.14</v>
      </c>
      <c r="Z14">
        <v>0.15</v>
      </c>
      <c r="AA14">
        <f t="shared" si="10"/>
        <v>0.15</v>
      </c>
      <c r="AB14">
        <f t="shared" si="11"/>
        <v>596.81899999999996</v>
      </c>
      <c r="AC14">
        <v>596.82000000000005</v>
      </c>
      <c r="AD14">
        <v>380.25</v>
      </c>
      <c r="AE14">
        <v>216.57</v>
      </c>
      <c r="AF14" t="s">
        <v>136</v>
      </c>
      <c r="AG14" t="s">
        <v>124</v>
      </c>
      <c r="AH14" t="str">
        <f t="shared" si="7"/>
        <v>Returned</v>
      </c>
      <c r="AI14" t="str">
        <f t="shared" si="8"/>
        <v>Valid</v>
      </c>
      <c r="AJ14">
        <f t="shared" si="9"/>
        <v>216.57000000000005</v>
      </c>
      <c r="AK14" s="12">
        <f t="shared" si="12"/>
        <v>0.36287383612116919</v>
      </c>
      <c r="AL14">
        <f t="shared" si="13"/>
        <v>12</v>
      </c>
      <c r="AM14">
        <f t="shared" si="14"/>
        <v>2024</v>
      </c>
      <c r="AN14" t="str">
        <f t="shared" si="15"/>
        <v>Clean</v>
      </c>
    </row>
    <row r="15" spans="1:40">
      <c r="A15" t="s">
        <v>137</v>
      </c>
      <c r="B15" s="3" t="s">
        <v>138</v>
      </c>
      <c r="C15" s="10">
        <v>45942</v>
      </c>
      <c r="D15" s="3" t="s">
        <v>139</v>
      </c>
      <c r="E15" s="10">
        <v>45946</v>
      </c>
      <c r="F15" s="6" t="str">
        <f t="shared" si="0"/>
        <v>Valid</v>
      </c>
      <c r="G15" s="8">
        <f t="shared" si="1"/>
        <v>4</v>
      </c>
      <c r="H15" s="8" t="str">
        <f t="shared" si="2"/>
        <v>Valid</v>
      </c>
      <c r="I15" t="s">
        <v>140</v>
      </c>
      <c r="J15" t="s">
        <v>141</v>
      </c>
      <c r="K15" t="s">
        <v>141</v>
      </c>
      <c r="L15" t="s">
        <v>40</v>
      </c>
      <c r="M15" s="3" t="str">
        <f t="shared" si="3"/>
        <v>Small Business</v>
      </c>
      <c r="N15" t="s">
        <v>72</v>
      </c>
      <c r="O15" s="3" t="str">
        <f t="shared" si="4"/>
        <v>West</v>
      </c>
      <c r="P15" t="s">
        <v>73</v>
      </c>
      <c r="Q15" t="s">
        <v>74</v>
      </c>
      <c r="R15" t="s">
        <v>29</v>
      </c>
      <c r="S15" s="3" t="str">
        <f t="shared" si="5"/>
        <v>Office Supplies</v>
      </c>
      <c r="T15" t="s">
        <v>53</v>
      </c>
      <c r="U15" t="s">
        <v>142</v>
      </c>
      <c r="V15" t="s">
        <v>32</v>
      </c>
      <c r="W15" s="3" t="str">
        <f t="shared" si="6"/>
        <v>Second Class</v>
      </c>
      <c r="X15">
        <v>7</v>
      </c>
      <c r="Y15">
        <v>3964.72</v>
      </c>
      <c r="Z15">
        <v>0.05</v>
      </c>
      <c r="AA15">
        <f t="shared" si="10"/>
        <v>0.05</v>
      </c>
      <c r="AB15">
        <f t="shared" si="11"/>
        <v>26365.387999999995</v>
      </c>
      <c r="AC15">
        <v>26365.39</v>
      </c>
      <c r="AD15">
        <v>22306.240000000002</v>
      </c>
      <c r="AE15">
        <v>4059.15</v>
      </c>
      <c r="AF15" t="s">
        <v>33</v>
      </c>
      <c r="AG15" t="s">
        <v>34</v>
      </c>
      <c r="AH15" t="str">
        <f t="shared" si="7"/>
        <v>Completed</v>
      </c>
      <c r="AI15" t="str">
        <f t="shared" si="8"/>
        <v>Valid</v>
      </c>
      <c r="AJ15">
        <f t="shared" si="9"/>
        <v>4059.1499999999978</v>
      </c>
      <c r="AK15" s="12">
        <f t="shared" si="12"/>
        <v>0.1539575294700764</v>
      </c>
      <c r="AL15">
        <f t="shared" si="13"/>
        <v>10</v>
      </c>
      <c r="AM15">
        <f t="shared" si="14"/>
        <v>2025</v>
      </c>
      <c r="AN15" t="str">
        <f t="shared" si="15"/>
        <v>Clean</v>
      </c>
    </row>
    <row r="16" spans="1:40">
      <c r="A16" t="s">
        <v>143</v>
      </c>
      <c r="B16" s="3" t="s">
        <v>144</v>
      </c>
      <c r="C16" s="10">
        <v>45653</v>
      </c>
      <c r="D16" s="3" t="s">
        <v>145</v>
      </c>
      <c r="E16" s="10">
        <v>45654</v>
      </c>
      <c r="F16" s="6" t="str">
        <f t="shared" si="0"/>
        <v>Valid</v>
      </c>
      <c r="G16" s="8">
        <f t="shared" si="1"/>
        <v>1</v>
      </c>
      <c r="H16" s="8" t="str">
        <f t="shared" si="2"/>
        <v>Valid</v>
      </c>
      <c r="I16" t="s">
        <v>146</v>
      </c>
      <c r="J16" t="s">
        <v>147</v>
      </c>
      <c r="K16" t="s">
        <v>147</v>
      </c>
      <c r="L16" t="s">
        <v>25</v>
      </c>
      <c r="M16" s="3" t="str">
        <f t="shared" si="3"/>
        <v>Consumer</v>
      </c>
      <c r="N16" t="s">
        <v>72</v>
      </c>
      <c r="O16" s="3" t="str">
        <f t="shared" si="4"/>
        <v>West</v>
      </c>
      <c r="P16" t="s">
        <v>27</v>
      </c>
      <c r="Q16" t="s">
        <v>134</v>
      </c>
      <c r="R16" t="s">
        <v>85</v>
      </c>
      <c r="S16" s="3" t="str">
        <f t="shared" si="5"/>
        <v>Technology</v>
      </c>
      <c r="T16" t="s">
        <v>93</v>
      </c>
      <c r="U16" t="s">
        <v>148</v>
      </c>
      <c r="V16" t="s">
        <v>66</v>
      </c>
      <c r="W16" s="3" t="str">
        <f t="shared" si="6"/>
        <v>Standard Class</v>
      </c>
      <c r="X16">
        <v>2</v>
      </c>
      <c r="Y16">
        <v>2737.83</v>
      </c>
      <c r="Z16">
        <v>0.25</v>
      </c>
      <c r="AA16">
        <f t="shared" si="10"/>
        <v>0.25</v>
      </c>
      <c r="AB16">
        <f t="shared" si="11"/>
        <v>4106.7449999999999</v>
      </c>
      <c r="AC16">
        <v>4106.74</v>
      </c>
      <c r="AD16">
        <v>2666.3</v>
      </c>
      <c r="AE16">
        <v>1440.44</v>
      </c>
      <c r="AF16" t="s">
        <v>33</v>
      </c>
      <c r="AG16" t="s">
        <v>34</v>
      </c>
      <c r="AH16" t="str">
        <f t="shared" si="7"/>
        <v>Completed</v>
      </c>
      <c r="AI16" t="str">
        <f t="shared" si="8"/>
        <v>Valid</v>
      </c>
      <c r="AJ16">
        <f t="shared" si="9"/>
        <v>1440.4399999999996</v>
      </c>
      <c r="AK16" s="12">
        <f t="shared" si="12"/>
        <v>0.35074980306787973</v>
      </c>
      <c r="AL16">
        <f t="shared" si="13"/>
        <v>12</v>
      </c>
      <c r="AM16">
        <f t="shared" si="14"/>
        <v>2024</v>
      </c>
      <c r="AN16" t="str">
        <f t="shared" si="15"/>
        <v>Clean</v>
      </c>
    </row>
    <row r="17" spans="1:40">
      <c r="A17" t="s">
        <v>149</v>
      </c>
      <c r="B17" s="3" t="s">
        <v>150</v>
      </c>
      <c r="C17" s="10">
        <v>45482</v>
      </c>
      <c r="D17" s="3" t="s">
        <v>151</v>
      </c>
      <c r="E17" s="10">
        <v>45482</v>
      </c>
      <c r="F17" s="6" t="str">
        <f t="shared" si="0"/>
        <v>Valid</v>
      </c>
      <c r="G17" s="8">
        <f t="shared" si="1"/>
        <v>0</v>
      </c>
      <c r="H17" s="8" t="str">
        <f t="shared" si="2"/>
        <v>Valid</v>
      </c>
      <c r="I17" t="s">
        <v>152</v>
      </c>
      <c r="J17" t="s">
        <v>24</v>
      </c>
      <c r="K17" t="s">
        <v>24</v>
      </c>
      <c r="L17" t="s">
        <v>40</v>
      </c>
      <c r="M17" s="3" t="str">
        <f t="shared" si="3"/>
        <v>Small Business</v>
      </c>
      <c r="N17" t="s">
        <v>26</v>
      </c>
      <c r="O17" s="3" t="str">
        <f t="shared" si="4"/>
        <v>North</v>
      </c>
      <c r="P17" t="s">
        <v>153</v>
      </c>
      <c r="Q17" t="s">
        <v>154</v>
      </c>
      <c r="R17" t="s">
        <v>29</v>
      </c>
      <c r="S17" s="3" t="str">
        <f t="shared" si="5"/>
        <v>Office Supplies</v>
      </c>
      <c r="T17" t="s">
        <v>155</v>
      </c>
      <c r="U17" t="s">
        <v>156</v>
      </c>
      <c r="V17" t="s">
        <v>32</v>
      </c>
      <c r="W17" s="3" t="str">
        <f t="shared" si="6"/>
        <v>Second Class</v>
      </c>
      <c r="X17">
        <v>6</v>
      </c>
      <c r="Y17">
        <v>3965.76</v>
      </c>
      <c r="Z17">
        <v>0</v>
      </c>
      <c r="AA17">
        <f t="shared" si="10"/>
        <v>0</v>
      </c>
      <c r="AB17">
        <f t="shared" si="11"/>
        <v>23794.560000000001</v>
      </c>
      <c r="AC17">
        <v>23794.560000000001</v>
      </c>
      <c r="AD17">
        <v>15698.47</v>
      </c>
      <c r="AE17">
        <v>8096.09</v>
      </c>
      <c r="AF17" t="s">
        <v>33</v>
      </c>
      <c r="AG17" t="s">
        <v>34</v>
      </c>
      <c r="AH17" t="str">
        <f t="shared" si="7"/>
        <v>Completed</v>
      </c>
      <c r="AI17" t="str">
        <f t="shared" si="8"/>
        <v>Valid</v>
      </c>
      <c r="AJ17">
        <f t="shared" si="9"/>
        <v>8096.090000000002</v>
      </c>
      <c r="AK17" s="12">
        <f t="shared" si="12"/>
        <v>0.34024962008122872</v>
      </c>
      <c r="AL17">
        <f t="shared" si="13"/>
        <v>7</v>
      </c>
      <c r="AM17">
        <f t="shared" si="14"/>
        <v>2024</v>
      </c>
      <c r="AN17" t="str">
        <f t="shared" si="15"/>
        <v>Clean</v>
      </c>
    </row>
    <row r="18" spans="1:40">
      <c r="A18" t="s">
        <v>157</v>
      </c>
      <c r="B18" s="3" t="s">
        <v>158</v>
      </c>
      <c r="C18" s="10">
        <v>45420</v>
      </c>
      <c r="D18" s="3" t="s">
        <v>159</v>
      </c>
      <c r="E18" s="10">
        <v>45427</v>
      </c>
      <c r="F18" s="6" t="str">
        <f t="shared" si="0"/>
        <v>Valid</v>
      </c>
      <c r="G18" s="8">
        <f t="shared" si="1"/>
        <v>7</v>
      </c>
      <c r="H18" s="8" t="str">
        <f t="shared" si="2"/>
        <v>Valid</v>
      </c>
      <c r="I18" t="s">
        <v>160</v>
      </c>
      <c r="J18" t="s">
        <v>161</v>
      </c>
      <c r="K18" t="s">
        <v>161</v>
      </c>
      <c r="L18" t="s">
        <v>25</v>
      </c>
      <c r="M18" s="3" t="str">
        <f t="shared" si="3"/>
        <v>Consumer</v>
      </c>
      <c r="N18" t="s">
        <v>61</v>
      </c>
      <c r="O18" s="3" t="str">
        <f t="shared" si="4"/>
        <v>South</v>
      </c>
      <c r="P18" t="s">
        <v>62</v>
      </c>
      <c r="Q18" t="s">
        <v>63</v>
      </c>
      <c r="R18" t="s">
        <v>29</v>
      </c>
      <c r="S18" s="3" t="str">
        <f t="shared" si="5"/>
        <v>Office Supplies</v>
      </c>
      <c r="T18" t="s">
        <v>53</v>
      </c>
      <c r="U18" t="s">
        <v>162</v>
      </c>
      <c r="V18" t="s">
        <v>55</v>
      </c>
      <c r="W18" s="3" t="str">
        <f t="shared" si="6"/>
        <v>First Class</v>
      </c>
      <c r="X18">
        <v>4</v>
      </c>
      <c r="Y18">
        <v>3323.51</v>
      </c>
      <c r="Z18">
        <v>0.25</v>
      </c>
      <c r="AA18">
        <f t="shared" si="10"/>
        <v>0.25</v>
      </c>
      <c r="AB18">
        <f t="shared" si="11"/>
        <v>9970.5300000000007</v>
      </c>
      <c r="AC18">
        <v>9970.5300000000007</v>
      </c>
      <c r="AD18">
        <v>5668.17</v>
      </c>
      <c r="AE18">
        <v>4302.3599999999997</v>
      </c>
      <c r="AF18" t="s">
        <v>33</v>
      </c>
      <c r="AG18" t="s">
        <v>34</v>
      </c>
      <c r="AH18" t="str">
        <f t="shared" si="7"/>
        <v>Completed</v>
      </c>
      <c r="AI18" t="str">
        <f t="shared" si="8"/>
        <v>Valid</v>
      </c>
      <c r="AJ18">
        <f t="shared" si="9"/>
        <v>4302.3600000000006</v>
      </c>
      <c r="AK18" s="12">
        <f t="shared" si="12"/>
        <v>0.43150765305354882</v>
      </c>
      <c r="AL18">
        <f t="shared" si="13"/>
        <v>5</v>
      </c>
      <c r="AM18">
        <f t="shared" si="14"/>
        <v>2024</v>
      </c>
      <c r="AN18" t="str">
        <f t="shared" si="15"/>
        <v>Clean</v>
      </c>
    </row>
    <row r="19" spans="1:40">
      <c r="A19" t="s">
        <v>163</v>
      </c>
      <c r="B19" s="3" t="s">
        <v>164</v>
      </c>
      <c r="C19" s="10">
        <v>45298</v>
      </c>
      <c r="D19" s="3" t="s">
        <v>165</v>
      </c>
      <c r="E19" s="10">
        <v>45299</v>
      </c>
      <c r="F19" s="6" t="str">
        <f t="shared" si="0"/>
        <v>Valid</v>
      </c>
      <c r="G19" s="8">
        <f t="shared" si="1"/>
        <v>1</v>
      </c>
      <c r="H19" s="8" t="str">
        <f t="shared" si="2"/>
        <v>Valid</v>
      </c>
      <c r="I19" t="s">
        <v>166</v>
      </c>
      <c r="J19" t="s">
        <v>167</v>
      </c>
      <c r="K19" t="s">
        <v>167</v>
      </c>
      <c r="L19" t="s">
        <v>40</v>
      </c>
      <c r="M19" s="3" t="str">
        <f t="shared" si="3"/>
        <v>Small Business</v>
      </c>
      <c r="N19" t="s">
        <v>26</v>
      </c>
      <c r="O19" s="3" t="str">
        <f t="shared" si="4"/>
        <v>North</v>
      </c>
      <c r="P19" t="s">
        <v>27</v>
      </c>
      <c r="Q19" t="s">
        <v>28</v>
      </c>
      <c r="R19" t="s">
        <v>44</v>
      </c>
      <c r="S19" s="3" t="str">
        <f t="shared" si="5"/>
        <v>Furniture</v>
      </c>
      <c r="T19" t="s">
        <v>64</v>
      </c>
      <c r="U19" t="s">
        <v>168</v>
      </c>
      <c r="V19" t="s">
        <v>47</v>
      </c>
      <c r="W19" s="3" t="str">
        <f t="shared" si="6"/>
        <v>Same Day</v>
      </c>
      <c r="X19">
        <v>5</v>
      </c>
      <c r="Y19">
        <v>1526.78</v>
      </c>
      <c r="Z19">
        <v>0</v>
      </c>
      <c r="AA19">
        <f t="shared" si="10"/>
        <v>0</v>
      </c>
      <c r="AB19">
        <f t="shared" si="11"/>
        <v>7633.9</v>
      </c>
      <c r="AC19">
        <v>7633.9</v>
      </c>
      <c r="AD19">
        <v>4706.91</v>
      </c>
      <c r="AE19">
        <v>2926.99</v>
      </c>
      <c r="AF19" t="s">
        <v>33</v>
      </c>
      <c r="AG19" t="s">
        <v>34</v>
      </c>
      <c r="AH19" t="str">
        <f t="shared" si="7"/>
        <v>Completed</v>
      </c>
      <c r="AI19" t="str">
        <f t="shared" si="8"/>
        <v>Valid</v>
      </c>
      <c r="AJ19">
        <f t="shared" si="9"/>
        <v>2926.99</v>
      </c>
      <c r="AK19" s="12">
        <f t="shared" si="12"/>
        <v>0.38342000812166782</v>
      </c>
      <c r="AL19">
        <f t="shared" si="13"/>
        <v>1</v>
      </c>
      <c r="AM19">
        <f t="shared" si="14"/>
        <v>2024</v>
      </c>
      <c r="AN19" t="str">
        <f t="shared" si="15"/>
        <v>Clean</v>
      </c>
    </row>
    <row r="20" spans="1:40">
      <c r="A20" t="s">
        <v>169</v>
      </c>
      <c r="B20" s="3" t="s">
        <v>170</v>
      </c>
      <c r="C20" s="10">
        <v>45853</v>
      </c>
      <c r="D20" s="3" t="s">
        <v>171</v>
      </c>
      <c r="E20" s="10">
        <v>45855</v>
      </c>
      <c r="F20" s="6" t="str">
        <f t="shared" si="0"/>
        <v>Valid</v>
      </c>
      <c r="G20" s="8">
        <f t="shared" si="1"/>
        <v>2</v>
      </c>
      <c r="H20" s="8" t="str">
        <f t="shared" si="2"/>
        <v>Valid</v>
      </c>
      <c r="I20" t="s">
        <v>172</v>
      </c>
      <c r="J20" t="s">
        <v>161</v>
      </c>
      <c r="K20" t="s">
        <v>161</v>
      </c>
      <c r="L20" t="s">
        <v>114</v>
      </c>
      <c r="M20" s="3" t="str">
        <f t="shared" si="3"/>
        <v>Home Office</v>
      </c>
      <c r="N20" t="s">
        <v>26</v>
      </c>
      <c r="O20" s="3" t="str">
        <f t="shared" si="4"/>
        <v>North</v>
      </c>
      <c r="P20" t="s">
        <v>173</v>
      </c>
      <c r="Q20" t="s">
        <v>174</v>
      </c>
      <c r="R20" t="s">
        <v>85</v>
      </c>
      <c r="S20" s="3" t="str">
        <f t="shared" si="5"/>
        <v>Technology</v>
      </c>
      <c r="T20" t="s">
        <v>93</v>
      </c>
      <c r="U20" t="s">
        <v>175</v>
      </c>
      <c r="V20" t="s">
        <v>55</v>
      </c>
      <c r="W20" s="3" t="str">
        <f t="shared" si="6"/>
        <v>First Class</v>
      </c>
      <c r="X20">
        <v>2</v>
      </c>
      <c r="Y20">
        <v>1997.99</v>
      </c>
      <c r="Z20">
        <v>0</v>
      </c>
      <c r="AA20">
        <f t="shared" si="10"/>
        <v>0</v>
      </c>
      <c r="AB20">
        <f t="shared" si="11"/>
        <v>3995.98</v>
      </c>
      <c r="AC20">
        <v>3995.98</v>
      </c>
      <c r="AD20">
        <v>2633.2</v>
      </c>
      <c r="AE20">
        <v>1362.78</v>
      </c>
      <c r="AF20" t="s">
        <v>123</v>
      </c>
      <c r="AG20" t="s">
        <v>77</v>
      </c>
      <c r="AH20" t="str">
        <f t="shared" si="7"/>
        <v>Cancelled</v>
      </c>
      <c r="AI20" t="str">
        <f t="shared" si="8"/>
        <v>Valid</v>
      </c>
      <c r="AJ20">
        <f t="shared" si="9"/>
        <v>1362.7800000000002</v>
      </c>
      <c r="AK20" s="12">
        <f t="shared" si="12"/>
        <v>0.34103774293164635</v>
      </c>
      <c r="AL20">
        <f t="shared" si="13"/>
        <v>7</v>
      </c>
      <c r="AM20">
        <f t="shared" si="14"/>
        <v>2025</v>
      </c>
      <c r="AN20" t="str">
        <f t="shared" si="15"/>
        <v>Clean</v>
      </c>
    </row>
    <row r="21" spans="1:40">
      <c r="A21" t="s">
        <v>176</v>
      </c>
      <c r="B21" s="3" t="s">
        <v>22</v>
      </c>
      <c r="C21" s="10">
        <v>45500</v>
      </c>
      <c r="D21" s="3" t="s">
        <v>177</v>
      </c>
      <c r="E21" s="10">
        <v>45504</v>
      </c>
      <c r="F21" s="6" t="str">
        <f t="shared" si="0"/>
        <v>Valid</v>
      </c>
      <c r="G21" s="8">
        <f t="shared" si="1"/>
        <v>4</v>
      </c>
      <c r="H21" s="8" t="str">
        <f t="shared" si="2"/>
        <v>Valid</v>
      </c>
      <c r="I21" t="s">
        <v>178</v>
      </c>
      <c r="J21" t="s">
        <v>179</v>
      </c>
      <c r="K21" t="s">
        <v>179</v>
      </c>
      <c r="L21" t="s">
        <v>114</v>
      </c>
      <c r="M21" s="3" t="str">
        <f t="shared" si="3"/>
        <v>Home Office</v>
      </c>
      <c r="N21" t="s">
        <v>72</v>
      </c>
      <c r="O21" s="3" t="str">
        <f t="shared" si="4"/>
        <v>West</v>
      </c>
      <c r="P21" t="s">
        <v>83</v>
      </c>
      <c r="Q21" t="s">
        <v>84</v>
      </c>
      <c r="R21" t="s">
        <v>29</v>
      </c>
      <c r="S21" s="3" t="str">
        <f t="shared" si="5"/>
        <v>Office Supplies</v>
      </c>
      <c r="T21" t="s">
        <v>155</v>
      </c>
      <c r="U21" t="s">
        <v>180</v>
      </c>
      <c r="V21" t="s">
        <v>32</v>
      </c>
      <c r="W21" s="3" t="str">
        <f t="shared" si="6"/>
        <v>Second Class</v>
      </c>
      <c r="X21">
        <v>3</v>
      </c>
      <c r="Y21">
        <v>3887.94</v>
      </c>
      <c r="Z21">
        <v>-0.19</v>
      </c>
      <c r="AA21">
        <f t="shared" si="10"/>
        <v>-0.19</v>
      </c>
      <c r="AB21">
        <f t="shared" si="11"/>
        <v>13879.9458</v>
      </c>
      <c r="AC21">
        <v>9331.06</v>
      </c>
      <c r="AD21">
        <v>7529.31</v>
      </c>
      <c r="AE21">
        <v>1801.75</v>
      </c>
      <c r="AF21" t="s">
        <v>33</v>
      </c>
      <c r="AG21" t="s">
        <v>34</v>
      </c>
      <c r="AH21" t="str">
        <f t="shared" si="7"/>
        <v>Completed</v>
      </c>
      <c r="AI21" t="str">
        <f t="shared" si="8"/>
        <v>Invalid - Negative Discount</v>
      </c>
      <c r="AJ21">
        <f t="shared" si="9"/>
        <v>1801.7499999999991</v>
      </c>
      <c r="AK21" s="12">
        <f t="shared" si="12"/>
        <v>0.12980958470313328</v>
      </c>
      <c r="AL21">
        <f t="shared" si="13"/>
        <v>7</v>
      </c>
      <c r="AM21">
        <f t="shared" si="14"/>
        <v>2024</v>
      </c>
      <c r="AN21" t="str">
        <f t="shared" si="15"/>
        <v>Clean</v>
      </c>
    </row>
    <row r="22" spans="1:40">
      <c r="A22" t="s">
        <v>181</v>
      </c>
      <c r="B22" s="3" t="s">
        <v>182</v>
      </c>
      <c r="C22" s="10">
        <v>45678</v>
      </c>
      <c r="D22" s="3" t="s">
        <v>183</v>
      </c>
      <c r="E22" s="10">
        <v>45680</v>
      </c>
      <c r="F22" s="6" t="str">
        <f t="shared" si="0"/>
        <v>Valid</v>
      </c>
      <c r="G22" s="8">
        <f t="shared" si="1"/>
        <v>2</v>
      </c>
      <c r="H22" s="8" t="str">
        <f t="shared" si="2"/>
        <v>Valid</v>
      </c>
      <c r="I22" t="s">
        <v>184</v>
      </c>
      <c r="J22" t="s">
        <v>106</v>
      </c>
      <c r="K22" t="s">
        <v>106</v>
      </c>
      <c r="L22" t="s">
        <v>114</v>
      </c>
      <c r="M22" s="3" t="str">
        <f t="shared" si="3"/>
        <v>Home Office</v>
      </c>
      <c r="N22" t="s">
        <v>41</v>
      </c>
      <c r="O22" s="3" t="str">
        <f t="shared" si="4"/>
        <v>East</v>
      </c>
      <c r="P22" t="s">
        <v>185</v>
      </c>
      <c r="Q22" t="s">
        <v>186</v>
      </c>
      <c r="R22" t="s">
        <v>85</v>
      </c>
      <c r="S22" s="3" t="str">
        <f t="shared" si="5"/>
        <v>Technology</v>
      </c>
      <c r="T22" t="s">
        <v>93</v>
      </c>
      <c r="U22" t="s">
        <v>187</v>
      </c>
      <c r="V22" t="s">
        <v>55</v>
      </c>
      <c r="W22" s="3" t="str">
        <f t="shared" si="6"/>
        <v>First Class</v>
      </c>
      <c r="X22">
        <v>5</v>
      </c>
      <c r="Y22">
        <v>4373.0600000000004</v>
      </c>
      <c r="Z22">
        <v>0.25</v>
      </c>
      <c r="AA22">
        <f t="shared" si="10"/>
        <v>0.25</v>
      </c>
      <c r="AB22">
        <f t="shared" si="11"/>
        <v>16398.975000000002</v>
      </c>
      <c r="AC22">
        <v>16398.98</v>
      </c>
      <c r="AD22">
        <v>9556.52</v>
      </c>
      <c r="AE22">
        <v>6842.46</v>
      </c>
      <c r="AF22" t="s">
        <v>33</v>
      </c>
      <c r="AG22" t="s">
        <v>34</v>
      </c>
      <c r="AH22" t="str">
        <f t="shared" si="7"/>
        <v>Completed</v>
      </c>
      <c r="AI22" t="str">
        <f t="shared" si="8"/>
        <v>Valid</v>
      </c>
      <c r="AJ22">
        <f t="shared" si="9"/>
        <v>6842.4599999999991</v>
      </c>
      <c r="AK22" s="12">
        <f t="shared" si="12"/>
        <v>0.41724924880975783</v>
      </c>
      <c r="AL22">
        <f t="shared" si="13"/>
        <v>1</v>
      </c>
      <c r="AM22">
        <f t="shared" si="14"/>
        <v>2025</v>
      </c>
      <c r="AN22" t="str">
        <f t="shared" si="15"/>
        <v>Clean</v>
      </c>
    </row>
    <row r="23" spans="1:40">
      <c r="A23" t="s">
        <v>188</v>
      </c>
      <c r="B23" s="3" t="s">
        <v>189</v>
      </c>
      <c r="C23" s="10">
        <v>45681</v>
      </c>
      <c r="D23" s="3" t="s">
        <v>190</v>
      </c>
      <c r="E23" s="10">
        <v>45687</v>
      </c>
      <c r="F23" s="6" t="str">
        <f t="shared" si="0"/>
        <v>Valid</v>
      </c>
      <c r="G23" s="8">
        <f t="shared" si="1"/>
        <v>6</v>
      </c>
      <c r="H23" s="8" t="str">
        <f t="shared" si="2"/>
        <v>Valid</v>
      </c>
      <c r="I23" t="s">
        <v>191</v>
      </c>
      <c r="J23" t="s">
        <v>167</v>
      </c>
      <c r="K23" t="s">
        <v>167</v>
      </c>
      <c r="L23" t="s">
        <v>25</v>
      </c>
      <c r="M23" s="3" t="str">
        <f t="shared" si="3"/>
        <v>Consumer</v>
      </c>
      <c r="N23" t="s">
        <v>72</v>
      </c>
      <c r="O23" s="3" t="str">
        <f t="shared" si="4"/>
        <v>West</v>
      </c>
      <c r="P23" t="s">
        <v>83</v>
      </c>
      <c r="Q23" t="s">
        <v>84</v>
      </c>
      <c r="R23" t="s">
        <v>44</v>
      </c>
      <c r="S23" s="3" t="str">
        <f t="shared" si="5"/>
        <v>Furniture</v>
      </c>
      <c r="T23" t="s">
        <v>64</v>
      </c>
      <c r="U23" t="s">
        <v>192</v>
      </c>
      <c r="V23" t="s">
        <v>32</v>
      </c>
      <c r="W23" s="3" t="str">
        <f t="shared" si="6"/>
        <v>Second Class</v>
      </c>
      <c r="X23">
        <v>4</v>
      </c>
      <c r="Y23">
        <v>697.69</v>
      </c>
      <c r="Z23">
        <v>-0.23</v>
      </c>
      <c r="AA23">
        <f t="shared" si="10"/>
        <v>-0.23</v>
      </c>
      <c r="AB23">
        <f t="shared" si="11"/>
        <v>3432.6348000000003</v>
      </c>
      <c r="AC23">
        <v>2790.76</v>
      </c>
      <c r="AD23">
        <v>2037.71</v>
      </c>
      <c r="AE23">
        <v>753.05</v>
      </c>
      <c r="AF23" t="s">
        <v>33</v>
      </c>
      <c r="AG23" t="s">
        <v>34</v>
      </c>
      <c r="AH23" t="str">
        <f t="shared" si="7"/>
        <v>Completed</v>
      </c>
      <c r="AI23" t="str">
        <f t="shared" si="8"/>
        <v>Invalid - Negative Discount</v>
      </c>
      <c r="AJ23">
        <f t="shared" si="9"/>
        <v>753.05000000000018</v>
      </c>
      <c r="AK23" s="12">
        <f t="shared" si="12"/>
        <v>0.21937958561743887</v>
      </c>
      <c r="AL23">
        <f t="shared" si="13"/>
        <v>1</v>
      </c>
      <c r="AM23">
        <f t="shared" si="14"/>
        <v>2025</v>
      </c>
      <c r="AN23" t="str">
        <f t="shared" si="15"/>
        <v>Clean</v>
      </c>
    </row>
    <row r="24" spans="1:40">
      <c r="A24" t="s">
        <v>193</v>
      </c>
      <c r="B24" s="3" t="s">
        <v>194</v>
      </c>
      <c r="C24" s="10">
        <v>45676</v>
      </c>
      <c r="D24" s="3" t="s">
        <v>195</v>
      </c>
      <c r="E24" s="10">
        <v>45678</v>
      </c>
      <c r="F24" s="6" t="str">
        <f t="shared" si="0"/>
        <v>Valid</v>
      </c>
      <c r="G24" s="8">
        <f t="shared" si="1"/>
        <v>2</v>
      </c>
      <c r="H24" s="8" t="str">
        <f t="shared" si="2"/>
        <v>Valid</v>
      </c>
      <c r="I24" t="s">
        <v>196</v>
      </c>
      <c r="J24" t="s">
        <v>39</v>
      </c>
      <c r="K24" t="s">
        <v>39</v>
      </c>
      <c r="L24" t="s">
        <v>25</v>
      </c>
      <c r="M24" s="3" t="str">
        <f t="shared" si="3"/>
        <v>Consumer</v>
      </c>
      <c r="N24" t="s">
        <v>61</v>
      </c>
      <c r="O24" s="3" t="str">
        <f t="shared" si="4"/>
        <v>South</v>
      </c>
      <c r="P24" t="s">
        <v>62</v>
      </c>
      <c r="Q24" t="s">
        <v>63</v>
      </c>
      <c r="R24" t="s">
        <v>29</v>
      </c>
      <c r="S24" s="3" t="str">
        <f t="shared" si="5"/>
        <v>Office Supplies</v>
      </c>
      <c r="T24" t="s">
        <v>197</v>
      </c>
      <c r="U24" t="s">
        <v>198</v>
      </c>
      <c r="V24" t="s">
        <v>66</v>
      </c>
      <c r="W24" s="3" t="str">
        <f t="shared" si="6"/>
        <v>Standard Class</v>
      </c>
      <c r="X24">
        <v>8</v>
      </c>
      <c r="Y24">
        <v>1219.3399999999999</v>
      </c>
      <c r="Z24">
        <v>0.15</v>
      </c>
      <c r="AA24">
        <f t="shared" si="10"/>
        <v>0.15</v>
      </c>
      <c r="AB24">
        <f t="shared" si="11"/>
        <v>8291.5119999999988</v>
      </c>
      <c r="AC24">
        <v>8291.51</v>
      </c>
      <c r="AD24">
        <v>6685.03</v>
      </c>
      <c r="AE24">
        <v>1606.48</v>
      </c>
      <c r="AF24" t="s">
        <v>199</v>
      </c>
      <c r="AG24" t="s">
        <v>124</v>
      </c>
      <c r="AH24" t="str">
        <f t="shared" si="7"/>
        <v>Returned</v>
      </c>
      <c r="AI24" t="str">
        <f t="shared" si="8"/>
        <v>Valid</v>
      </c>
      <c r="AJ24">
        <f t="shared" si="9"/>
        <v>1606.4800000000005</v>
      </c>
      <c r="AK24" s="12">
        <f t="shared" si="12"/>
        <v>0.19374994572763093</v>
      </c>
      <c r="AL24">
        <f t="shared" si="13"/>
        <v>1</v>
      </c>
      <c r="AM24">
        <f t="shared" si="14"/>
        <v>2025</v>
      </c>
      <c r="AN24" t="str">
        <f t="shared" si="15"/>
        <v>Clean</v>
      </c>
    </row>
    <row r="25" spans="1:40">
      <c r="A25" t="s">
        <v>200</v>
      </c>
      <c r="B25" s="3" t="s">
        <v>68</v>
      </c>
      <c r="C25" s="10">
        <v>45898</v>
      </c>
      <c r="D25" s="3" t="s">
        <v>201</v>
      </c>
      <c r="E25" s="10">
        <v>45900</v>
      </c>
      <c r="F25" s="6" t="str">
        <f t="shared" si="0"/>
        <v>Valid</v>
      </c>
      <c r="G25" s="8">
        <f t="shared" si="1"/>
        <v>2</v>
      </c>
      <c r="H25" s="8" t="str">
        <f t="shared" si="2"/>
        <v>Valid</v>
      </c>
      <c r="I25" t="s">
        <v>202</v>
      </c>
      <c r="J25" t="s">
        <v>147</v>
      </c>
      <c r="K25" t="s">
        <v>147</v>
      </c>
      <c r="L25" t="s">
        <v>114</v>
      </c>
      <c r="M25" s="3" t="str">
        <f t="shared" si="3"/>
        <v>Home Office</v>
      </c>
      <c r="N25" t="s">
        <v>41</v>
      </c>
      <c r="O25" s="3" t="str">
        <f t="shared" si="4"/>
        <v>East</v>
      </c>
      <c r="P25" t="s">
        <v>185</v>
      </c>
      <c r="Q25" t="s">
        <v>186</v>
      </c>
      <c r="R25" t="s">
        <v>44</v>
      </c>
      <c r="S25" s="3" t="str">
        <f t="shared" si="5"/>
        <v>Furniture</v>
      </c>
      <c r="T25" t="s">
        <v>203</v>
      </c>
      <c r="U25" t="s">
        <v>204</v>
      </c>
      <c r="V25" t="s">
        <v>55</v>
      </c>
      <c r="W25" s="3" t="str">
        <f t="shared" si="6"/>
        <v>First Class</v>
      </c>
      <c r="X25">
        <v>4</v>
      </c>
      <c r="Y25">
        <v>1958.01</v>
      </c>
      <c r="Z25">
        <v>0.2</v>
      </c>
      <c r="AA25">
        <f t="shared" si="10"/>
        <v>0.2</v>
      </c>
      <c r="AB25">
        <f t="shared" si="11"/>
        <v>6265.6320000000005</v>
      </c>
      <c r="AC25">
        <v>6265.63</v>
      </c>
      <c r="AD25">
        <v>4321.8599999999997</v>
      </c>
      <c r="AE25">
        <v>1943.77</v>
      </c>
      <c r="AF25" t="s">
        <v>33</v>
      </c>
      <c r="AG25" t="s">
        <v>34</v>
      </c>
      <c r="AH25" t="str">
        <f t="shared" si="7"/>
        <v>Completed</v>
      </c>
      <c r="AI25" t="str">
        <f t="shared" si="8"/>
        <v>Valid</v>
      </c>
      <c r="AJ25">
        <f t="shared" si="9"/>
        <v>1943.7700000000004</v>
      </c>
      <c r="AK25" s="12">
        <f t="shared" si="12"/>
        <v>0.31022728433460506</v>
      </c>
      <c r="AL25">
        <f t="shared" si="13"/>
        <v>8</v>
      </c>
      <c r="AM25">
        <f t="shared" si="14"/>
        <v>2025</v>
      </c>
      <c r="AN25" t="str">
        <f t="shared" si="15"/>
        <v>Clean</v>
      </c>
    </row>
    <row r="26" spans="1:40">
      <c r="A26" t="s">
        <v>205</v>
      </c>
      <c r="B26" s="3" t="s">
        <v>206</v>
      </c>
      <c r="C26" s="10">
        <v>45355</v>
      </c>
      <c r="D26" s="3" t="s">
        <v>207</v>
      </c>
      <c r="E26" s="10">
        <v>45352</v>
      </c>
      <c r="F26" s="6" t="str">
        <f t="shared" si="0"/>
        <v>Invalid Shipping Record</v>
      </c>
      <c r="G26" s="8">
        <f t="shared" si="1"/>
        <v>-3</v>
      </c>
      <c r="H26" s="8" t="str">
        <f t="shared" si="2"/>
        <v>Invalid Shipping Record</v>
      </c>
      <c r="I26" t="s">
        <v>208</v>
      </c>
      <c r="J26" t="s">
        <v>209</v>
      </c>
      <c r="K26" t="s">
        <v>209</v>
      </c>
      <c r="L26" t="s">
        <v>25</v>
      </c>
      <c r="M26" s="3" t="str">
        <f t="shared" si="3"/>
        <v>Consumer</v>
      </c>
      <c r="N26" t="s">
        <v>26</v>
      </c>
      <c r="O26" s="3" t="str">
        <f t="shared" si="4"/>
        <v>North</v>
      </c>
      <c r="P26" t="s">
        <v>153</v>
      </c>
      <c r="Q26" t="s">
        <v>154</v>
      </c>
      <c r="R26" t="s">
        <v>29</v>
      </c>
      <c r="S26" s="3" t="str">
        <f t="shared" si="5"/>
        <v>Office Supplies</v>
      </c>
      <c r="T26" t="s">
        <v>53</v>
      </c>
      <c r="U26" t="s">
        <v>210</v>
      </c>
      <c r="V26" t="s">
        <v>66</v>
      </c>
      <c r="W26" s="3" t="str">
        <f t="shared" si="6"/>
        <v>Standard Class</v>
      </c>
      <c r="X26">
        <v>4</v>
      </c>
      <c r="Y26">
        <v>4492.9399999999996</v>
      </c>
      <c r="Z26">
        <v>0.25</v>
      </c>
      <c r="AA26">
        <f t="shared" si="10"/>
        <v>0.25</v>
      </c>
      <c r="AB26">
        <f t="shared" si="11"/>
        <v>13478.82</v>
      </c>
      <c r="AC26">
        <v>13478.82</v>
      </c>
      <c r="AD26">
        <v>10937.35</v>
      </c>
      <c r="AE26">
        <v>2541.4699999999998</v>
      </c>
      <c r="AF26" t="s">
        <v>136</v>
      </c>
      <c r="AG26" t="s">
        <v>77</v>
      </c>
      <c r="AH26" t="str">
        <f t="shared" si="7"/>
        <v>Cancelled</v>
      </c>
      <c r="AI26" t="str">
        <f t="shared" si="8"/>
        <v>Valid</v>
      </c>
      <c r="AJ26">
        <f t="shared" si="9"/>
        <v>2541.4699999999993</v>
      </c>
      <c r="AK26" s="12">
        <f t="shared" si="12"/>
        <v>0.18855285551702591</v>
      </c>
      <c r="AL26">
        <f t="shared" si="13"/>
        <v>3</v>
      </c>
      <c r="AM26">
        <f t="shared" si="14"/>
        <v>2024</v>
      </c>
      <c r="AN26" t="str">
        <f t="shared" si="15"/>
        <v>Invalid</v>
      </c>
    </row>
    <row r="27" spans="1:40">
      <c r="A27" t="s">
        <v>211</v>
      </c>
      <c r="B27" s="3" t="s">
        <v>212</v>
      </c>
      <c r="C27" s="10">
        <v>45576</v>
      </c>
      <c r="D27" s="3" t="s">
        <v>213</v>
      </c>
      <c r="E27" s="10">
        <v>45584</v>
      </c>
      <c r="F27" s="6" t="str">
        <f t="shared" si="0"/>
        <v>Valid</v>
      </c>
      <c r="G27" s="8">
        <f t="shared" si="1"/>
        <v>8</v>
      </c>
      <c r="H27" s="8" t="str">
        <f t="shared" si="2"/>
        <v>Valid</v>
      </c>
      <c r="I27" t="s">
        <v>214</v>
      </c>
      <c r="J27" t="s">
        <v>60</v>
      </c>
      <c r="K27" t="s">
        <v>60</v>
      </c>
      <c r="L27" t="s">
        <v>107</v>
      </c>
      <c r="M27" s="3" t="str">
        <f t="shared" si="3"/>
        <v>Corporate</v>
      </c>
      <c r="N27" t="s">
        <v>41</v>
      </c>
      <c r="O27" s="3" t="str">
        <f t="shared" si="4"/>
        <v>East</v>
      </c>
      <c r="P27" t="s">
        <v>215</v>
      </c>
      <c r="Q27" t="s">
        <v>216</v>
      </c>
      <c r="R27" t="s">
        <v>85</v>
      </c>
      <c r="S27" s="3" t="str">
        <f t="shared" si="5"/>
        <v>Technology</v>
      </c>
      <c r="T27" t="s">
        <v>86</v>
      </c>
      <c r="U27" t="s">
        <v>217</v>
      </c>
      <c r="V27" t="s">
        <v>55</v>
      </c>
      <c r="W27" s="3" t="str">
        <f t="shared" si="6"/>
        <v>First Class</v>
      </c>
      <c r="X27">
        <v>2</v>
      </c>
      <c r="Y27">
        <v>4315.2</v>
      </c>
      <c r="Z27">
        <v>0.15</v>
      </c>
      <c r="AA27">
        <f t="shared" si="10"/>
        <v>0.15</v>
      </c>
      <c r="AB27">
        <f t="shared" si="11"/>
        <v>7335.8399999999992</v>
      </c>
      <c r="AC27">
        <v>7335.84</v>
      </c>
      <c r="AD27">
        <v>4968.41</v>
      </c>
      <c r="AE27">
        <v>2367.4299999999998</v>
      </c>
      <c r="AF27" t="s">
        <v>33</v>
      </c>
      <c r="AG27" t="s">
        <v>34</v>
      </c>
      <c r="AH27" t="str">
        <f t="shared" si="7"/>
        <v>Completed</v>
      </c>
      <c r="AI27" t="str">
        <f t="shared" si="8"/>
        <v>Valid</v>
      </c>
      <c r="AJ27">
        <f t="shared" si="9"/>
        <v>2367.4300000000003</v>
      </c>
      <c r="AK27" s="12">
        <f t="shared" si="12"/>
        <v>0.32272105171323262</v>
      </c>
      <c r="AL27">
        <f t="shared" si="13"/>
        <v>10</v>
      </c>
      <c r="AM27">
        <f t="shared" si="14"/>
        <v>2024</v>
      </c>
      <c r="AN27" t="str">
        <f t="shared" si="15"/>
        <v>Clean</v>
      </c>
    </row>
    <row r="28" spans="1:40">
      <c r="A28" t="s">
        <v>218</v>
      </c>
      <c r="B28" s="3" t="s">
        <v>219</v>
      </c>
      <c r="C28" s="10">
        <v>45619</v>
      </c>
      <c r="D28" s="3" t="s">
        <v>220</v>
      </c>
      <c r="E28" s="10">
        <v>45619</v>
      </c>
      <c r="F28" s="6" t="str">
        <f t="shared" si="0"/>
        <v>Valid</v>
      </c>
      <c r="G28" s="8">
        <f t="shared" si="1"/>
        <v>0</v>
      </c>
      <c r="H28" s="8" t="str">
        <f t="shared" si="2"/>
        <v>Valid</v>
      </c>
      <c r="I28" t="s">
        <v>221</v>
      </c>
      <c r="J28" t="s">
        <v>209</v>
      </c>
      <c r="K28" t="s">
        <v>209</v>
      </c>
      <c r="L28" t="s">
        <v>107</v>
      </c>
      <c r="M28" s="3" t="str">
        <f t="shared" si="3"/>
        <v>Corporate</v>
      </c>
      <c r="N28" t="s">
        <v>26</v>
      </c>
      <c r="O28" s="3" t="str">
        <f t="shared" si="4"/>
        <v>North</v>
      </c>
      <c r="P28" t="s">
        <v>173</v>
      </c>
      <c r="Q28" t="s">
        <v>174</v>
      </c>
      <c r="R28" t="s">
        <v>85</v>
      </c>
      <c r="S28" s="3" t="str">
        <f t="shared" si="5"/>
        <v>Technology</v>
      </c>
      <c r="T28" t="s">
        <v>222</v>
      </c>
      <c r="U28" t="s">
        <v>223</v>
      </c>
      <c r="V28" t="s">
        <v>66</v>
      </c>
      <c r="W28" s="3" t="str">
        <f t="shared" si="6"/>
        <v>Standard Class</v>
      </c>
      <c r="X28">
        <v>4</v>
      </c>
      <c r="Y28">
        <v>716.13</v>
      </c>
      <c r="Z28">
        <v>0.1</v>
      </c>
      <c r="AA28">
        <f t="shared" si="10"/>
        <v>0.1</v>
      </c>
      <c r="AB28">
        <f t="shared" si="11"/>
        <v>2578.0680000000002</v>
      </c>
      <c r="AC28">
        <v>2578.0700000000002</v>
      </c>
      <c r="AD28">
        <v>1527.55</v>
      </c>
      <c r="AE28">
        <v>1050.52</v>
      </c>
      <c r="AF28" t="s">
        <v>33</v>
      </c>
      <c r="AG28" t="s">
        <v>124</v>
      </c>
      <c r="AH28" t="str">
        <f t="shared" si="7"/>
        <v>Returned</v>
      </c>
      <c r="AI28" t="str">
        <f t="shared" si="8"/>
        <v>Valid</v>
      </c>
      <c r="AJ28">
        <f t="shared" si="9"/>
        <v>1050.5200000000002</v>
      </c>
      <c r="AK28" s="12">
        <f t="shared" si="12"/>
        <v>0.40748343333069575</v>
      </c>
      <c r="AL28">
        <f t="shared" si="13"/>
        <v>11</v>
      </c>
      <c r="AM28">
        <f t="shared" si="14"/>
        <v>2024</v>
      </c>
      <c r="AN28" t="str">
        <f t="shared" si="15"/>
        <v>Clean</v>
      </c>
    </row>
    <row r="29" spans="1:40">
      <c r="A29" t="s">
        <v>224</v>
      </c>
      <c r="B29" s="3" t="s">
        <v>225</v>
      </c>
      <c r="C29" s="10">
        <v>45929</v>
      </c>
      <c r="D29" s="3" t="s">
        <v>226</v>
      </c>
      <c r="E29" s="10">
        <v>45935</v>
      </c>
      <c r="F29" s="6" t="str">
        <f t="shared" si="0"/>
        <v>Valid</v>
      </c>
      <c r="G29" s="8">
        <f t="shared" si="1"/>
        <v>6</v>
      </c>
      <c r="H29" s="8" t="str">
        <f t="shared" si="2"/>
        <v>Valid</v>
      </c>
      <c r="I29" t="s">
        <v>227</v>
      </c>
      <c r="J29" t="s">
        <v>60</v>
      </c>
      <c r="K29" t="s">
        <v>60</v>
      </c>
      <c r="L29" t="s">
        <v>40</v>
      </c>
      <c r="M29" s="3" t="str">
        <f t="shared" si="3"/>
        <v>Small Business</v>
      </c>
      <c r="N29" t="s">
        <v>61</v>
      </c>
      <c r="O29" s="3" t="str">
        <f t="shared" si="4"/>
        <v>South</v>
      </c>
      <c r="P29" t="s">
        <v>228</v>
      </c>
      <c r="Q29" t="s">
        <v>229</v>
      </c>
      <c r="R29" t="s">
        <v>29</v>
      </c>
      <c r="S29" s="3" t="str">
        <f t="shared" si="5"/>
        <v>Office Supplies</v>
      </c>
      <c r="T29" t="s">
        <v>30</v>
      </c>
      <c r="U29" t="s">
        <v>230</v>
      </c>
      <c r="V29" t="s">
        <v>32</v>
      </c>
      <c r="W29" s="3" t="str">
        <f t="shared" si="6"/>
        <v>Second Class</v>
      </c>
      <c r="X29">
        <v>5</v>
      </c>
      <c r="Y29">
        <v>1806.51</v>
      </c>
      <c r="Z29">
        <v>0.25</v>
      </c>
      <c r="AA29">
        <f t="shared" si="10"/>
        <v>0.25</v>
      </c>
      <c r="AB29">
        <f t="shared" si="11"/>
        <v>6774.4124999999995</v>
      </c>
      <c r="AC29">
        <v>6774.41</v>
      </c>
      <c r="AD29">
        <v>4710.3599999999997</v>
      </c>
      <c r="AE29">
        <v>2064.0500000000002</v>
      </c>
      <c r="AF29" t="s">
        <v>199</v>
      </c>
      <c r="AG29" t="s">
        <v>124</v>
      </c>
      <c r="AH29" t="str">
        <f t="shared" si="7"/>
        <v>Returned</v>
      </c>
      <c r="AI29" t="str">
        <f t="shared" si="8"/>
        <v>Valid</v>
      </c>
      <c r="AJ29">
        <f t="shared" si="9"/>
        <v>2064.0500000000002</v>
      </c>
      <c r="AK29" s="12">
        <f t="shared" si="12"/>
        <v>0.30468324744027625</v>
      </c>
      <c r="AL29">
        <f t="shared" si="13"/>
        <v>9</v>
      </c>
      <c r="AM29">
        <f t="shared" si="14"/>
        <v>2025</v>
      </c>
      <c r="AN29" t="str">
        <f t="shared" si="15"/>
        <v>Clean</v>
      </c>
    </row>
    <row r="30" spans="1:40">
      <c r="A30" t="s">
        <v>231</v>
      </c>
      <c r="B30" s="3" t="s">
        <v>212</v>
      </c>
      <c r="C30" s="10">
        <v>45576</v>
      </c>
      <c r="D30" s="3" t="s">
        <v>232</v>
      </c>
      <c r="E30" s="10">
        <v>45583</v>
      </c>
      <c r="F30" s="6" t="str">
        <f t="shared" si="0"/>
        <v>Valid</v>
      </c>
      <c r="G30" s="8">
        <f t="shared" si="1"/>
        <v>7</v>
      </c>
      <c r="H30" s="8" t="str">
        <f t="shared" si="2"/>
        <v>Valid</v>
      </c>
      <c r="I30" t="s">
        <v>233</v>
      </c>
      <c r="J30" t="s">
        <v>71</v>
      </c>
      <c r="K30" t="s">
        <v>71</v>
      </c>
      <c r="L30" t="s">
        <v>114</v>
      </c>
      <c r="M30" s="3" t="str">
        <f t="shared" si="3"/>
        <v>Home Office</v>
      </c>
      <c r="N30" t="s">
        <v>72</v>
      </c>
      <c r="O30" s="3" t="str">
        <f t="shared" si="4"/>
        <v>West</v>
      </c>
      <c r="P30" t="s">
        <v>234</v>
      </c>
      <c r="Q30" t="s">
        <v>235</v>
      </c>
      <c r="R30" t="s">
        <v>85</v>
      </c>
      <c r="S30" s="3" t="str">
        <f t="shared" si="5"/>
        <v>Technology</v>
      </c>
      <c r="T30" t="s">
        <v>222</v>
      </c>
      <c r="U30" t="s">
        <v>236</v>
      </c>
      <c r="V30" t="s">
        <v>32</v>
      </c>
      <c r="W30" s="3" t="str">
        <f t="shared" si="6"/>
        <v>Second Class</v>
      </c>
      <c r="X30">
        <v>2</v>
      </c>
      <c r="Y30">
        <v>1942.22</v>
      </c>
      <c r="Z30">
        <v>0.25</v>
      </c>
      <c r="AA30">
        <f t="shared" si="10"/>
        <v>0.25</v>
      </c>
      <c r="AB30">
        <f t="shared" si="11"/>
        <v>2913.33</v>
      </c>
      <c r="AC30">
        <v>2913.33</v>
      </c>
      <c r="AD30">
        <v>2122.33</v>
      </c>
      <c r="AE30">
        <v>791</v>
      </c>
      <c r="AF30" t="s">
        <v>123</v>
      </c>
      <c r="AG30" t="s">
        <v>77</v>
      </c>
      <c r="AH30" t="str">
        <f t="shared" si="7"/>
        <v>Cancelled</v>
      </c>
      <c r="AI30" t="str">
        <f t="shared" si="8"/>
        <v>Valid</v>
      </c>
      <c r="AJ30">
        <f t="shared" si="9"/>
        <v>791</v>
      </c>
      <c r="AK30" s="12">
        <f t="shared" si="12"/>
        <v>0.27151060813570727</v>
      </c>
      <c r="AL30">
        <f t="shared" si="13"/>
        <v>10</v>
      </c>
      <c r="AM30">
        <f t="shared" si="14"/>
        <v>2024</v>
      </c>
      <c r="AN30" t="str">
        <f t="shared" si="15"/>
        <v>Clean</v>
      </c>
    </row>
    <row r="31" spans="1:40">
      <c r="A31" t="s">
        <v>237</v>
      </c>
      <c r="B31" s="3" t="s">
        <v>238</v>
      </c>
      <c r="C31" s="10">
        <v>45882</v>
      </c>
      <c r="D31" s="3" t="s">
        <v>239</v>
      </c>
      <c r="E31" s="10">
        <v>45882</v>
      </c>
      <c r="F31" s="6" t="str">
        <f t="shared" si="0"/>
        <v>Valid</v>
      </c>
      <c r="G31" s="8">
        <f t="shared" si="1"/>
        <v>0</v>
      </c>
      <c r="H31" s="8" t="str">
        <f t="shared" si="2"/>
        <v>Valid</v>
      </c>
      <c r="I31" t="s">
        <v>240</v>
      </c>
      <c r="J31" t="s">
        <v>179</v>
      </c>
      <c r="K31" t="s">
        <v>179</v>
      </c>
      <c r="L31" t="s">
        <v>114</v>
      </c>
      <c r="M31" s="3" t="str">
        <f t="shared" si="3"/>
        <v>Home Office</v>
      </c>
      <c r="N31" t="s">
        <v>61</v>
      </c>
      <c r="O31" s="3" t="str">
        <f t="shared" si="4"/>
        <v>South</v>
      </c>
      <c r="P31" t="s">
        <v>241</v>
      </c>
      <c r="Q31" t="s">
        <v>242</v>
      </c>
      <c r="R31" t="s">
        <v>85</v>
      </c>
      <c r="S31" s="3" t="str">
        <f t="shared" si="5"/>
        <v>Technology</v>
      </c>
      <c r="T31" t="s">
        <v>222</v>
      </c>
      <c r="U31" t="s">
        <v>243</v>
      </c>
      <c r="V31" t="s">
        <v>66</v>
      </c>
      <c r="W31" s="3" t="str">
        <f t="shared" si="6"/>
        <v>Standard Class</v>
      </c>
      <c r="X31">
        <v>1</v>
      </c>
      <c r="Y31">
        <v>256.01</v>
      </c>
      <c r="Z31">
        <v>0.15</v>
      </c>
      <c r="AA31">
        <f t="shared" si="10"/>
        <v>0.15</v>
      </c>
      <c r="AB31">
        <f t="shared" si="11"/>
        <v>217.60849999999999</v>
      </c>
      <c r="AC31">
        <v>217.61</v>
      </c>
      <c r="AD31">
        <v>119.77</v>
      </c>
      <c r="AE31">
        <v>97.84</v>
      </c>
      <c r="AF31" t="s">
        <v>33</v>
      </c>
      <c r="AG31" t="s">
        <v>34</v>
      </c>
      <c r="AH31" t="str">
        <f t="shared" si="7"/>
        <v>Completed</v>
      </c>
      <c r="AI31" t="str">
        <f t="shared" si="8"/>
        <v>Valid</v>
      </c>
      <c r="AJ31">
        <f t="shared" si="9"/>
        <v>97.840000000000018</v>
      </c>
      <c r="AK31" s="12">
        <f t="shared" si="12"/>
        <v>0.44961478986344755</v>
      </c>
      <c r="AL31">
        <f t="shared" si="13"/>
        <v>8</v>
      </c>
      <c r="AM31">
        <f t="shared" si="14"/>
        <v>2025</v>
      </c>
      <c r="AN31" t="str">
        <f t="shared" si="15"/>
        <v>Clean</v>
      </c>
    </row>
    <row r="32" spans="1:40">
      <c r="A32" t="s">
        <v>244</v>
      </c>
      <c r="B32" s="3" t="s">
        <v>245</v>
      </c>
      <c r="C32" s="10">
        <v>45331</v>
      </c>
      <c r="D32" s="3" t="s">
        <v>246</v>
      </c>
      <c r="E32" s="10">
        <v>45334</v>
      </c>
      <c r="F32" s="6" t="str">
        <f t="shared" si="0"/>
        <v>Valid</v>
      </c>
      <c r="G32" s="8">
        <f t="shared" si="1"/>
        <v>3</v>
      </c>
      <c r="H32" s="8" t="str">
        <f t="shared" si="2"/>
        <v>Valid</v>
      </c>
      <c r="I32" t="s">
        <v>247</v>
      </c>
      <c r="J32" t="s">
        <v>71</v>
      </c>
      <c r="K32" t="s">
        <v>71</v>
      </c>
      <c r="L32" t="s">
        <v>107</v>
      </c>
      <c r="M32" s="3" t="str">
        <f t="shared" si="3"/>
        <v>Corporate</v>
      </c>
      <c r="N32" t="s">
        <v>72</v>
      </c>
      <c r="O32" s="3" t="str">
        <f t="shared" si="4"/>
        <v>West</v>
      </c>
      <c r="P32" t="s">
        <v>248</v>
      </c>
      <c r="Q32" t="s">
        <v>249</v>
      </c>
      <c r="R32" t="s">
        <v>29</v>
      </c>
      <c r="S32" s="3" t="str">
        <f t="shared" si="5"/>
        <v>Office Supplies</v>
      </c>
      <c r="T32" t="s">
        <v>108</v>
      </c>
      <c r="U32" t="s">
        <v>250</v>
      </c>
      <c r="V32" t="s">
        <v>55</v>
      </c>
      <c r="W32" s="3" t="str">
        <f t="shared" si="6"/>
        <v>First Class</v>
      </c>
      <c r="X32">
        <v>1</v>
      </c>
      <c r="Y32">
        <v>3421.77</v>
      </c>
      <c r="Z32">
        <v>0.1</v>
      </c>
      <c r="AA32">
        <f t="shared" si="10"/>
        <v>0.1</v>
      </c>
      <c r="AB32">
        <f t="shared" si="11"/>
        <v>3079.5929999999998</v>
      </c>
      <c r="AC32">
        <v>3079.59</v>
      </c>
      <c r="AD32">
        <v>2001.89</v>
      </c>
      <c r="AE32">
        <v>1077.7</v>
      </c>
      <c r="AF32" t="s">
        <v>33</v>
      </c>
      <c r="AG32" t="s">
        <v>34</v>
      </c>
      <c r="AH32" t="str">
        <f t="shared" si="7"/>
        <v>Completed</v>
      </c>
      <c r="AI32" t="str">
        <f t="shared" si="8"/>
        <v>Valid</v>
      </c>
      <c r="AJ32">
        <f t="shared" si="9"/>
        <v>1077.7</v>
      </c>
      <c r="AK32" s="12">
        <f t="shared" si="12"/>
        <v>0.34994884064225373</v>
      </c>
      <c r="AL32">
        <f t="shared" si="13"/>
        <v>2</v>
      </c>
      <c r="AM32">
        <f t="shared" si="14"/>
        <v>2024</v>
      </c>
      <c r="AN32" t="str">
        <f t="shared" si="15"/>
        <v>Clean</v>
      </c>
    </row>
    <row r="33" spans="1:40">
      <c r="A33" t="s">
        <v>251</v>
      </c>
      <c r="B33" s="3" t="s">
        <v>252</v>
      </c>
      <c r="C33" s="10">
        <v>45823</v>
      </c>
      <c r="D33" s="3" t="s">
        <v>253</v>
      </c>
      <c r="E33" s="10">
        <v>45827</v>
      </c>
      <c r="F33" s="6" t="str">
        <f t="shared" si="0"/>
        <v>Valid</v>
      </c>
      <c r="G33" s="8">
        <f t="shared" si="1"/>
        <v>4</v>
      </c>
      <c r="H33" s="8" t="str">
        <f t="shared" si="2"/>
        <v>Valid</v>
      </c>
      <c r="I33" t="s">
        <v>254</v>
      </c>
      <c r="J33" t="s">
        <v>24</v>
      </c>
      <c r="K33" t="s">
        <v>24</v>
      </c>
      <c r="L33" t="s">
        <v>40</v>
      </c>
      <c r="M33" s="3" t="str">
        <f t="shared" si="3"/>
        <v>Small Business</v>
      </c>
      <c r="N33" t="s">
        <v>72</v>
      </c>
      <c r="O33" s="3" t="str">
        <f t="shared" si="4"/>
        <v>West</v>
      </c>
      <c r="P33" t="s">
        <v>83</v>
      </c>
      <c r="Q33" t="s">
        <v>84</v>
      </c>
      <c r="R33" t="s">
        <v>29</v>
      </c>
      <c r="S33" s="3" t="str">
        <f t="shared" si="5"/>
        <v>Office Supplies</v>
      </c>
      <c r="T33" t="s">
        <v>30</v>
      </c>
      <c r="U33" t="s">
        <v>255</v>
      </c>
      <c r="V33" t="s">
        <v>32</v>
      </c>
      <c r="W33" s="3" t="str">
        <f t="shared" si="6"/>
        <v>Second Class</v>
      </c>
      <c r="X33">
        <v>9</v>
      </c>
      <c r="Y33">
        <v>3092.55</v>
      </c>
      <c r="Z33">
        <v>0</v>
      </c>
      <c r="AA33">
        <f t="shared" si="10"/>
        <v>0</v>
      </c>
      <c r="AB33">
        <f t="shared" si="11"/>
        <v>27832.95</v>
      </c>
      <c r="AC33">
        <v>27832.95</v>
      </c>
      <c r="AD33">
        <v>17769.75</v>
      </c>
      <c r="AE33">
        <v>10063.200000000001</v>
      </c>
      <c r="AF33" t="s">
        <v>199</v>
      </c>
      <c r="AG33" t="s">
        <v>124</v>
      </c>
      <c r="AH33" t="str">
        <f t="shared" si="7"/>
        <v>Returned</v>
      </c>
      <c r="AI33" t="str">
        <f t="shared" si="8"/>
        <v>Valid</v>
      </c>
      <c r="AJ33">
        <f t="shared" si="9"/>
        <v>10063.200000000001</v>
      </c>
      <c r="AK33" s="12">
        <f t="shared" si="12"/>
        <v>0.36155707533696574</v>
      </c>
      <c r="AL33">
        <f t="shared" si="13"/>
        <v>6</v>
      </c>
      <c r="AM33">
        <f t="shared" si="14"/>
        <v>2025</v>
      </c>
      <c r="AN33" t="str">
        <f t="shared" si="15"/>
        <v>Clean</v>
      </c>
    </row>
    <row r="34" spans="1:40">
      <c r="A34" t="s">
        <v>256</v>
      </c>
      <c r="B34" s="3" t="s">
        <v>257</v>
      </c>
      <c r="C34" s="10">
        <v>45618</v>
      </c>
      <c r="D34" s="3" t="s">
        <v>258</v>
      </c>
      <c r="E34" s="10">
        <v>45622</v>
      </c>
      <c r="F34" s="6" t="str">
        <f t="shared" si="0"/>
        <v>Valid</v>
      </c>
      <c r="G34" s="8">
        <f t="shared" si="1"/>
        <v>4</v>
      </c>
      <c r="H34" s="8" t="str">
        <f t="shared" si="2"/>
        <v>Valid</v>
      </c>
      <c r="I34" t="s">
        <v>259</v>
      </c>
      <c r="J34" t="s">
        <v>161</v>
      </c>
      <c r="K34" t="s">
        <v>161</v>
      </c>
      <c r="L34" t="s">
        <v>107</v>
      </c>
      <c r="M34" s="3" t="str">
        <f t="shared" si="3"/>
        <v>Corporate</v>
      </c>
      <c r="N34" t="s">
        <v>61</v>
      </c>
      <c r="O34" s="3" t="str">
        <f t="shared" si="4"/>
        <v>South</v>
      </c>
      <c r="P34" t="s">
        <v>99</v>
      </c>
      <c r="Q34" t="s">
        <v>100</v>
      </c>
      <c r="R34" t="s">
        <v>85</v>
      </c>
      <c r="S34" s="3" t="str">
        <f t="shared" si="5"/>
        <v>Technology</v>
      </c>
      <c r="T34" t="s">
        <v>222</v>
      </c>
      <c r="U34" t="s">
        <v>260</v>
      </c>
      <c r="V34" t="s">
        <v>32</v>
      </c>
      <c r="W34" s="3" t="str">
        <f t="shared" si="6"/>
        <v>Second Class</v>
      </c>
      <c r="X34">
        <v>3</v>
      </c>
      <c r="Y34">
        <v>4001.25</v>
      </c>
      <c r="AA34">
        <f t="shared" si="10"/>
        <v>0</v>
      </c>
      <c r="AB34">
        <f t="shared" si="11"/>
        <v>12003.75</v>
      </c>
      <c r="AC34">
        <v>9002.81</v>
      </c>
      <c r="AD34">
        <v>7529.92</v>
      </c>
      <c r="AE34">
        <v>1472.89</v>
      </c>
      <c r="AF34" t="s">
        <v>33</v>
      </c>
      <c r="AG34" t="s">
        <v>34</v>
      </c>
      <c r="AH34" t="str">
        <f t="shared" si="7"/>
        <v>Completed</v>
      </c>
      <c r="AI34" t="str">
        <f t="shared" si="8"/>
        <v>Valid</v>
      </c>
      <c r="AJ34">
        <f t="shared" si="9"/>
        <v>1472.8899999999994</v>
      </c>
      <c r="AK34" s="12">
        <f t="shared" si="12"/>
        <v>0.12270248880558154</v>
      </c>
      <c r="AL34">
        <f t="shared" si="13"/>
        <v>11</v>
      </c>
      <c r="AM34">
        <f t="shared" si="14"/>
        <v>2024</v>
      </c>
      <c r="AN34" t="str">
        <f t="shared" si="15"/>
        <v>Clean</v>
      </c>
    </row>
    <row r="35" spans="1:40">
      <c r="A35" t="s">
        <v>261</v>
      </c>
      <c r="B35" s="3" t="s">
        <v>262</v>
      </c>
      <c r="C35" s="10">
        <v>45495</v>
      </c>
      <c r="D35" s="3" t="s">
        <v>263</v>
      </c>
      <c r="E35" s="10">
        <v>45500</v>
      </c>
      <c r="F35" s="6" t="str">
        <f t="shared" si="0"/>
        <v>Valid</v>
      </c>
      <c r="G35" s="8">
        <f t="shared" si="1"/>
        <v>5</v>
      </c>
      <c r="H35" s="8" t="str">
        <f t="shared" si="2"/>
        <v>Valid</v>
      </c>
      <c r="I35" t="s">
        <v>264</v>
      </c>
      <c r="J35" t="s">
        <v>141</v>
      </c>
      <c r="K35" t="s">
        <v>141</v>
      </c>
      <c r="L35" t="s">
        <v>114</v>
      </c>
      <c r="M35" s="3" t="str">
        <f t="shared" si="3"/>
        <v>Home Office</v>
      </c>
      <c r="N35" t="s">
        <v>72</v>
      </c>
      <c r="O35" s="3" t="str">
        <f t="shared" si="4"/>
        <v>West</v>
      </c>
      <c r="P35" t="s">
        <v>248</v>
      </c>
      <c r="Q35" t="s">
        <v>249</v>
      </c>
      <c r="R35" t="s">
        <v>44</v>
      </c>
      <c r="S35" s="3" t="str">
        <f t="shared" si="5"/>
        <v>Furniture</v>
      </c>
      <c r="T35" t="s">
        <v>45</v>
      </c>
      <c r="U35" t="s">
        <v>265</v>
      </c>
      <c r="V35" t="s">
        <v>47</v>
      </c>
      <c r="W35" s="3" t="str">
        <f t="shared" si="6"/>
        <v>Same Day</v>
      </c>
      <c r="X35">
        <v>7</v>
      </c>
      <c r="Y35">
        <v>492.41</v>
      </c>
      <c r="Z35">
        <v>0.25</v>
      </c>
      <c r="AA35">
        <f t="shared" si="10"/>
        <v>0.25</v>
      </c>
      <c r="AB35">
        <f t="shared" si="11"/>
        <v>2585.1525000000001</v>
      </c>
      <c r="AC35">
        <v>2585.15</v>
      </c>
      <c r="AD35">
        <v>2070.73</v>
      </c>
      <c r="AE35">
        <v>514.41999999999996</v>
      </c>
      <c r="AF35" t="s">
        <v>33</v>
      </c>
      <c r="AG35" t="s">
        <v>34</v>
      </c>
      <c r="AH35" t="str">
        <f t="shared" si="7"/>
        <v>Completed</v>
      </c>
      <c r="AI35" t="str">
        <f t="shared" si="8"/>
        <v>Valid</v>
      </c>
      <c r="AJ35">
        <f t="shared" si="9"/>
        <v>514.42000000000007</v>
      </c>
      <c r="AK35" s="12">
        <f t="shared" si="12"/>
        <v>0.1989901949691556</v>
      </c>
      <c r="AL35">
        <f t="shared" si="13"/>
        <v>7</v>
      </c>
      <c r="AM35">
        <f t="shared" si="14"/>
        <v>2024</v>
      </c>
      <c r="AN35" t="str">
        <f t="shared" si="15"/>
        <v>Clean</v>
      </c>
    </row>
    <row r="36" spans="1:40">
      <c r="A36" t="s">
        <v>266</v>
      </c>
      <c r="B36" s="3" t="s">
        <v>267</v>
      </c>
      <c r="C36" s="10">
        <v>45688</v>
      </c>
      <c r="D36" s="3" t="s">
        <v>268</v>
      </c>
      <c r="E36" s="10">
        <v>45693</v>
      </c>
      <c r="F36" s="6" t="str">
        <f t="shared" si="0"/>
        <v>Valid</v>
      </c>
      <c r="G36" s="8">
        <f t="shared" si="1"/>
        <v>5</v>
      </c>
      <c r="H36" s="8" t="str">
        <f t="shared" si="2"/>
        <v>Valid</v>
      </c>
      <c r="I36" t="s">
        <v>269</v>
      </c>
      <c r="J36" t="s">
        <v>141</v>
      </c>
      <c r="K36" t="s">
        <v>141</v>
      </c>
      <c r="L36" t="s">
        <v>114</v>
      </c>
      <c r="M36" s="3" t="str">
        <f t="shared" si="3"/>
        <v>Home Office</v>
      </c>
      <c r="N36" t="s">
        <v>41</v>
      </c>
      <c r="O36" s="3" t="str">
        <f t="shared" si="4"/>
        <v>East</v>
      </c>
      <c r="P36" t="s">
        <v>120</v>
      </c>
      <c r="Q36" t="s">
        <v>121</v>
      </c>
      <c r="R36" t="s">
        <v>44</v>
      </c>
      <c r="S36" s="3" t="str">
        <f t="shared" si="5"/>
        <v>Furniture</v>
      </c>
      <c r="T36" t="s">
        <v>75</v>
      </c>
      <c r="U36" t="s">
        <v>270</v>
      </c>
      <c r="W36" s="3" t="str">
        <f t="shared" si="6"/>
        <v>Unknown</v>
      </c>
      <c r="X36">
        <v>2</v>
      </c>
      <c r="Y36">
        <v>4159.6899999999996</v>
      </c>
      <c r="Z36">
        <v>0.2</v>
      </c>
      <c r="AA36">
        <f t="shared" si="10"/>
        <v>0.2</v>
      </c>
      <c r="AB36">
        <f t="shared" si="11"/>
        <v>6655.5039999999999</v>
      </c>
      <c r="AC36">
        <v>6655.5</v>
      </c>
      <c r="AD36">
        <v>4340.21</v>
      </c>
      <c r="AE36">
        <v>2607.3200000000002</v>
      </c>
      <c r="AF36" t="s">
        <v>33</v>
      </c>
      <c r="AG36" t="s">
        <v>34</v>
      </c>
      <c r="AH36" t="str">
        <f t="shared" si="7"/>
        <v>Completed</v>
      </c>
      <c r="AI36" t="str">
        <f t="shared" si="8"/>
        <v>Valid</v>
      </c>
      <c r="AJ36">
        <f t="shared" si="9"/>
        <v>2315.29</v>
      </c>
      <c r="AK36" s="12">
        <f t="shared" si="12"/>
        <v>0.34787598354685084</v>
      </c>
      <c r="AL36">
        <f t="shared" si="13"/>
        <v>1</v>
      </c>
      <c r="AM36">
        <f t="shared" si="14"/>
        <v>2025</v>
      </c>
      <c r="AN36" t="str">
        <f t="shared" si="15"/>
        <v>Clean</v>
      </c>
    </row>
    <row r="37" spans="1:40">
      <c r="A37" t="s">
        <v>271</v>
      </c>
      <c r="B37" s="3" t="s">
        <v>272</v>
      </c>
      <c r="C37" s="10">
        <v>45441</v>
      </c>
      <c r="D37" s="3" t="s">
        <v>273</v>
      </c>
      <c r="E37" s="10">
        <v>45441</v>
      </c>
      <c r="F37" s="6" t="str">
        <f t="shared" si="0"/>
        <v>Valid</v>
      </c>
      <c r="G37" s="8">
        <f t="shared" si="1"/>
        <v>0</v>
      </c>
      <c r="H37" s="8" t="str">
        <f t="shared" si="2"/>
        <v>Valid</v>
      </c>
      <c r="I37" t="s">
        <v>274</v>
      </c>
      <c r="J37" t="s">
        <v>167</v>
      </c>
      <c r="K37" t="s">
        <v>167</v>
      </c>
      <c r="L37" t="s">
        <v>40</v>
      </c>
      <c r="M37" s="3" t="str">
        <f t="shared" si="3"/>
        <v>Small Business</v>
      </c>
      <c r="N37" t="s">
        <v>72</v>
      </c>
      <c r="O37" s="3" t="str">
        <f t="shared" si="4"/>
        <v>West</v>
      </c>
      <c r="P37" t="s">
        <v>234</v>
      </c>
      <c r="Q37" t="s">
        <v>235</v>
      </c>
      <c r="R37" t="s">
        <v>44</v>
      </c>
      <c r="S37" s="3" t="str">
        <f t="shared" si="5"/>
        <v>Furniture</v>
      </c>
      <c r="T37" t="s">
        <v>203</v>
      </c>
      <c r="U37" t="s">
        <v>275</v>
      </c>
      <c r="V37" t="s">
        <v>32</v>
      </c>
      <c r="W37" s="3" t="str">
        <f t="shared" si="6"/>
        <v>Second Class</v>
      </c>
      <c r="X37">
        <v>8</v>
      </c>
      <c r="Y37">
        <v>2507.12</v>
      </c>
      <c r="Z37">
        <v>0.05</v>
      </c>
      <c r="AA37">
        <f t="shared" si="10"/>
        <v>0.05</v>
      </c>
      <c r="AB37">
        <f t="shared" si="11"/>
        <v>19054.111999999997</v>
      </c>
      <c r="AC37">
        <v>19054.11</v>
      </c>
      <c r="AD37">
        <v>15313.83</v>
      </c>
      <c r="AE37">
        <v>3740.28</v>
      </c>
      <c r="AF37" t="s">
        <v>136</v>
      </c>
      <c r="AG37" t="s">
        <v>124</v>
      </c>
      <c r="AH37" t="str">
        <f t="shared" si="7"/>
        <v>Returned</v>
      </c>
      <c r="AI37" t="str">
        <f t="shared" si="8"/>
        <v>Valid</v>
      </c>
      <c r="AJ37">
        <f t="shared" si="9"/>
        <v>3740.2800000000007</v>
      </c>
      <c r="AK37" s="12">
        <f t="shared" si="12"/>
        <v>0.19629778601070474</v>
      </c>
      <c r="AL37">
        <f t="shared" si="13"/>
        <v>5</v>
      </c>
      <c r="AM37">
        <f t="shared" si="14"/>
        <v>2024</v>
      </c>
      <c r="AN37" t="str">
        <f t="shared" si="15"/>
        <v>Clean</v>
      </c>
    </row>
    <row r="38" spans="1:40">
      <c r="A38" t="s">
        <v>276</v>
      </c>
      <c r="B38" s="3" t="s">
        <v>277</v>
      </c>
      <c r="C38" s="10">
        <v>45590</v>
      </c>
      <c r="D38" s="3" t="s">
        <v>278</v>
      </c>
      <c r="E38" s="10">
        <v>45593</v>
      </c>
      <c r="F38" s="6" t="str">
        <f t="shared" si="0"/>
        <v>Valid</v>
      </c>
      <c r="G38" s="8">
        <f t="shared" si="1"/>
        <v>3</v>
      </c>
      <c r="H38" s="8" t="str">
        <f t="shared" si="2"/>
        <v>Valid</v>
      </c>
      <c r="I38" t="s">
        <v>279</v>
      </c>
      <c r="J38" t="s">
        <v>179</v>
      </c>
      <c r="K38" t="s">
        <v>179</v>
      </c>
      <c r="L38" t="s">
        <v>107</v>
      </c>
      <c r="M38" s="3" t="str">
        <f t="shared" si="3"/>
        <v>Corporate</v>
      </c>
      <c r="N38" t="s">
        <v>72</v>
      </c>
      <c r="O38" s="3" t="str">
        <f t="shared" si="4"/>
        <v>West</v>
      </c>
      <c r="P38" t="s">
        <v>73</v>
      </c>
      <c r="Q38" t="s">
        <v>74</v>
      </c>
      <c r="R38" t="s">
        <v>44</v>
      </c>
      <c r="S38" s="3" t="str">
        <f t="shared" si="5"/>
        <v>Furniture</v>
      </c>
      <c r="T38" t="s">
        <v>203</v>
      </c>
      <c r="U38" t="s">
        <v>280</v>
      </c>
      <c r="V38" t="s">
        <v>32</v>
      </c>
      <c r="W38" s="3" t="str">
        <f t="shared" si="6"/>
        <v>Second Class</v>
      </c>
      <c r="X38">
        <v>3</v>
      </c>
      <c r="Y38">
        <v>3126.47</v>
      </c>
      <c r="Z38">
        <v>0</v>
      </c>
      <c r="AA38">
        <f t="shared" si="10"/>
        <v>0</v>
      </c>
      <c r="AB38">
        <f t="shared" si="11"/>
        <v>9379.41</v>
      </c>
      <c r="AC38">
        <v>9379.41</v>
      </c>
      <c r="AD38">
        <v>6670.85</v>
      </c>
      <c r="AE38">
        <v>2708.56</v>
      </c>
      <c r="AF38" t="s">
        <v>33</v>
      </c>
      <c r="AG38" t="s">
        <v>124</v>
      </c>
      <c r="AH38" t="str">
        <f t="shared" si="7"/>
        <v>Returned</v>
      </c>
      <c r="AI38" t="str">
        <f t="shared" si="8"/>
        <v>Valid</v>
      </c>
      <c r="AJ38">
        <f t="shared" si="9"/>
        <v>2708.5599999999995</v>
      </c>
      <c r="AK38" s="12">
        <f t="shared" si="12"/>
        <v>0.28877722585962223</v>
      </c>
      <c r="AL38">
        <f t="shared" si="13"/>
        <v>10</v>
      </c>
      <c r="AM38">
        <f t="shared" si="14"/>
        <v>2024</v>
      </c>
      <c r="AN38" t="str">
        <f t="shared" si="15"/>
        <v>Clean</v>
      </c>
    </row>
    <row r="39" spans="1:40">
      <c r="A39" t="s">
        <v>281</v>
      </c>
      <c r="B39" s="3" t="s">
        <v>282</v>
      </c>
      <c r="C39" s="10">
        <v>45867</v>
      </c>
      <c r="D39" s="3" t="s">
        <v>282</v>
      </c>
      <c r="E39" s="10">
        <v>45867</v>
      </c>
      <c r="F39" s="6" t="str">
        <f t="shared" si="0"/>
        <v>Valid</v>
      </c>
      <c r="G39" s="8">
        <f t="shared" si="1"/>
        <v>0</v>
      </c>
      <c r="H39" s="8" t="str">
        <f t="shared" si="2"/>
        <v>Valid</v>
      </c>
      <c r="I39" t="s">
        <v>283</v>
      </c>
      <c r="J39" t="s">
        <v>209</v>
      </c>
      <c r="K39" t="s">
        <v>209</v>
      </c>
      <c r="L39" t="s">
        <v>25</v>
      </c>
      <c r="M39" s="3" t="str">
        <f t="shared" si="3"/>
        <v>Consumer</v>
      </c>
      <c r="N39" t="s">
        <v>72</v>
      </c>
      <c r="O39" s="3" t="str">
        <f t="shared" si="4"/>
        <v>West</v>
      </c>
      <c r="P39" t="s">
        <v>73</v>
      </c>
      <c r="Q39" t="s">
        <v>74</v>
      </c>
      <c r="R39" t="s">
        <v>85</v>
      </c>
      <c r="S39" s="3" t="str">
        <f t="shared" si="5"/>
        <v>Technology</v>
      </c>
      <c r="T39" t="s">
        <v>93</v>
      </c>
      <c r="U39" t="s">
        <v>284</v>
      </c>
      <c r="V39" t="s">
        <v>285</v>
      </c>
      <c r="W39" s="3" t="str">
        <f t="shared" si="6"/>
        <v>Standard Class</v>
      </c>
      <c r="X39">
        <v>4</v>
      </c>
      <c r="Y39">
        <v>1327.54</v>
      </c>
      <c r="Z39">
        <v>0.2</v>
      </c>
      <c r="AA39">
        <f t="shared" si="10"/>
        <v>0.2</v>
      </c>
      <c r="AB39">
        <f t="shared" si="11"/>
        <v>4248.1279999999997</v>
      </c>
      <c r="AC39">
        <v>4248.13</v>
      </c>
      <c r="AD39">
        <v>3321.09</v>
      </c>
      <c r="AE39">
        <v>927.04</v>
      </c>
      <c r="AF39" t="s">
        <v>33</v>
      </c>
      <c r="AG39" t="s">
        <v>34</v>
      </c>
      <c r="AH39" t="str">
        <f t="shared" si="7"/>
        <v>Completed</v>
      </c>
      <c r="AI39" t="str">
        <f t="shared" si="8"/>
        <v>Valid</v>
      </c>
      <c r="AJ39">
        <f t="shared" si="9"/>
        <v>927.04</v>
      </c>
      <c r="AK39" s="12">
        <f t="shared" si="12"/>
        <v>0.21822317971586544</v>
      </c>
      <c r="AL39">
        <f t="shared" si="13"/>
        <v>7</v>
      </c>
      <c r="AM39">
        <f t="shared" si="14"/>
        <v>2025</v>
      </c>
      <c r="AN39" t="str">
        <f t="shared" si="15"/>
        <v>Clean</v>
      </c>
    </row>
    <row r="40" spans="1:40">
      <c r="A40" t="s">
        <v>286</v>
      </c>
      <c r="B40" s="3" t="s">
        <v>287</v>
      </c>
      <c r="C40" s="10">
        <v>45460</v>
      </c>
      <c r="D40" s="3" t="s">
        <v>288</v>
      </c>
      <c r="E40" s="10">
        <v>45465</v>
      </c>
      <c r="F40" s="6" t="str">
        <f t="shared" si="0"/>
        <v>Valid</v>
      </c>
      <c r="G40" s="8">
        <f t="shared" si="1"/>
        <v>5</v>
      </c>
      <c r="H40" s="8" t="str">
        <f t="shared" si="2"/>
        <v>Valid</v>
      </c>
      <c r="I40" t="s">
        <v>289</v>
      </c>
      <c r="J40" t="s">
        <v>161</v>
      </c>
      <c r="K40" t="s">
        <v>161</v>
      </c>
      <c r="L40" t="s">
        <v>107</v>
      </c>
      <c r="M40" s="3" t="str">
        <f t="shared" si="3"/>
        <v>Corporate</v>
      </c>
      <c r="N40" t="s">
        <v>72</v>
      </c>
      <c r="O40" s="3" t="str">
        <f t="shared" si="4"/>
        <v>West</v>
      </c>
      <c r="P40" t="s">
        <v>234</v>
      </c>
      <c r="Q40" t="s">
        <v>235</v>
      </c>
      <c r="R40" t="s">
        <v>85</v>
      </c>
      <c r="S40" s="3" t="str">
        <f t="shared" si="5"/>
        <v>Technology</v>
      </c>
      <c r="T40" t="s">
        <v>222</v>
      </c>
      <c r="U40" t="s">
        <v>290</v>
      </c>
      <c r="V40" t="s">
        <v>55</v>
      </c>
      <c r="W40" s="3" t="str">
        <f t="shared" si="6"/>
        <v>First Class</v>
      </c>
      <c r="X40">
        <v>7</v>
      </c>
      <c r="Y40">
        <v>2210.6799999999998</v>
      </c>
      <c r="Z40">
        <v>0.1</v>
      </c>
      <c r="AA40">
        <f t="shared" si="10"/>
        <v>0.1</v>
      </c>
      <c r="AB40">
        <f t="shared" si="11"/>
        <v>13927.284</v>
      </c>
      <c r="AC40">
        <v>13927.28</v>
      </c>
      <c r="AD40">
        <v>10504.87</v>
      </c>
      <c r="AE40">
        <v>3422.41</v>
      </c>
      <c r="AF40" t="s">
        <v>33</v>
      </c>
      <c r="AG40" t="s">
        <v>34</v>
      </c>
      <c r="AH40" t="str">
        <f t="shared" si="7"/>
        <v>Completed</v>
      </c>
      <c r="AI40" t="str">
        <f t="shared" si="8"/>
        <v>Valid</v>
      </c>
      <c r="AJ40">
        <f t="shared" si="9"/>
        <v>3422.41</v>
      </c>
      <c r="AK40" s="12">
        <f t="shared" si="12"/>
        <v>0.24573420058067316</v>
      </c>
      <c r="AL40">
        <f t="shared" si="13"/>
        <v>6</v>
      </c>
      <c r="AM40">
        <f t="shared" si="14"/>
        <v>2024</v>
      </c>
      <c r="AN40" t="str">
        <f t="shared" si="15"/>
        <v>Clean</v>
      </c>
    </row>
    <row r="41" spans="1:40">
      <c r="A41" t="s">
        <v>291</v>
      </c>
      <c r="B41" s="3" t="s">
        <v>292</v>
      </c>
      <c r="C41" s="10">
        <v>45637</v>
      </c>
      <c r="D41" s="3" t="s">
        <v>293</v>
      </c>
      <c r="E41" s="10">
        <v>45637</v>
      </c>
      <c r="F41" s="6" t="str">
        <f t="shared" si="0"/>
        <v>Valid</v>
      </c>
      <c r="G41" s="8">
        <f t="shared" si="1"/>
        <v>0</v>
      </c>
      <c r="H41" s="8" t="str">
        <f t="shared" si="2"/>
        <v>Valid</v>
      </c>
      <c r="I41" t="s">
        <v>294</v>
      </c>
      <c r="J41" t="s">
        <v>39</v>
      </c>
      <c r="K41" t="s">
        <v>39</v>
      </c>
      <c r="L41" t="s">
        <v>40</v>
      </c>
      <c r="M41" s="3" t="str">
        <f t="shared" si="3"/>
        <v>Small Business</v>
      </c>
      <c r="N41" t="s">
        <v>72</v>
      </c>
      <c r="O41" s="3" t="str">
        <f t="shared" si="4"/>
        <v>West</v>
      </c>
      <c r="P41" t="s">
        <v>83</v>
      </c>
      <c r="Q41" t="s">
        <v>84</v>
      </c>
      <c r="R41" t="s">
        <v>85</v>
      </c>
      <c r="S41" s="3" t="str">
        <f t="shared" si="5"/>
        <v>Technology</v>
      </c>
      <c r="T41" t="s">
        <v>93</v>
      </c>
      <c r="U41" t="s">
        <v>295</v>
      </c>
      <c r="V41" t="s">
        <v>55</v>
      </c>
      <c r="W41" s="3" t="str">
        <f t="shared" si="6"/>
        <v>First Class</v>
      </c>
      <c r="X41">
        <v>4</v>
      </c>
      <c r="Y41">
        <v>1370.92</v>
      </c>
      <c r="Z41">
        <v>0.1</v>
      </c>
      <c r="AA41">
        <f t="shared" si="10"/>
        <v>0.1</v>
      </c>
      <c r="AB41">
        <f t="shared" si="11"/>
        <v>4935.3120000000008</v>
      </c>
      <c r="AC41">
        <v>4935.3100000000004</v>
      </c>
      <c r="AD41">
        <v>3374.77</v>
      </c>
      <c r="AE41">
        <v>1560.54</v>
      </c>
      <c r="AF41" t="s">
        <v>136</v>
      </c>
      <c r="AG41" t="s">
        <v>124</v>
      </c>
      <c r="AH41" t="str">
        <f t="shared" si="7"/>
        <v>Returned</v>
      </c>
      <c r="AI41" t="str">
        <f t="shared" si="8"/>
        <v>Valid</v>
      </c>
      <c r="AJ41">
        <f t="shared" si="9"/>
        <v>1560.5400000000004</v>
      </c>
      <c r="AK41" s="12">
        <f t="shared" si="12"/>
        <v>0.3161988542973575</v>
      </c>
      <c r="AL41">
        <f t="shared" si="13"/>
        <v>12</v>
      </c>
      <c r="AM41">
        <f t="shared" si="14"/>
        <v>2024</v>
      </c>
      <c r="AN41" t="str">
        <f t="shared" si="15"/>
        <v>Clean</v>
      </c>
    </row>
    <row r="42" spans="1:40">
      <c r="A42" t="s">
        <v>296</v>
      </c>
      <c r="B42" s="3" t="s">
        <v>297</v>
      </c>
      <c r="C42" s="10">
        <v>45575</v>
      </c>
      <c r="D42" s="3" t="s">
        <v>298</v>
      </c>
      <c r="E42" s="10">
        <v>45581</v>
      </c>
      <c r="F42" s="6" t="str">
        <f t="shared" si="0"/>
        <v>Valid</v>
      </c>
      <c r="G42" s="8">
        <f t="shared" si="1"/>
        <v>6</v>
      </c>
      <c r="H42" s="8" t="str">
        <f t="shared" si="2"/>
        <v>Valid</v>
      </c>
      <c r="I42" t="s">
        <v>299</v>
      </c>
      <c r="J42" t="s">
        <v>52</v>
      </c>
      <c r="K42" t="s">
        <v>52</v>
      </c>
      <c r="L42" t="s">
        <v>114</v>
      </c>
      <c r="M42" s="3" t="str">
        <f t="shared" si="3"/>
        <v>Home Office</v>
      </c>
      <c r="N42" t="s">
        <v>72</v>
      </c>
      <c r="O42" s="3" t="str">
        <f t="shared" si="4"/>
        <v>West</v>
      </c>
      <c r="P42" t="s">
        <v>27</v>
      </c>
      <c r="Q42" t="s">
        <v>134</v>
      </c>
      <c r="R42" t="s">
        <v>85</v>
      </c>
      <c r="S42" s="3" t="str">
        <f t="shared" si="5"/>
        <v>Technology</v>
      </c>
      <c r="T42" t="s">
        <v>93</v>
      </c>
      <c r="U42" t="s">
        <v>300</v>
      </c>
      <c r="V42" t="s">
        <v>66</v>
      </c>
      <c r="W42" s="3" t="str">
        <f t="shared" si="6"/>
        <v>Standard Class</v>
      </c>
      <c r="X42">
        <v>7</v>
      </c>
      <c r="Y42">
        <v>2509.27</v>
      </c>
      <c r="Z42">
        <v>0.2</v>
      </c>
      <c r="AA42">
        <f t="shared" si="10"/>
        <v>0.2</v>
      </c>
      <c r="AB42">
        <f t="shared" si="11"/>
        <v>14051.912</v>
      </c>
      <c r="AC42">
        <v>14051.91</v>
      </c>
      <c r="AD42">
        <v>11990.37</v>
      </c>
      <c r="AE42">
        <v>2061.54</v>
      </c>
      <c r="AF42" t="s">
        <v>33</v>
      </c>
      <c r="AG42" t="s">
        <v>34</v>
      </c>
      <c r="AH42" t="str">
        <f t="shared" si="7"/>
        <v>Completed</v>
      </c>
      <c r="AI42" t="str">
        <f t="shared" si="8"/>
        <v>Valid</v>
      </c>
      <c r="AJ42">
        <f t="shared" si="9"/>
        <v>2061.5399999999991</v>
      </c>
      <c r="AK42" s="12">
        <f t="shared" si="12"/>
        <v>0.14670886068742808</v>
      </c>
      <c r="AL42">
        <f t="shared" si="13"/>
        <v>10</v>
      </c>
      <c r="AM42">
        <f t="shared" si="14"/>
        <v>2024</v>
      </c>
      <c r="AN42" t="str">
        <f t="shared" si="15"/>
        <v>Clean</v>
      </c>
    </row>
    <row r="43" spans="1:40">
      <c r="A43" t="s">
        <v>301</v>
      </c>
      <c r="B43" s="3" t="s">
        <v>302</v>
      </c>
      <c r="C43" s="10">
        <v>45363</v>
      </c>
      <c r="D43" s="3" t="s">
        <v>303</v>
      </c>
      <c r="E43" s="10">
        <v>45368</v>
      </c>
      <c r="F43" s="6" t="str">
        <f t="shared" si="0"/>
        <v>Valid</v>
      </c>
      <c r="G43" s="8">
        <f t="shared" si="1"/>
        <v>5</v>
      </c>
      <c r="H43" s="8" t="str">
        <f t="shared" si="2"/>
        <v>Valid</v>
      </c>
      <c r="I43" t="s">
        <v>304</v>
      </c>
      <c r="J43" t="s">
        <v>161</v>
      </c>
      <c r="K43" t="s">
        <v>161</v>
      </c>
      <c r="L43" t="s">
        <v>40</v>
      </c>
      <c r="M43" s="3" t="str">
        <f t="shared" si="3"/>
        <v>Small Business</v>
      </c>
      <c r="N43" t="s">
        <v>41</v>
      </c>
      <c r="O43" s="3" t="str">
        <f t="shared" si="4"/>
        <v>East</v>
      </c>
      <c r="P43" t="s">
        <v>42</v>
      </c>
      <c r="Q43" t="s">
        <v>43</v>
      </c>
      <c r="R43" t="s">
        <v>44</v>
      </c>
      <c r="S43" s="3" t="str">
        <f t="shared" si="5"/>
        <v>Furniture</v>
      </c>
      <c r="T43" t="s">
        <v>203</v>
      </c>
      <c r="U43" t="s">
        <v>305</v>
      </c>
      <c r="V43" t="s">
        <v>47</v>
      </c>
      <c r="W43" s="3" t="str">
        <f t="shared" si="6"/>
        <v>Same Day</v>
      </c>
      <c r="X43">
        <v>8</v>
      </c>
      <c r="Y43">
        <v>855.81</v>
      </c>
      <c r="Z43">
        <v>0</v>
      </c>
      <c r="AA43">
        <f t="shared" si="10"/>
        <v>0</v>
      </c>
      <c r="AB43">
        <f t="shared" si="11"/>
        <v>6846.48</v>
      </c>
      <c r="AC43">
        <v>6846.48</v>
      </c>
      <c r="AD43">
        <v>4239.8900000000003</v>
      </c>
      <c r="AE43">
        <v>2606.59</v>
      </c>
      <c r="AF43" t="s">
        <v>136</v>
      </c>
      <c r="AG43" t="s">
        <v>77</v>
      </c>
      <c r="AH43" t="str">
        <f t="shared" si="7"/>
        <v>Cancelled</v>
      </c>
      <c r="AI43" t="str">
        <f t="shared" si="8"/>
        <v>Valid</v>
      </c>
      <c r="AJ43">
        <f t="shared" si="9"/>
        <v>2606.5899999999992</v>
      </c>
      <c r="AK43" s="12">
        <f t="shared" si="12"/>
        <v>0.38071972750961069</v>
      </c>
      <c r="AL43">
        <f t="shared" si="13"/>
        <v>3</v>
      </c>
      <c r="AM43">
        <f t="shared" si="14"/>
        <v>2024</v>
      </c>
      <c r="AN43" t="str">
        <f t="shared" si="15"/>
        <v>Clean</v>
      </c>
    </row>
    <row r="44" spans="1:40">
      <c r="A44" t="s">
        <v>306</v>
      </c>
      <c r="B44" s="3" t="s">
        <v>307</v>
      </c>
      <c r="C44" s="10">
        <v>45940</v>
      </c>
      <c r="D44" s="3" t="s">
        <v>308</v>
      </c>
      <c r="E44" s="10">
        <v>45945</v>
      </c>
      <c r="F44" s="6" t="str">
        <f t="shared" si="0"/>
        <v>Valid</v>
      </c>
      <c r="G44" s="8">
        <f t="shared" si="1"/>
        <v>5</v>
      </c>
      <c r="H44" s="8" t="str">
        <f t="shared" si="2"/>
        <v>Valid</v>
      </c>
      <c r="I44" t="s">
        <v>309</v>
      </c>
      <c r="J44" t="s">
        <v>60</v>
      </c>
      <c r="K44" t="s">
        <v>60</v>
      </c>
      <c r="L44" t="s">
        <v>107</v>
      </c>
      <c r="M44" s="3" t="str">
        <f t="shared" si="3"/>
        <v>Corporate</v>
      </c>
      <c r="N44" t="s">
        <v>41</v>
      </c>
      <c r="O44" s="3" t="str">
        <f t="shared" si="4"/>
        <v>East</v>
      </c>
      <c r="P44" t="s">
        <v>310</v>
      </c>
      <c r="Q44" t="s">
        <v>311</v>
      </c>
      <c r="R44" t="s">
        <v>85</v>
      </c>
      <c r="S44" s="3" t="str">
        <f t="shared" si="5"/>
        <v>Technology</v>
      </c>
      <c r="T44" t="s">
        <v>222</v>
      </c>
      <c r="U44" t="s">
        <v>312</v>
      </c>
      <c r="V44" t="s">
        <v>66</v>
      </c>
      <c r="W44" s="3" t="str">
        <f t="shared" si="6"/>
        <v>Standard Class</v>
      </c>
      <c r="X44">
        <v>8</v>
      </c>
      <c r="Y44">
        <v>979.87</v>
      </c>
      <c r="Z44">
        <v>0.05</v>
      </c>
      <c r="AA44">
        <f t="shared" si="10"/>
        <v>0.05</v>
      </c>
      <c r="AB44">
        <f t="shared" si="11"/>
        <v>7447.0119999999997</v>
      </c>
      <c r="AC44">
        <v>7447.01</v>
      </c>
      <c r="AD44">
        <v>4496.22</v>
      </c>
      <c r="AE44">
        <v>2950.79</v>
      </c>
      <c r="AF44" t="s">
        <v>33</v>
      </c>
      <c r="AG44" t="s">
        <v>34</v>
      </c>
      <c r="AH44" t="str">
        <f t="shared" si="7"/>
        <v>Completed</v>
      </c>
      <c r="AI44" t="str">
        <f t="shared" si="8"/>
        <v>Valid</v>
      </c>
      <c r="AJ44">
        <f t="shared" si="9"/>
        <v>2950.79</v>
      </c>
      <c r="AK44" s="12">
        <f t="shared" si="12"/>
        <v>0.39623811536761322</v>
      </c>
      <c r="AL44">
        <f t="shared" si="13"/>
        <v>10</v>
      </c>
      <c r="AM44">
        <f t="shared" si="14"/>
        <v>2025</v>
      </c>
      <c r="AN44" t="str">
        <f t="shared" si="15"/>
        <v>Clean</v>
      </c>
    </row>
    <row r="45" spans="1:40">
      <c r="A45" t="s">
        <v>313</v>
      </c>
      <c r="B45" s="3" t="s">
        <v>314</v>
      </c>
      <c r="C45" s="10">
        <v>45481</v>
      </c>
      <c r="D45" s="3" t="s">
        <v>315</v>
      </c>
      <c r="E45" s="10">
        <v>45487</v>
      </c>
      <c r="F45" s="6" t="str">
        <f t="shared" si="0"/>
        <v>Valid</v>
      </c>
      <c r="G45" s="8">
        <f t="shared" si="1"/>
        <v>6</v>
      </c>
      <c r="H45" s="8" t="str">
        <f t="shared" si="2"/>
        <v>Valid</v>
      </c>
      <c r="I45" t="s">
        <v>316</v>
      </c>
      <c r="J45" t="s">
        <v>141</v>
      </c>
      <c r="K45" t="s">
        <v>141</v>
      </c>
      <c r="L45" t="s">
        <v>40</v>
      </c>
      <c r="M45" s="3" t="str">
        <f t="shared" si="3"/>
        <v>Small Business</v>
      </c>
      <c r="N45" t="s">
        <v>41</v>
      </c>
      <c r="O45" s="3" t="str">
        <f t="shared" si="4"/>
        <v>East</v>
      </c>
      <c r="P45" t="s">
        <v>42</v>
      </c>
      <c r="Q45" t="s">
        <v>43</v>
      </c>
      <c r="R45" t="s">
        <v>44</v>
      </c>
      <c r="S45" s="3" t="str">
        <f t="shared" si="5"/>
        <v>Furniture</v>
      </c>
      <c r="T45" t="s">
        <v>64</v>
      </c>
      <c r="U45" t="s">
        <v>317</v>
      </c>
      <c r="V45" t="s">
        <v>47</v>
      </c>
      <c r="W45" s="3" t="str">
        <f t="shared" si="6"/>
        <v>Same Day</v>
      </c>
      <c r="X45">
        <v>3</v>
      </c>
      <c r="Y45">
        <v>1010.23</v>
      </c>
      <c r="Z45">
        <v>0</v>
      </c>
      <c r="AA45">
        <f t="shared" si="10"/>
        <v>0</v>
      </c>
      <c r="AB45">
        <f t="shared" si="11"/>
        <v>3030.69</v>
      </c>
      <c r="AC45">
        <v>3030.69</v>
      </c>
      <c r="AD45">
        <v>1721.08</v>
      </c>
      <c r="AE45">
        <v>1309.6099999999999</v>
      </c>
      <c r="AF45" t="s">
        <v>33</v>
      </c>
      <c r="AG45" t="s">
        <v>34</v>
      </c>
      <c r="AH45" t="str">
        <f t="shared" si="7"/>
        <v>Completed</v>
      </c>
      <c r="AI45" t="str">
        <f t="shared" si="8"/>
        <v>Valid</v>
      </c>
      <c r="AJ45">
        <f t="shared" si="9"/>
        <v>1309.6100000000001</v>
      </c>
      <c r="AK45" s="12">
        <f t="shared" si="12"/>
        <v>0.43211611877163292</v>
      </c>
      <c r="AL45">
        <f t="shared" si="13"/>
        <v>7</v>
      </c>
      <c r="AM45">
        <f t="shared" si="14"/>
        <v>2024</v>
      </c>
      <c r="AN45" t="str">
        <f t="shared" si="15"/>
        <v>Clean</v>
      </c>
    </row>
    <row r="46" spans="1:40">
      <c r="A46" t="s">
        <v>318</v>
      </c>
      <c r="B46" s="3" t="s">
        <v>319</v>
      </c>
      <c r="C46" s="10">
        <v>45465</v>
      </c>
      <c r="D46" s="3" t="s">
        <v>320</v>
      </c>
      <c r="E46" s="10">
        <v>45468</v>
      </c>
      <c r="F46" s="6" t="str">
        <f t="shared" si="0"/>
        <v>Valid</v>
      </c>
      <c r="G46" s="8">
        <f t="shared" si="1"/>
        <v>3</v>
      </c>
      <c r="H46" s="8" t="str">
        <f t="shared" si="2"/>
        <v>Valid</v>
      </c>
      <c r="I46" t="s">
        <v>321</v>
      </c>
      <c r="J46" t="s">
        <v>179</v>
      </c>
      <c r="K46" t="s">
        <v>179</v>
      </c>
      <c r="L46" t="s">
        <v>40</v>
      </c>
      <c r="M46" s="3" t="str">
        <f t="shared" si="3"/>
        <v>Small Business</v>
      </c>
      <c r="N46" t="s">
        <v>26</v>
      </c>
      <c r="O46" s="3" t="str">
        <f t="shared" si="4"/>
        <v>North</v>
      </c>
      <c r="P46" t="s">
        <v>322</v>
      </c>
      <c r="Q46" t="s">
        <v>323</v>
      </c>
      <c r="R46" t="s">
        <v>44</v>
      </c>
      <c r="S46" s="3" t="str">
        <f t="shared" si="5"/>
        <v>Furniture</v>
      </c>
      <c r="T46" t="s">
        <v>75</v>
      </c>
      <c r="U46" t="s">
        <v>324</v>
      </c>
      <c r="V46" t="s">
        <v>66</v>
      </c>
      <c r="W46" s="3" t="str">
        <f t="shared" si="6"/>
        <v>Standard Class</v>
      </c>
      <c r="X46">
        <v>9</v>
      </c>
      <c r="Y46">
        <v>3329.77</v>
      </c>
      <c r="Z46">
        <v>0.1</v>
      </c>
      <c r="AA46">
        <f t="shared" si="10"/>
        <v>0.1</v>
      </c>
      <c r="AB46">
        <f t="shared" si="11"/>
        <v>26971.137000000002</v>
      </c>
      <c r="AC46">
        <v>26971.14</v>
      </c>
      <c r="AD46">
        <v>17376.2</v>
      </c>
      <c r="AE46">
        <v>9594.94</v>
      </c>
      <c r="AF46" t="s">
        <v>33</v>
      </c>
      <c r="AG46" t="s">
        <v>34</v>
      </c>
      <c r="AH46" t="str">
        <f t="shared" si="7"/>
        <v>Completed</v>
      </c>
      <c r="AI46" t="str">
        <f t="shared" si="8"/>
        <v>Valid</v>
      </c>
      <c r="AJ46">
        <f t="shared" si="9"/>
        <v>9594.9399999999987</v>
      </c>
      <c r="AK46" s="12">
        <f t="shared" si="12"/>
        <v>0.35574844323396515</v>
      </c>
      <c r="AL46">
        <f t="shared" si="13"/>
        <v>6</v>
      </c>
      <c r="AM46">
        <f t="shared" si="14"/>
        <v>2024</v>
      </c>
      <c r="AN46" t="str">
        <f t="shared" si="15"/>
        <v>Clean</v>
      </c>
    </row>
    <row r="47" spans="1:40">
      <c r="A47" t="s">
        <v>325</v>
      </c>
      <c r="B47" s="3" t="s">
        <v>326</v>
      </c>
      <c r="C47" s="10">
        <v>45309</v>
      </c>
      <c r="D47" s="3" t="s">
        <v>327</v>
      </c>
      <c r="E47" s="10">
        <v>45315</v>
      </c>
      <c r="F47" s="6" t="str">
        <f t="shared" si="0"/>
        <v>Valid</v>
      </c>
      <c r="G47" s="8">
        <f t="shared" si="1"/>
        <v>6</v>
      </c>
      <c r="H47" s="8" t="str">
        <f t="shared" si="2"/>
        <v>Valid</v>
      </c>
      <c r="I47" t="s">
        <v>328</v>
      </c>
      <c r="J47" t="s">
        <v>52</v>
      </c>
      <c r="K47" t="s">
        <v>52</v>
      </c>
      <c r="L47" t="s">
        <v>114</v>
      </c>
      <c r="M47" s="3" t="str">
        <f t="shared" si="3"/>
        <v>Home Office</v>
      </c>
      <c r="N47" t="s">
        <v>41</v>
      </c>
      <c r="O47" s="3" t="str">
        <f t="shared" si="4"/>
        <v>East</v>
      </c>
      <c r="P47" t="s">
        <v>185</v>
      </c>
      <c r="Q47" t="s">
        <v>186</v>
      </c>
      <c r="R47" t="s">
        <v>29</v>
      </c>
      <c r="S47" s="3" t="str">
        <f t="shared" si="5"/>
        <v>Office Supplies</v>
      </c>
      <c r="T47" t="s">
        <v>53</v>
      </c>
      <c r="U47" t="s">
        <v>329</v>
      </c>
      <c r="V47" t="s">
        <v>32</v>
      </c>
      <c r="W47" s="3" t="str">
        <f t="shared" si="6"/>
        <v>Second Class</v>
      </c>
      <c r="X47">
        <v>8</v>
      </c>
      <c r="Y47">
        <v>3927.82</v>
      </c>
      <c r="Z47">
        <v>0.05</v>
      </c>
      <c r="AA47">
        <f t="shared" si="10"/>
        <v>0.05</v>
      </c>
      <c r="AB47">
        <f t="shared" si="11"/>
        <v>29851.432000000001</v>
      </c>
      <c r="AC47">
        <v>29851.43</v>
      </c>
      <c r="AD47">
        <v>17487.48</v>
      </c>
      <c r="AE47">
        <v>12363.95</v>
      </c>
      <c r="AF47" t="s">
        <v>136</v>
      </c>
      <c r="AG47" t="s">
        <v>124</v>
      </c>
      <c r="AH47" t="str">
        <f t="shared" si="7"/>
        <v>Returned</v>
      </c>
      <c r="AI47" t="str">
        <f t="shared" si="8"/>
        <v>Valid</v>
      </c>
      <c r="AJ47">
        <f t="shared" si="9"/>
        <v>12363.95</v>
      </c>
      <c r="AK47" s="12">
        <f t="shared" si="12"/>
        <v>0.41418281039247967</v>
      </c>
      <c r="AL47">
        <f t="shared" si="13"/>
        <v>1</v>
      </c>
      <c r="AM47">
        <f t="shared" si="14"/>
        <v>2024</v>
      </c>
      <c r="AN47" t="str">
        <f t="shared" si="15"/>
        <v>Clean</v>
      </c>
    </row>
    <row r="48" spans="1:40">
      <c r="A48" t="s">
        <v>330</v>
      </c>
      <c r="B48" s="3" t="s">
        <v>331</v>
      </c>
      <c r="C48" s="10">
        <v>45492</v>
      </c>
      <c r="D48" s="3" t="s">
        <v>331</v>
      </c>
      <c r="E48" s="10">
        <v>45492</v>
      </c>
      <c r="F48" s="6" t="str">
        <f t="shared" si="0"/>
        <v>Valid</v>
      </c>
      <c r="G48" s="8">
        <f t="shared" si="1"/>
        <v>0</v>
      </c>
      <c r="H48" s="8" t="str">
        <f t="shared" si="2"/>
        <v>Valid</v>
      </c>
      <c r="I48" t="s">
        <v>332</v>
      </c>
      <c r="J48" t="s">
        <v>71</v>
      </c>
      <c r="K48" t="s">
        <v>71</v>
      </c>
      <c r="L48" t="s">
        <v>40</v>
      </c>
      <c r="M48" s="3" t="str">
        <f t="shared" si="3"/>
        <v>Small Business</v>
      </c>
      <c r="N48" t="s">
        <v>61</v>
      </c>
      <c r="O48" s="3" t="str">
        <f t="shared" si="4"/>
        <v>South</v>
      </c>
      <c r="P48" t="s">
        <v>241</v>
      </c>
      <c r="Q48" t="s">
        <v>242</v>
      </c>
      <c r="R48" t="s">
        <v>44</v>
      </c>
      <c r="S48" s="3" t="str">
        <f t="shared" si="5"/>
        <v>Furniture</v>
      </c>
      <c r="T48" t="s">
        <v>203</v>
      </c>
      <c r="U48" t="s">
        <v>333</v>
      </c>
      <c r="V48" t="s">
        <v>66</v>
      </c>
      <c r="W48" s="3" t="str">
        <f t="shared" si="6"/>
        <v>Standard Class</v>
      </c>
      <c r="X48">
        <v>9</v>
      </c>
      <c r="Y48">
        <v>2386.79</v>
      </c>
      <c r="Z48">
        <v>0.25</v>
      </c>
      <c r="AA48">
        <f t="shared" si="10"/>
        <v>0.25</v>
      </c>
      <c r="AB48">
        <f t="shared" si="11"/>
        <v>16110.8325</v>
      </c>
      <c r="AC48">
        <v>16110.83</v>
      </c>
      <c r="AD48">
        <v>10680.03</v>
      </c>
      <c r="AE48">
        <v>5430.8</v>
      </c>
      <c r="AF48" t="s">
        <v>123</v>
      </c>
      <c r="AG48" t="s">
        <v>124</v>
      </c>
      <c r="AH48" t="str">
        <f t="shared" si="7"/>
        <v>Returned</v>
      </c>
      <c r="AI48" t="str">
        <f t="shared" si="8"/>
        <v>Valid</v>
      </c>
      <c r="AJ48">
        <f t="shared" si="9"/>
        <v>5430.7999999999993</v>
      </c>
      <c r="AK48" s="12">
        <f t="shared" si="12"/>
        <v>0.33708996726270968</v>
      </c>
      <c r="AL48">
        <f t="shared" si="13"/>
        <v>7</v>
      </c>
      <c r="AM48">
        <f t="shared" si="14"/>
        <v>2024</v>
      </c>
      <c r="AN48" t="str">
        <f t="shared" si="15"/>
        <v>Clean</v>
      </c>
    </row>
    <row r="49" spans="1:40">
      <c r="A49" t="s">
        <v>334</v>
      </c>
      <c r="B49" s="3" t="s">
        <v>335</v>
      </c>
      <c r="C49" s="10">
        <v>45516</v>
      </c>
      <c r="D49" s="3" t="s">
        <v>336</v>
      </c>
      <c r="E49" s="10">
        <v>45516</v>
      </c>
      <c r="F49" s="6" t="str">
        <f t="shared" si="0"/>
        <v>Valid</v>
      </c>
      <c r="G49" s="8">
        <f t="shared" si="1"/>
        <v>0</v>
      </c>
      <c r="H49" s="8" t="str">
        <f t="shared" si="2"/>
        <v>Valid</v>
      </c>
      <c r="I49" t="s">
        <v>337</v>
      </c>
      <c r="J49" t="s">
        <v>147</v>
      </c>
      <c r="K49" t="s">
        <v>147</v>
      </c>
      <c r="L49" t="s">
        <v>107</v>
      </c>
      <c r="M49" s="3" t="str">
        <f t="shared" si="3"/>
        <v>Corporate</v>
      </c>
      <c r="N49" t="s">
        <v>61</v>
      </c>
      <c r="O49" s="3" t="str">
        <f t="shared" si="4"/>
        <v>South</v>
      </c>
      <c r="P49" t="s">
        <v>338</v>
      </c>
      <c r="Q49" t="s">
        <v>339</v>
      </c>
      <c r="R49" t="s">
        <v>29</v>
      </c>
      <c r="S49" s="3" t="str">
        <f t="shared" si="5"/>
        <v>Office Supplies</v>
      </c>
      <c r="T49" t="s">
        <v>155</v>
      </c>
      <c r="U49" t="s">
        <v>340</v>
      </c>
      <c r="V49" t="s">
        <v>66</v>
      </c>
      <c r="W49" s="3" t="str">
        <f t="shared" si="6"/>
        <v>Standard Class</v>
      </c>
      <c r="X49">
        <v>8</v>
      </c>
      <c r="Y49">
        <v>2445.31</v>
      </c>
      <c r="Z49">
        <v>0.1</v>
      </c>
      <c r="AA49">
        <f t="shared" si="10"/>
        <v>0.1</v>
      </c>
      <c r="AB49">
        <f t="shared" si="11"/>
        <v>17606.232</v>
      </c>
      <c r="AC49">
        <v>17606.23</v>
      </c>
      <c r="AD49">
        <v>12438.96</v>
      </c>
      <c r="AE49">
        <v>5167.2700000000004</v>
      </c>
      <c r="AF49" t="s">
        <v>33</v>
      </c>
      <c r="AG49" t="s">
        <v>34</v>
      </c>
      <c r="AH49" t="str">
        <f t="shared" si="7"/>
        <v>Completed</v>
      </c>
      <c r="AI49" t="str">
        <f t="shared" si="8"/>
        <v>Valid</v>
      </c>
      <c r="AJ49">
        <f t="shared" si="9"/>
        <v>5167.2700000000004</v>
      </c>
      <c r="AK49" s="12">
        <f t="shared" si="12"/>
        <v>0.29349096388142565</v>
      </c>
      <c r="AL49">
        <f t="shared" si="13"/>
        <v>8</v>
      </c>
      <c r="AM49">
        <f t="shared" si="14"/>
        <v>2024</v>
      </c>
      <c r="AN49" t="str">
        <f t="shared" si="15"/>
        <v>Clean</v>
      </c>
    </row>
    <row r="50" spans="1:40">
      <c r="A50" t="s">
        <v>341</v>
      </c>
      <c r="B50" s="3" t="s">
        <v>342</v>
      </c>
      <c r="C50" s="10">
        <v>45687</v>
      </c>
      <c r="D50" s="3" t="s">
        <v>343</v>
      </c>
      <c r="E50" s="10">
        <v>45693</v>
      </c>
      <c r="F50" s="6" t="str">
        <f t="shared" si="0"/>
        <v>Valid</v>
      </c>
      <c r="G50" s="8">
        <f t="shared" si="1"/>
        <v>6</v>
      </c>
      <c r="H50" s="8" t="str">
        <f t="shared" si="2"/>
        <v>Valid</v>
      </c>
      <c r="I50" t="s">
        <v>344</v>
      </c>
      <c r="J50" t="s">
        <v>92</v>
      </c>
      <c r="K50" t="s">
        <v>92</v>
      </c>
      <c r="L50" t="s">
        <v>107</v>
      </c>
      <c r="M50" s="3" t="str">
        <f t="shared" si="3"/>
        <v>Corporate</v>
      </c>
      <c r="N50" t="s">
        <v>72</v>
      </c>
      <c r="O50" s="3" t="str">
        <f t="shared" si="4"/>
        <v>West</v>
      </c>
      <c r="P50" t="s">
        <v>73</v>
      </c>
      <c r="Q50" t="s">
        <v>74</v>
      </c>
      <c r="R50" t="s">
        <v>44</v>
      </c>
      <c r="S50" s="3" t="str">
        <f t="shared" si="5"/>
        <v>Furniture</v>
      </c>
      <c r="T50" t="s">
        <v>75</v>
      </c>
      <c r="U50" t="s">
        <v>345</v>
      </c>
      <c r="V50" t="s">
        <v>32</v>
      </c>
      <c r="W50" s="3" t="str">
        <f t="shared" si="6"/>
        <v>Second Class</v>
      </c>
      <c r="X50">
        <v>7</v>
      </c>
      <c r="Y50">
        <v>4063.66</v>
      </c>
      <c r="Z50">
        <v>0</v>
      </c>
      <c r="AA50">
        <f t="shared" si="10"/>
        <v>0</v>
      </c>
      <c r="AB50">
        <f t="shared" si="11"/>
        <v>28445.62</v>
      </c>
      <c r="AC50">
        <v>28445.62</v>
      </c>
      <c r="AD50">
        <v>20938.59</v>
      </c>
      <c r="AE50">
        <v>7507.03</v>
      </c>
      <c r="AF50" t="s">
        <v>33</v>
      </c>
      <c r="AG50" t="s">
        <v>34</v>
      </c>
      <c r="AH50" t="str">
        <f t="shared" si="7"/>
        <v>Completed</v>
      </c>
      <c r="AI50" t="str">
        <f t="shared" si="8"/>
        <v>Valid</v>
      </c>
      <c r="AJ50">
        <f t="shared" si="9"/>
        <v>7507.0299999999988</v>
      </c>
      <c r="AK50" s="12">
        <f t="shared" si="12"/>
        <v>0.26390811660986818</v>
      </c>
      <c r="AL50">
        <f t="shared" si="13"/>
        <v>1</v>
      </c>
      <c r="AM50">
        <f t="shared" si="14"/>
        <v>2025</v>
      </c>
      <c r="AN50" t="str">
        <f t="shared" si="15"/>
        <v>Clean</v>
      </c>
    </row>
    <row r="51" spans="1:40">
      <c r="A51" t="s">
        <v>346</v>
      </c>
      <c r="B51" s="3" t="s">
        <v>347</v>
      </c>
      <c r="C51" s="10">
        <v>45388</v>
      </c>
      <c r="D51" s="3" t="s">
        <v>348</v>
      </c>
      <c r="E51" s="10">
        <v>45395</v>
      </c>
      <c r="F51" s="6" t="str">
        <f t="shared" si="0"/>
        <v>Valid</v>
      </c>
      <c r="G51" s="8">
        <f t="shared" si="1"/>
        <v>7</v>
      </c>
      <c r="H51" s="8" t="str">
        <f t="shared" si="2"/>
        <v>Valid</v>
      </c>
      <c r="I51" t="s">
        <v>349</v>
      </c>
      <c r="J51" t="s">
        <v>161</v>
      </c>
      <c r="K51" t="s">
        <v>161</v>
      </c>
      <c r="L51" t="s">
        <v>114</v>
      </c>
      <c r="M51" s="3" t="str">
        <f t="shared" si="3"/>
        <v>Home Office</v>
      </c>
      <c r="N51" t="s">
        <v>26</v>
      </c>
      <c r="O51" s="3" t="str">
        <f t="shared" si="4"/>
        <v>North</v>
      </c>
      <c r="P51" t="s">
        <v>173</v>
      </c>
      <c r="Q51" t="s">
        <v>174</v>
      </c>
      <c r="R51" t="s">
        <v>85</v>
      </c>
      <c r="S51" s="3" t="str">
        <f t="shared" si="5"/>
        <v>Technology</v>
      </c>
      <c r="T51" t="s">
        <v>93</v>
      </c>
      <c r="U51" t="s">
        <v>350</v>
      </c>
      <c r="V51" t="s">
        <v>32</v>
      </c>
      <c r="W51" s="3" t="str">
        <f t="shared" si="6"/>
        <v>Second Class</v>
      </c>
      <c r="X51">
        <v>9</v>
      </c>
      <c r="Y51">
        <v>792.11</v>
      </c>
      <c r="Z51">
        <v>0.05</v>
      </c>
      <c r="AA51">
        <f t="shared" si="10"/>
        <v>0.05</v>
      </c>
      <c r="AB51">
        <f t="shared" si="11"/>
        <v>6772.5404999999992</v>
      </c>
      <c r="AC51">
        <v>6772.54</v>
      </c>
      <c r="AD51">
        <v>5755.46</v>
      </c>
      <c r="AE51">
        <v>1017.08</v>
      </c>
      <c r="AF51" t="s">
        <v>33</v>
      </c>
      <c r="AG51" t="s">
        <v>34</v>
      </c>
      <c r="AH51" t="str">
        <f t="shared" si="7"/>
        <v>Completed</v>
      </c>
      <c r="AI51" t="str">
        <f t="shared" si="8"/>
        <v>Valid</v>
      </c>
      <c r="AJ51">
        <f t="shared" si="9"/>
        <v>1017.0799999999999</v>
      </c>
      <c r="AK51" s="12">
        <f t="shared" si="12"/>
        <v>0.15017702736513722</v>
      </c>
      <c r="AL51">
        <f t="shared" si="13"/>
        <v>4</v>
      </c>
      <c r="AM51">
        <f t="shared" si="14"/>
        <v>2024</v>
      </c>
      <c r="AN51" t="str">
        <f t="shared" si="15"/>
        <v>Clean</v>
      </c>
    </row>
    <row r="52" spans="1:40">
      <c r="A52" t="s">
        <v>351</v>
      </c>
      <c r="B52" s="3" t="s">
        <v>352</v>
      </c>
      <c r="C52" s="10">
        <v>45788</v>
      </c>
      <c r="D52" s="3" t="s">
        <v>353</v>
      </c>
      <c r="E52" s="10">
        <v>45796</v>
      </c>
      <c r="F52" s="6" t="str">
        <f t="shared" si="0"/>
        <v>Valid</v>
      </c>
      <c r="G52" s="8">
        <f t="shared" si="1"/>
        <v>8</v>
      </c>
      <c r="H52" s="8" t="str">
        <f t="shared" si="2"/>
        <v>Valid</v>
      </c>
      <c r="I52" t="s">
        <v>354</v>
      </c>
      <c r="J52" t="s">
        <v>167</v>
      </c>
      <c r="K52" t="s">
        <v>167</v>
      </c>
      <c r="L52" t="s">
        <v>25</v>
      </c>
      <c r="M52" s="3" t="str">
        <f t="shared" si="3"/>
        <v>Consumer</v>
      </c>
      <c r="N52" t="s">
        <v>41</v>
      </c>
      <c r="O52" s="3" t="str">
        <f t="shared" si="4"/>
        <v>East</v>
      </c>
      <c r="P52" t="s">
        <v>120</v>
      </c>
      <c r="Q52" t="s">
        <v>121</v>
      </c>
      <c r="R52" t="s">
        <v>85</v>
      </c>
      <c r="S52" s="3" t="str">
        <f t="shared" si="5"/>
        <v>Technology</v>
      </c>
      <c r="T52" t="s">
        <v>93</v>
      </c>
      <c r="U52" t="s">
        <v>355</v>
      </c>
      <c r="V52" t="s">
        <v>66</v>
      </c>
      <c r="W52" s="3" t="str">
        <f t="shared" si="6"/>
        <v>Standard Class</v>
      </c>
      <c r="X52">
        <v>1</v>
      </c>
      <c r="Y52">
        <v>2382.8000000000002</v>
      </c>
      <c r="Z52">
        <v>0.15</v>
      </c>
      <c r="AA52">
        <f t="shared" si="10"/>
        <v>0.15</v>
      </c>
      <c r="AB52">
        <f t="shared" si="11"/>
        <v>2025.38</v>
      </c>
      <c r="AC52">
        <v>2025.38</v>
      </c>
      <c r="AD52">
        <v>1140.6500000000001</v>
      </c>
      <c r="AE52">
        <v>884.73</v>
      </c>
      <c r="AF52" t="s">
        <v>33</v>
      </c>
      <c r="AG52" t="s">
        <v>34</v>
      </c>
      <c r="AH52" t="str">
        <f t="shared" si="7"/>
        <v>Completed</v>
      </c>
      <c r="AI52" t="str">
        <f t="shared" si="8"/>
        <v>Valid</v>
      </c>
      <c r="AJ52">
        <f t="shared" si="9"/>
        <v>884.73</v>
      </c>
      <c r="AK52" s="12">
        <f t="shared" si="12"/>
        <v>0.43682173221815163</v>
      </c>
      <c r="AL52">
        <f t="shared" si="13"/>
        <v>5</v>
      </c>
      <c r="AM52">
        <f t="shared" si="14"/>
        <v>2025</v>
      </c>
      <c r="AN52" t="str">
        <f t="shared" si="15"/>
        <v>Clean</v>
      </c>
    </row>
    <row r="53" spans="1:40">
      <c r="A53" t="s">
        <v>356</v>
      </c>
      <c r="B53" s="3" t="s">
        <v>357</v>
      </c>
      <c r="C53" s="10">
        <v>45406</v>
      </c>
      <c r="D53" s="3" t="s">
        <v>358</v>
      </c>
      <c r="E53" s="10">
        <v>45411</v>
      </c>
      <c r="F53" s="6" t="str">
        <f t="shared" si="0"/>
        <v>Valid</v>
      </c>
      <c r="G53" s="8">
        <f t="shared" si="1"/>
        <v>5</v>
      </c>
      <c r="H53" s="8" t="str">
        <f t="shared" si="2"/>
        <v>Valid</v>
      </c>
      <c r="I53" t="s">
        <v>359</v>
      </c>
      <c r="J53" t="s">
        <v>71</v>
      </c>
      <c r="K53" t="s">
        <v>71</v>
      </c>
      <c r="L53" t="s">
        <v>107</v>
      </c>
      <c r="M53" s="3" t="str">
        <f t="shared" si="3"/>
        <v>Corporate</v>
      </c>
      <c r="N53" t="s">
        <v>61</v>
      </c>
      <c r="O53" s="3" t="str">
        <f t="shared" si="4"/>
        <v>South</v>
      </c>
      <c r="P53" t="s">
        <v>62</v>
      </c>
      <c r="Q53" t="s">
        <v>63</v>
      </c>
      <c r="R53" t="s">
        <v>29</v>
      </c>
      <c r="S53" s="3" t="str">
        <f t="shared" si="5"/>
        <v>Office Supplies</v>
      </c>
      <c r="T53" t="s">
        <v>53</v>
      </c>
      <c r="U53" t="s">
        <v>360</v>
      </c>
      <c r="V53" t="s">
        <v>66</v>
      </c>
      <c r="W53" s="3" t="str">
        <f t="shared" si="6"/>
        <v>Standard Class</v>
      </c>
      <c r="X53">
        <v>6</v>
      </c>
      <c r="Y53">
        <v>1528.08</v>
      </c>
      <c r="Z53">
        <v>0</v>
      </c>
      <c r="AA53">
        <f t="shared" si="10"/>
        <v>0</v>
      </c>
      <c r="AB53">
        <f t="shared" si="11"/>
        <v>9168.48</v>
      </c>
      <c r="AC53">
        <v>9168.48</v>
      </c>
      <c r="AD53">
        <v>7439.77</v>
      </c>
      <c r="AE53">
        <v>1728.71</v>
      </c>
      <c r="AF53" t="s">
        <v>33</v>
      </c>
      <c r="AG53" t="s">
        <v>34</v>
      </c>
      <c r="AH53" t="str">
        <f t="shared" si="7"/>
        <v>Completed</v>
      </c>
      <c r="AI53" t="str">
        <f t="shared" si="8"/>
        <v>Valid</v>
      </c>
      <c r="AJ53">
        <f t="shared" si="9"/>
        <v>1728.7099999999991</v>
      </c>
      <c r="AK53" s="12">
        <f t="shared" si="12"/>
        <v>0.18854924698532355</v>
      </c>
      <c r="AL53">
        <f t="shared" si="13"/>
        <v>4</v>
      </c>
      <c r="AM53">
        <f t="shared" si="14"/>
        <v>2024</v>
      </c>
      <c r="AN53" t="str">
        <f t="shared" si="15"/>
        <v>Clean</v>
      </c>
    </row>
    <row r="54" spans="1:40">
      <c r="A54" t="s">
        <v>361</v>
      </c>
      <c r="B54" s="3" t="s">
        <v>362</v>
      </c>
      <c r="C54" s="10">
        <v>45591</v>
      </c>
      <c r="D54" s="3" t="s">
        <v>363</v>
      </c>
      <c r="E54" s="10">
        <v>45593</v>
      </c>
      <c r="F54" s="6" t="str">
        <f t="shared" si="0"/>
        <v>Valid</v>
      </c>
      <c r="G54" s="8">
        <f t="shared" si="1"/>
        <v>2</v>
      </c>
      <c r="H54" s="8" t="str">
        <f t="shared" si="2"/>
        <v>Valid</v>
      </c>
      <c r="I54" t="s">
        <v>364</v>
      </c>
      <c r="J54" t="s">
        <v>365</v>
      </c>
      <c r="K54" t="s">
        <v>365</v>
      </c>
      <c r="L54" t="s">
        <v>40</v>
      </c>
      <c r="M54" s="3" t="str">
        <f t="shared" si="3"/>
        <v>Small Business</v>
      </c>
      <c r="N54" t="s">
        <v>26</v>
      </c>
      <c r="O54" s="3" t="str">
        <f t="shared" si="4"/>
        <v>North</v>
      </c>
      <c r="P54" t="s">
        <v>27</v>
      </c>
      <c r="Q54" t="s">
        <v>28</v>
      </c>
      <c r="R54" t="s">
        <v>44</v>
      </c>
      <c r="S54" s="3" t="str">
        <f t="shared" si="5"/>
        <v>Furniture</v>
      </c>
      <c r="T54" t="s">
        <v>75</v>
      </c>
      <c r="U54" t="s">
        <v>366</v>
      </c>
      <c r="V54" t="s">
        <v>55</v>
      </c>
      <c r="W54" s="3" t="str">
        <f t="shared" si="6"/>
        <v>First Class</v>
      </c>
      <c r="X54">
        <v>9</v>
      </c>
      <c r="Y54">
        <v>1399.63</v>
      </c>
      <c r="Z54">
        <v>0</v>
      </c>
      <c r="AA54">
        <f t="shared" si="10"/>
        <v>0</v>
      </c>
      <c r="AB54">
        <f t="shared" si="11"/>
        <v>12596.670000000002</v>
      </c>
      <c r="AC54">
        <v>12596.67</v>
      </c>
      <c r="AD54">
        <v>10603.29</v>
      </c>
      <c r="AE54">
        <v>1993.38</v>
      </c>
      <c r="AF54" t="s">
        <v>199</v>
      </c>
      <c r="AG54" t="s">
        <v>77</v>
      </c>
      <c r="AH54" t="str">
        <f t="shared" si="7"/>
        <v>Cancelled</v>
      </c>
      <c r="AI54" t="str">
        <f t="shared" si="8"/>
        <v>Valid</v>
      </c>
      <c r="AJ54">
        <f t="shared" si="9"/>
        <v>1993.3799999999992</v>
      </c>
      <c r="AK54" s="12">
        <f t="shared" si="12"/>
        <v>0.15824658421630469</v>
      </c>
      <c r="AL54">
        <f t="shared" si="13"/>
        <v>10</v>
      </c>
      <c r="AM54">
        <f t="shared" si="14"/>
        <v>2024</v>
      </c>
      <c r="AN54" t="str">
        <f t="shared" si="15"/>
        <v>Clean</v>
      </c>
    </row>
    <row r="55" spans="1:40">
      <c r="A55" t="s">
        <v>367</v>
      </c>
      <c r="B55" s="3" t="s">
        <v>368</v>
      </c>
      <c r="C55" s="10">
        <v>45747</v>
      </c>
      <c r="D55" s="3" t="s">
        <v>369</v>
      </c>
      <c r="E55" s="10">
        <v>45747</v>
      </c>
      <c r="F55" s="6" t="str">
        <f t="shared" si="0"/>
        <v>Valid</v>
      </c>
      <c r="G55" s="8">
        <f t="shared" si="1"/>
        <v>0</v>
      </c>
      <c r="H55" s="8" t="str">
        <f t="shared" si="2"/>
        <v>Valid</v>
      </c>
      <c r="I55" t="s">
        <v>370</v>
      </c>
      <c r="J55" t="s">
        <v>365</v>
      </c>
      <c r="K55" t="s">
        <v>365</v>
      </c>
      <c r="L55" t="s">
        <v>114</v>
      </c>
      <c r="M55" s="3" t="str">
        <f t="shared" si="3"/>
        <v>Home Office</v>
      </c>
      <c r="N55" t="s">
        <v>72</v>
      </c>
      <c r="O55" s="3" t="str">
        <f t="shared" si="4"/>
        <v>West</v>
      </c>
      <c r="P55" t="s">
        <v>234</v>
      </c>
      <c r="Q55" t="s">
        <v>235</v>
      </c>
      <c r="R55" t="s">
        <v>29</v>
      </c>
      <c r="S55" s="3" t="str">
        <f t="shared" si="5"/>
        <v>Office Supplies</v>
      </c>
      <c r="T55" t="s">
        <v>155</v>
      </c>
      <c r="U55" t="s">
        <v>371</v>
      </c>
      <c r="V55" t="s">
        <v>55</v>
      </c>
      <c r="W55" s="3" t="str">
        <f t="shared" si="6"/>
        <v>First Class</v>
      </c>
      <c r="X55">
        <v>5</v>
      </c>
      <c r="Y55">
        <v>1207.47</v>
      </c>
      <c r="Z55">
        <v>0.15</v>
      </c>
      <c r="AA55">
        <f t="shared" si="10"/>
        <v>0.15</v>
      </c>
      <c r="AB55">
        <f t="shared" si="11"/>
        <v>5131.7475000000004</v>
      </c>
      <c r="AC55">
        <v>5131.75</v>
      </c>
      <c r="AD55">
        <v>2838.68</v>
      </c>
      <c r="AE55">
        <v>2293.0700000000002</v>
      </c>
      <c r="AF55" t="s">
        <v>33</v>
      </c>
      <c r="AG55" t="s">
        <v>34</v>
      </c>
      <c r="AH55" t="str">
        <f t="shared" si="7"/>
        <v>Completed</v>
      </c>
      <c r="AI55" t="str">
        <f t="shared" si="8"/>
        <v>Valid</v>
      </c>
      <c r="AJ55">
        <f t="shared" si="9"/>
        <v>2293.0700000000002</v>
      </c>
      <c r="AK55" s="12">
        <f t="shared" si="12"/>
        <v>0.44683998969162064</v>
      </c>
      <c r="AL55">
        <f t="shared" si="13"/>
        <v>3</v>
      </c>
      <c r="AM55">
        <f t="shared" si="14"/>
        <v>2025</v>
      </c>
      <c r="AN55" t="str">
        <f t="shared" si="15"/>
        <v>Clean</v>
      </c>
    </row>
    <row r="56" spans="1:40">
      <c r="A56" t="s">
        <v>372</v>
      </c>
      <c r="B56" s="3" t="s">
        <v>373</v>
      </c>
      <c r="C56" s="10">
        <v>45807</v>
      </c>
      <c r="D56" s="3" t="s">
        <v>374</v>
      </c>
      <c r="E56" s="10">
        <v>45810</v>
      </c>
      <c r="F56" s="6" t="str">
        <f t="shared" si="0"/>
        <v>Valid</v>
      </c>
      <c r="G56" s="8">
        <f t="shared" si="1"/>
        <v>3</v>
      </c>
      <c r="H56" s="8" t="str">
        <f t="shared" si="2"/>
        <v>Valid</v>
      </c>
      <c r="I56" t="s">
        <v>375</v>
      </c>
      <c r="J56" t="s">
        <v>60</v>
      </c>
      <c r="K56" t="s">
        <v>60</v>
      </c>
      <c r="L56" t="s">
        <v>107</v>
      </c>
      <c r="M56" s="3" t="str">
        <f t="shared" si="3"/>
        <v>Corporate</v>
      </c>
      <c r="N56" t="s">
        <v>61</v>
      </c>
      <c r="O56" s="3" t="str">
        <f t="shared" si="4"/>
        <v>South</v>
      </c>
      <c r="P56" t="s">
        <v>338</v>
      </c>
      <c r="Q56" t="s">
        <v>339</v>
      </c>
      <c r="R56" t="s">
        <v>29</v>
      </c>
      <c r="S56" s="3" t="str">
        <f t="shared" si="5"/>
        <v>Office Supplies</v>
      </c>
      <c r="T56" t="s">
        <v>108</v>
      </c>
      <c r="U56" t="s">
        <v>376</v>
      </c>
      <c r="V56" t="s">
        <v>47</v>
      </c>
      <c r="W56" s="3" t="str">
        <f t="shared" si="6"/>
        <v>Same Day</v>
      </c>
      <c r="X56">
        <v>8</v>
      </c>
      <c r="Y56">
        <v>474.37</v>
      </c>
      <c r="Z56">
        <v>0.1</v>
      </c>
      <c r="AA56">
        <f t="shared" si="10"/>
        <v>0.1</v>
      </c>
      <c r="AB56">
        <f t="shared" si="11"/>
        <v>3415.4639999999999</v>
      </c>
      <c r="AC56">
        <v>3415.46</v>
      </c>
      <c r="AD56">
        <v>1993.23</v>
      </c>
      <c r="AE56">
        <v>1422.23</v>
      </c>
      <c r="AF56" t="s">
        <v>199</v>
      </c>
      <c r="AG56" t="s">
        <v>77</v>
      </c>
      <c r="AH56" t="str">
        <f t="shared" si="7"/>
        <v>Cancelled</v>
      </c>
      <c r="AI56" t="str">
        <f t="shared" si="8"/>
        <v>Valid</v>
      </c>
      <c r="AJ56">
        <f t="shared" si="9"/>
        <v>1422.23</v>
      </c>
      <c r="AK56" s="12">
        <f t="shared" si="12"/>
        <v>0.41640901499766941</v>
      </c>
      <c r="AL56">
        <f t="shared" si="13"/>
        <v>5</v>
      </c>
      <c r="AM56">
        <f t="shared" si="14"/>
        <v>2025</v>
      </c>
      <c r="AN56" t="str">
        <f t="shared" si="15"/>
        <v>Clean</v>
      </c>
    </row>
    <row r="57" spans="1:40">
      <c r="A57" t="s">
        <v>377</v>
      </c>
      <c r="B57" s="3" t="s">
        <v>378</v>
      </c>
      <c r="C57" s="10">
        <v>45839</v>
      </c>
      <c r="D57" s="3" t="s">
        <v>379</v>
      </c>
      <c r="E57" s="10">
        <v>45841</v>
      </c>
      <c r="F57" s="6" t="str">
        <f t="shared" si="0"/>
        <v>Valid</v>
      </c>
      <c r="G57" s="8">
        <f t="shared" si="1"/>
        <v>2</v>
      </c>
      <c r="H57" s="8" t="str">
        <f t="shared" si="2"/>
        <v>Valid</v>
      </c>
      <c r="I57" t="s">
        <v>380</v>
      </c>
      <c r="J57" t="s">
        <v>39</v>
      </c>
      <c r="K57" t="s">
        <v>39</v>
      </c>
      <c r="L57" t="s">
        <v>40</v>
      </c>
      <c r="M57" s="3" t="str">
        <f t="shared" si="3"/>
        <v>Small Business</v>
      </c>
      <c r="N57" t="s">
        <v>61</v>
      </c>
      <c r="O57" s="3" t="str">
        <f t="shared" si="4"/>
        <v>South</v>
      </c>
      <c r="P57" t="s">
        <v>99</v>
      </c>
      <c r="Q57" t="s">
        <v>100</v>
      </c>
      <c r="R57" t="s">
        <v>85</v>
      </c>
      <c r="S57" s="3" t="str">
        <f t="shared" si="5"/>
        <v>Technology</v>
      </c>
      <c r="T57" t="s">
        <v>381</v>
      </c>
      <c r="U57" t="s">
        <v>382</v>
      </c>
      <c r="V57" t="s">
        <v>47</v>
      </c>
      <c r="W57" s="3" t="str">
        <f t="shared" si="6"/>
        <v>Same Day</v>
      </c>
      <c r="X57">
        <v>3</v>
      </c>
      <c r="Y57">
        <v>1516.24</v>
      </c>
      <c r="Z57">
        <v>0.25</v>
      </c>
      <c r="AA57">
        <f t="shared" si="10"/>
        <v>0.25</v>
      </c>
      <c r="AB57">
        <f t="shared" si="11"/>
        <v>3411.54</v>
      </c>
      <c r="AC57">
        <v>3411.54</v>
      </c>
      <c r="AD57">
        <v>2803.13</v>
      </c>
      <c r="AE57">
        <v>608.41</v>
      </c>
      <c r="AF57" t="s">
        <v>33</v>
      </c>
      <c r="AG57" t="s">
        <v>34</v>
      </c>
      <c r="AH57" t="str">
        <f t="shared" si="7"/>
        <v>Completed</v>
      </c>
      <c r="AI57" t="str">
        <f t="shared" si="8"/>
        <v>Valid</v>
      </c>
      <c r="AJ57">
        <f t="shared" si="9"/>
        <v>608.40999999999985</v>
      </c>
      <c r="AK57" s="12">
        <f t="shared" si="12"/>
        <v>0.17833881472883209</v>
      </c>
      <c r="AL57">
        <f t="shared" si="13"/>
        <v>7</v>
      </c>
      <c r="AM57">
        <f t="shared" si="14"/>
        <v>2025</v>
      </c>
      <c r="AN57" t="str">
        <f t="shared" si="15"/>
        <v>Clean</v>
      </c>
    </row>
    <row r="58" spans="1:40">
      <c r="A58" t="s">
        <v>383</v>
      </c>
      <c r="B58" s="3" t="s">
        <v>384</v>
      </c>
      <c r="C58" s="10">
        <v>45662</v>
      </c>
      <c r="D58" s="3" t="s">
        <v>385</v>
      </c>
      <c r="E58" s="10">
        <v>45663</v>
      </c>
      <c r="F58" s="6" t="str">
        <f t="shared" si="0"/>
        <v>Valid</v>
      </c>
      <c r="G58" s="8">
        <f t="shared" si="1"/>
        <v>1</v>
      </c>
      <c r="H58" s="8" t="str">
        <f t="shared" si="2"/>
        <v>Valid</v>
      </c>
      <c r="I58" t="s">
        <v>386</v>
      </c>
      <c r="J58" t="s">
        <v>24</v>
      </c>
      <c r="K58" t="s">
        <v>24</v>
      </c>
      <c r="L58" t="s">
        <v>25</v>
      </c>
      <c r="M58" s="3" t="str">
        <f t="shared" si="3"/>
        <v>Consumer</v>
      </c>
      <c r="N58" t="s">
        <v>61</v>
      </c>
      <c r="O58" s="3" t="str">
        <f t="shared" si="4"/>
        <v>South</v>
      </c>
      <c r="P58" t="s">
        <v>228</v>
      </c>
      <c r="Q58" t="s">
        <v>229</v>
      </c>
      <c r="R58" t="s">
        <v>29</v>
      </c>
      <c r="S58" s="3" t="str">
        <f t="shared" si="5"/>
        <v>Office Supplies</v>
      </c>
      <c r="T58" t="s">
        <v>197</v>
      </c>
      <c r="U58" t="s">
        <v>387</v>
      </c>
      <c r="V58" t="s">
        <v>32</v>
      </c>
      <c r="W58" s="3" t="str">
        <f t="shared" si="6"/>
        <v>Second Class</v>
      </c>
      <c r="X58">
        <v>3</v>
      </c>
      <c r="Y58">
        <v>3155.61</v>
      </c>
      <c r="Z58">
        <v>0</v>
      </c>
      <c r="AA58">
        <f t="shared" si="10"/>
        <v>0</v>
      </c>
      <c r="AB58">
        <f t="shared" si="11"/>
        <v>9466.83</v>
      </c>
      <c r="AC58">
        <v>9466.83</v>
      </c>
      <c r="AD58">
        <v>6557.83</v>
      </c>
      <c r="AE58">
        <v>2909</v>
      </c>
      <c r="AF58" t="s">
        <v>123</v>
      </c>
      <c r="AG58" t="s">
        <v>77</v>
      </c>
      <c r="AH58" t="str">
        <f t="shared" si="7"/>
        <v>Cancelled</v>
      </c>
      <c r="AI58" t="str">
        <f t="shared" si="8"/>
        <v>Valid</v>
      </c>
      <c r="AJ58">
        <f t="shared" si="9"/>
        <v>2909</v>
      </c>
      <c r="AK58" s="12">
        <f t="shared" si="12"/>
        <v>0.30728343067320318</v>
      </c>
      <c r="AL58">
        <f t="shared" si="13"/>
        <v>1</v>
      </c>
      <c r="AM58">
        <f t="shared" si="14"/>
        <v>2025</v>
      </c>
      <c r="AN58" t="str">
        <f t="shared" si="15"/>
        <v>Clean</v>
      </c>
    </row>
    <row r="59" spans="1:40">
      <c r="A59" t="s">
        <v>388</v>
      </c>
      <c r="B59" s="3" t="s">
        <v>389</v>
      </c>
      <c r="C59" s="10">
        <v>45329</v>
      </c>
      <c r="D59" s="3" t="s">
        <v>390</v>
      </c>
      <c r="E59" s="10">
        <v>45337</v>
      </c>
      <c r="F59" s="6" t="str">
        <f t="shared" si="0"/>
        <v>Valid</v>
      </c>
      <c r="G59" s="8">
        <f t="shared" si="1"/>
        <v>8</v>
      </c>
      <c r="H59" s="8" t="str">
        <f t="shared" si="2"/>
        <v>Valid</v>
      </c>
      <c r="I59" t="s">
        <v>391</v>
      </c>
      <c r="J59" t="s">
        <v>141</v>
      </c>
      <c r="K59" t="s">
        <v>141</v>
      </c>
      <c r="L59" t="s">
        <v>25</v>
      </c>
      <c r="M59" s="3" t="str">
        <f t="shared" si="3"/>
        <v>Consumer</v>
      </c>
      <c r="N59" t="s">
        <v>72</v>
      </c>
      <c r="O59" s="3" t="str">
        <f t="shared" si="4"/>
        <v>West</v>
      </c>
      <c r="P59" t="s">
        <v>248</v>
      </c>
      <c r="Q59" t="s">
        <v>249</v>
      </c>
      <c r="R59" t="s">
        <v>44</v>
      </c>
      <c r="S59" s="3" t="str">
        <f t="shared" si="5"/>
        <v>Furniture</v>
      </c>
      <c r="T59" t="s">
        <v>75</v>
      </c>
      <c r="U59" t="s">
        <v>392</v>
      </c>
      <c r="V59" t="s">
        <v>47</v>
      </c>
      <c r="W59" s="3" t="str">
        <f t="shared" si="6"/>
        <v>Same Day</v>
      </c>
      <c r="X59">
        <v>5</v>
      </c>
      <c r="Y59">
        <v>255.87</v>
      </c>
      <c r="Z59">
        <v>0</v>
      </c>
      <c r="AA59">
        <f t="shared" si="10"/>
        <v>0</v>
      </c>
      <c r="AB59">
        <f t="shared" si="11"/>
        <v>1279.3499999999999</v>
      </c>
      <c r="AC59">
        <v>1279.3499999999999</v>
      </c>
      <c r="AD59">
        <v>1091.54</v>
      </c>
      <c r="AE59">
        <v>187.81</v>
      </c>
      <c r="AF59" t="s">
        <v>33</v>
      </c>
      <c r="AG59" t="s">
        <v>34</v>
      </c>
      <c r="AH59" t="str">
        <f t="shared" si="7"/>
        <v>Completed</v>
      </c>
      <c r="AI59" t="str">
        <f t="shared" si="8"/>
        <v>Valid</v>
      </c>
      <c r="AJ59">
        <f t="shared" si="9"/>
        <v>187.80999999999995</v>
      </c>
      <c r="AK59" s="12">
        <f t="shared" si="12"/>
        <v>0.14680110993864068</v>
      </c>
      <c r="AL59">
        <f t="shared" si="13"/>
        <v>2</v>
      </c>
      <c r="AM59">
        <f t="shared" si="14"/>
        <v>2024</v>
      </c>
      <c r="AN59" t="str">
        <f t="shared" si="15"/>
        <v>Clean</v>
      </c>
    </row>
    <row r="60" spans="1:40">
      <c r="A60" t="s">
        <v>393</v>
      </c>
      <c r="B60" s="3" t="s">
        <v>394</v>
      </c>
      <c r="C60" s="10">
        <v>45536</v>
      </c>
      <c r="D60" s="3" t="s">
        <v>395</v>
      </c>
      <c r="E60" s="10">
        <v>45542</v>
      </c>
      <c r="F60" s="6" t="str">
        <f t="shared" si="0"/>
        <v>Valid</v>
      </c>
      <c r="G60" s="8">
        <f t="shared" si="1"/>
        <v>6</v>
      </c>
      <c r="H60" s="8" t="str">
        <f t="shared" si="2"/>
        <v>Valid</v>
      </c>
      <c r="I60" t="s">
        <v>396</v>
      </c>
      <c r="J60" t="s">
        <v>52</v>
      </c>
      <c r="K60" t="s">
        <v>52</v>
      </c>
      <c r="L60" t="s">
        <v>114</v>
      </c>
      <c r="M60" s="3" t="str">
        <f t="shared" si="3"/>
        <v>Home Office</v>
      </c>
      <c r="N60" t="s">
        <v>26</v>
      </c>
      <c r="O60" s="3" t="str">
        <f t="shared" si="4"/>
        <v>North</v>
      </c>
      <c r="P60" t="s">
        <v>27</v>
      </c>
      <c r="Q60" t="s">
        <v>28</v>
      </c>
      <c r="R60" t="s">
        <v>29</v>
      </c>
      <c r="S60" s="3" t="str">
        <f t="shared" si="5"/>
        <v>Office Supplies</v>
      </c>
      <c r="T60" t="s">
        <v>155</v>
      </c>
      <c r="U60" t="s">
        <v>397</v>
      </c>
      <c r="W60" s="3" t="str">
        <f t="shared" si="6"/>
        <v>Unknown</v>
      </c>
      <c r="X60">
        <v>9</v>
      </c>
      <c r="Y60">
        <v>1389.48</v>
      </c>
      <c r="Z60">
        <v>0.1</v>
      </c>
      <c r="AA60">
        <f t="shared" si="10"/>
        <v>0.1</v>
      </c>
      <c r="AB60">
        <f t="shared" si="11"/>
        <v>11254.788</v>
      </c>
      <c r="AC60">
        <v>11254.79</v>
      </c>
      <c r="AD60">
        <v>6578.06</v>
      </c>
      <c r="AE60">
        <v>4676.7299999999996</v>
      </c>
      <c r="AF60" t="s">
        <v>136</v>
      </c>
      <c r="AG60" t="s">
        <v>124</v>
      </c>
      <c r="AH60" t="str">
        <f t="shared" si="7"/>
        <v>Returned</v>
      </c>
      <c r="AI60" t="str">
        <f t="shared" si="8"/>
        <v>Valid</v>
      </c>
      <c r="AJ60">
        <f t="shared" si="9"/>
        <v>4676.7300000000005</v>
      </c>
      <c r="AK60" s="12">
        <f t="shared" si="12"/>
        <v>0.41553248270869253</v>
      </c>
      <c r="AL60">
        <f t="shared" si="13"/>
        <v>9</v>
      </c>
      <c r="AM60">
        <f t="shared" si="14"/>
        <v>2024</v>
      </c>
      <c r="AN60" t="str">
        <f t="shared" si="15"/>
        <v>Clean</v>
      </c>
    </row>
    <row r="61" spans="1:40">
      <c r="A61" t="s">
        <v>398</v>
      </c>
      <c r="B61" s="3" t="s">
        <v>399</v>
      </c>
      <c r="C61" s="10">
        <v>45493</v>
      </c>
      <c r="D61" s="3" t="s">
        <v>400</v>
      </c>
      <c r="E61" s="10">
        <v>45498</v>
      </c>
      <c r="F61" s="6" t="str">
        <f t="shared" si="0"/>
        <v>Valid</v>
      </c>
      <c r="G61" s="8">
        <f t="shared" si="1"/>
        <v>5</v>
      </c>
      <c r="H61" s="8" t="str">
        <f t="shared" si="2"/>
        <v>Valid</v>
      </c>
      <c r="I61" t="s">
        <v>401</v>
      </c>
      <c r="J61" t="s">
        <v>141</v>
      </c>
      <c r="K61" t="s">
        <v>141</v>
      </c>
      <c r="L61" t="s">
        <v>107</v>
      </c>
      <c r="M61" s="3" t="str">
        <f t="shared" si="3"/>
        <v>Corporate</v>
      </c>
      <c r="N61" t="s">
        <v>41</v>
      </c>
      <c r="O61" s="3" t="str">
        <f t="shared" si="4"/>
        <v>East</v>
      </c>
      <c r="P61" t="s">
        <v>215</v>
      </c>
      <c r="Q61" t="s">
        <v>216</v>
      </c>
      <c r="R61" t="s">
        <v>29</v>
      </c>
      <c r="S61" s="3" t="str">
        <f t="shared" si="5"/>
        <v>Office Supplies</v>
      </c>
      <c r="T61" t="s">
        <v>108</v>
      </c>
      <c r="U61" t="s">
        <v>402</v>
      </c>
      <c r="V61" t="s">
        <v>47</v>
      </c>
      <c r="W61" s="3" t="str">
        <f t="shared" si="6"/>
        <v>Same Day</v>
      </c>
      <c r="X61">
        <v>5</v>
      </c>
      <c r="Y61">
        <v>4133.8500000000004</v>
      </c>
      <c r="Z61">
        <v>0.2</v>
      </c>
      <c r="AA61">
        <f t="shared" si="10"/>
        <v>0.2</v>
      </c>
      <c r="AB61">
        <f t="shared" si="11"/>
        <v>16535.400000000001</v>
      </c>
      <c r="AC61">
        <v>16535.400000000001</v>
      </c>
      <c r="AD61">
        <v>12990.21</v>
      </c>
      <c r="AE61">
        <v>3545.19</v>
      </c>
      <c r="AF61" t="s">
        <v>33</v>
      </c>
      <c r="AG61" t="s">
        <v>77</v>
      </c>
      <c r="AH61" t="str">
        <f t="shared" si="7"/>
        <v>Cancelled</v>
      </c>
      <c r="AI61" t="str">
        <f t="shared" si="8"/>
        <v>Valid</v>
      </c>
      <c r="AJ61">
        <f t="shared" si="9"/>
        <v>3545.1900000000023</v>
      </c>
      <c r="AK61" s="12">
        <f t="shared" si="12"/>
        <v>0.21440001451431487</v>
      </c>
      <c r="AL61">
        <f t="shared" si="13"/>
        <v>7</v>
      </c>
      <c r="AM61">
        <f t="shared" si="14"/>
        <v>2024</v>
      </c>
      <c r="AN61" t="str">
        <f t="shared" si="15"/>
        <v>Clean</v>
      </c>
    </row>
    <row r="62" spans="1:40">
      <c r="A62" t="s">
        <v>403</v>
      </c>
      <c r="B62" s="3" t="s">
        <v>404</v>
      </c>
      <c r="C62" s="10">
        <v>45486</v>
      </c>
      <c r="D62" s="3" t="s">
        <v>405</v>
      </c>
      <c r="E62" s="10">
        <v>45492</v>
      </c>
      <c r="F62" s="6" t="str">
        <f t="shared" si="0"/>
        <v>Valid</v>
      </c>
      <c r="G62" s="8">
        <f t="shared" si="1"/>
        <v>6</v>
      </c>
      <c r="H62" s="8" t="str">
        <f t="shared" si="2"/>
        <v>Valid</v>
      </c>
      <c r="I62" t="s">
        <v>406</v>
      </c>
      <c r="J62" t="s">
        <v>71</v>
      </c>
      <c r="K62" t="s">
        <v>71</v>
      </c>
      <c r="L62" t="s">
        <v>107</v>
      </c>
      <c r="M62" s="3" t="str">
        <f t="shared" si="3"/>
        <v>Corporate</v>
      </c>
      <c r="N62" t="s">
        <v>41</v>
      </c>
      <c r="O62" s="3" t="str">
        <f t="shared" si="4"/>
        <v>East</v>
      </c>
      <c r="P62" t="s">
        <v>215</v>
      </c>
      <c r="Q62" t="s">
        <v>216</v>
      </c>
      <c r="R62" t="s">
        <v>29</v>
      </c>
      <c r="S62" s="3" t="str">
        <f t="shared" si="5"/>
        <v>Office Supplies</v>
      </c>
      <c r="T62" t="s">
        <v>108</v>
      </c>
      <c r="U62" t="s">
        <v>407</v>
      </c>
      <c r="V62" t="s">
        <v>47</v>
      </c>
      <c r="W62" s="3" t="str">
        <f t="shared" si="6"/>
        <v>Same Day</v>
      </c>
      <c r="X62">
        <v>3</v>
      </c>
      <c r="Y62">
        <v>275.76</v>
      </c>
      <c r="Z62">
        <v>0.2</v>
      </c>
      <c r="AA62">
        <f t="shared" si="10"/>
        <v>0.2</v>
      </c>
      <c r="AB62">
        <f t="shared" si="11"/>
        <v>661.82400000000007</v>
      </c>
      <c r="AC62">
        <v>661.82</v>
      </c>
      <c r="AD62">
        <v>481.47</v>
      </c>
      <c r="AE62">
        <v>180.35</v>
      </c>
      <c r="AF62" t="s">
        <v>123</v>
      </c>
      <c r="AG62" t="s">
        <v>77</v>
      </c>
      <c r="AH62" t="str">
        <f t="shared" si="7"/>
        <v>Cancelled</v>
      </c>
      <c r="AI62" t="str">
        <f t="shared" si="8"/>
        <v>Valid</v>
      </c>
      <c r="AJ62">
        <f t="shared" si="9"/>
        <v>180.35000000000002</v>
      </c>
      <c r="AK62" s="12">
        <f t="shared" si="12"/>
        <v>0.27250447248815396</v>
      </c>
      <c r="AL62">
        <f t="shared" si="13"/>
        <v>7</v>
      </c>
      <c r="AM62">
        <f t="shared" si="14"/>
        <v>2024</v>
      </c>
      <c r="AN62" t="str">
        <f t="shared" si="15"/>
        <v>Clean</v>
      </c>
    </row>
    <row r="63" spans="1:40">
      <c r="A63" t="s">
        <v>408</v>
      </c>
      <c r="B63" s="3" t="s">
        <v>409</v>
      </c>
      <c r="C63" s="10">
        <v>45398</v>
      </c>
      <c r="D63" s="3" t="s">
        <v>410</v>
      </c>
      <c r="E63" s="10">
        <v>45398</v>
      </c>
      <c r="F63" s="6" t="str">
        <f t="shared" si="0"/>
        <v>Valid</v>
      </c>
      <c r="G63" s="8">
        <f t="shared" si="1"/>
        <v>0</v>
      </c>
      <c r="H63" s="8" t="str">
        <f t="shared" si="2"/>
        <v>Valid</v>
      </c>
      <c r="I63" t="s">
        <v>411</v>
      </c>
      <c r="J63" t="s">
        <v>82</v>
      </c>
      <c r="K63" t="s">
        <v>82</v>
      </c>
      <c r="L63" t="s">
        <v>114</v>
      </c>
      <c r="M63" s="3" t="str">
        <f t="shared" si="3"/>
        <v>Home Office</v>
      </c>
      <c r="N63" t="s">
        <v>41</v>
      </c>
      <c r="O63" s="3" t="str">
        <f t="shared" si="4"/>
        <v>East</v>
      </c>
      <c r="P63" t="s">
        <v>185</v>
      </c>
      <c r="Q63" t="s">
        <v>186</v>
      </c>
      <c r="R63" t="s">
        <v>44</v>
      </c>
      <c r="S63" s="3" t="str">
        <f t="shared" si="5"/>
        <v>Furniture</v>
      </c>
      <c r="T63" t="s">
        <v>203</v>
      </c>
      <c r="U63" t="s">
        <v>412</v>
      </c>
      <c r="V63" t="s">
        <v>66</v>
      </c>
      <c r="W63" s="3" t="str">
        <f t="shared" si="6"/>
        <v>Standard Class</v>
      </c>
      <c r="X63">
        <v>1</v>
      </c>
      <c r="Y63">
        <v>949.59</v>
      </c>
      <c r="Z63">
        <v>0</v>
      </c>
      <c r="AA63">
        <f t="shared" si="10"/>
        <v>0</v>
      </c>
      <c r="AB63">
        <f t="shared" si="11"/>
        <v>949.59</v>
      </c>
      <c r="AC63">
        <v>949.59</v>
      </c>
      <c r="AD63">
        <v>751.25</v>
      </c>
      <c r="AE63">
        <v>198.34</v>
      </c>
      <c r="AF63" t="s">
        <v>33</v>
      </c>
      <c r="AG63" t="s">
        <v>34</v>
      </c>
      <c r="AH63" t="str">
        <f t="shared" si="7"/>
        <v>Completed</v>
      </c>
      <c r="AI63" t="str">
        <f t="shared" si="8"/>
        <v>Valid</v>
      </c>
      <c r="AJ63">
        <f t="shared" si="9"/>
        <v>198.34000000000003</v>
      </c>
      <c r="AK63" s="12">
        <f t="shared" si="12"/>
        <v>0.20886909087079689</v>
      </c>
      <c r="AL63">
        <f t="shared" si="13"/>
        <v>4</v>
      </c>
      <c r="AM63">
        <f t="shared" si="14"/>
        <v>2024</v>
      </c>
      <c r="AN63" t="str">
        <f t="shared" si="15"/>
        <v>Clean</v>
      </c>
    </row>
    <row r="64" spans="1:40">
      <c r="A64" t="s">
        <v>413</v>
      </c>
      <c r="B64" s="3" t="s">
        <v>414</v>
      </c>
      <c r="C64" s="10">
        <v>45595</v>
      </c>
      <c r="D64" s="3" t="s">
        <v>415</v>
      </c>
      <c r="E64" s="10">
        <v>45598</v>
      </c>
      <c r="F64" s="6" t="str">
        <f t="shared" si="0"/>
        <v>Valid</v>
      </c>
      <c r="G64" s="8">
        <f t="shared" si="1"/>
        <v>3</v>
      </c>
      <c r="H64" s="8" t="str">
        <f t="shared" si="2"/>
        <v>Valid</v>
      </c>
      <c r="I64" t="s">
        <v>416</v>
      </c>
      <c r="J64" t="s">
        <v>167</v>
      </c>
      <c r="K64" t="s">
        <v>167</v>
      </c>
      <c r="L64" t="s">
        <v>114</v>
      </c>
      <c r="M64" s="3" t="str">
        <f t="shared" si="3"/>
        <v>Home Office</v>
      </c>
      <c r="N64" t="s">
        <v>26</v>
      </c>
      <c r="O64" s="3" t="str">
        <f t="shared" si="4"/>
        <v>North</v>
      </c>
      <c r="P64" t="s">
        <v>27</v>
      </c>
      <c r="Q64" t="s">
        <v>28</v>
      </c>
      <c r="R64" t="s">
        <v>85</v>
      </c>
      <c r="S64" s="3" t="str">
        <f t="shared" si="5"/>
        <v>Technology</v>
      </c>
      <c r="T64" t="s">
        <v>222</v>
      </c>
      <c r="U64" t="s">
        <v>417</v>
      </c>
      <c r="V64" t="s">
        <v>66</v>
      </c>
      <c r="W64" s="3" t="str">
        <f t="shared" si="6"/>
        <v>Standard Class</v>
      </c>
      <c r="X64">
        <v>9</v>
      </c>
      <c r="Y64">
        <v>3042.29</v>
      </c>
      <c r="Z64">
        <v>0.2</v>
      </c>
      <c r="AA64">
        <f t="shared" si="10"/>
        <v>0.2</v>
      </c>
      <c r="AB64">
        <f t="shared" si="11"/>
        <v>21904.488000000001</v>
      </c>
      <c r="AC64">
        <v>21904.49</v>
      </c>
      <c r="AD64">
        <v>13570.55</v>
      </c>
      <c r="AE64">
        <v>8333.94</v>
      </c>
      <c r="AF64" t="s">
        <v>33</v>
      </c>
      <c r="AG64" t="s">
        <v>34</v>
      </c>
      <c r="AH64" t="str">
        <f t="shared" si="7"/>
        <v>Completed</v>
      </c>
      <c r="AI64" t="str">
        <f t="shared" si="8"/>
        <v>Valid</v>
      </c>
      <c r="AJ64">
        <f t="shared" si="9"/>
        <v>8333.9400000000023</v>
      </c>
      <c r="AK64" s="12">
        <f t="shared" si="12"/>
        <v>0.38046723575552199</v>
      </c>
      <c r="AL64">
        <f t="shared" si="13"/>
        <v>10</v>
      </c>
      <c r="AM64">
        <f t="shared" si="14"/>
        <v>2024</v>
      </c>
      <c r="AN64" t="str">
        <f t="shared" si="15"/>
        <v>Clean</v>
      </c>
    </row>
    <row r="65" spans="1:40">
      <c r="A65" t="s">
        <v>418</v>
      </c>
      <c r="B65" s="3" t="s">
        <v>419</v>
      </c>
      <c r="C65" s="10">
        <v>45316</v>
      </c>
      <c r="D65" s="3" t="s">
        <v>420</v>
      </c>
      <c r="E65" s="10">
        <v>45323</v>
      </c>
      <c r="F65" s="6" t="str">
        <f t="shared" si="0"/>
        <v>Valid</v>
      </c>
      <c r="G65" s="8">
        <f t="shared" si="1"/>
        <v>7</v>
      </c>
      <c r="H65" s="8" t="str">
        <f t="shared" si="2"/>
        <v>Valid</v>
      </c>
      <c r="I65" t="s">
        <v>421</v>
      </c>
      <c r="J65" t="s">
        <v>167</v>
      </c>
      <c r="K65" t="s">
        <v>167</v>
      </c>
      <c r="L65" t="s">
        <v>114</v>
      </c>
      <c r="M65" s="3" t="str">
        <f t="shared" si="3"/>
        <v>Home Office</v>
      </c>
      <c r="N65" t="s">
        <v>26</v>
      </c>
      <c r="O65" s="3" t="str">
        <f t="shared" si="4"/>
        <v>North</v>
      </c>
      <c r="P65" t="s">
        <v>322</v>
      </c>
      <c r="Q65" t="s">
        <v>323</v>
      </c>
      <c r="R65" t="s">
        <v>29</v>
      </c>
      <c r="S65" s="3" t="str">
        <f t="shared" si="5"/>
        <v>Office Supplies</v>
      </c>
      <c r="T65" t="s">
        <v>197</v>
      </c>
      <c r="U65" t="s">
        <v>422</v>
      </c>
      <c r="V65" t="s">
        <v>47</v>
      </c>
      <c r="W65" s="3" t="str">
        <f t="shared" si="6"/>
        <v>Same Day</v>
      </c>
      <c r="X65">
        <v>2</v>
      </c>
      <c r="Y65">
        <v>2832.77</v>
      </c>
      <c r="Z65">
        <v>0.15</v>
      </c>
      <c r="AA65">
        <f t="shared" si="10"/>
        <v>0.15</v>
      </c>
      <c r="AB65">
        <f t="shared" si="11"/>
        <v>4815.7089999999998</v>
      </c>
      <c r="AC65">
        <v>4815.71</v>
      </c>
      <c r="AD65">
        <v>3027.75</v>
      </c>
      <c r="AE65">
        <v>1917.47</v>
      </c>
      <c r="AF65" t="s">
        <v>33</v>
      </c>
      <c r="AG65" t="s">
        <v>34</v>
      </c>
      <c r="AH65" t="str">
        <f t="shared" si="7"/>
        <v>Completed</v>
      </c>
      <c r="AI65" t="str">
        <f t="shared" si="8"/>
        <v>Valid</v>
      </c>
      <c r="AJ65">
        <f t="shared" si="9"/>
        <v>1787.96</v>
      </c>
      <c r="AK65" s="12">
        <f t="shared" si="12"/>
        <v>0.37127658668744312</v>
      </c>
      <c r="AL65">
        <f t="shared" si="13"/>
        <v>1</v>
      </c>
      <c r="AM65">
        <f t="shared" si="14"/>
        <v>2024</v>
      </c>
      <c r="AN65" t="str">
        <f t="shared" si="15"/>
        <v>Clean</v>
      </c>
    </row>
    <row r="66" spans="1:40">
      <c r="A66" t="s">
        <v>423</v>
      </c>
      <c r="B66" s="3" t="s">
        <v>424</v>
      </c>
      <c r="C66" s="10">
        <v>45649</v>
      </c>
      <c r="D66" s="3" t="s">
        <v>425</v>
      </c>
      <c r="E66" s="10">
        <v>45655</v>
      </c>
      <c r="F66" s="6" t="str">
        <f t="shared" ref="F66:F129" si="16">IF(E66&lt;C66,"Invalid Shipping Record","Valid")</f>
        <v>Valid</v>
      </c>
      <c r="G66" s="8">
        <f t="shared" ref="G66:G129" si="17">E66-C66</f>
        <v>6</v>
      </c>
      <c r="H66" s="8" t="str">
        <f t="shared" ref="H66:H129" si="18">IF(OR(C66="",E66=""),"Missing Date",IF(OR(NOT(ISNUMBER(C66)),NOT(ISNUMBER(E66))),"Invalid Date",IF(E66&lt;C66,"Invalid Shipping Record","Valid")))</f>
        <v>Valid</v>
      </c>
      <c r="I66" t="s">
        <v>426</v>
      </c>
      <c r="J66" t="s">
        <v>161</v>
      </c>
      <c r="K66" t="s">
        <v>161</v>
      </c>
      <c r="L66" t="s">
        <v>107</v>
      </c>
      <c r="M66" s="3" t="str">
        <f t="shared" ref="M66:M129" si="19">PROPER(TRIM(L66))</f>
        <v>Corporate</v>
      </c>
      <c r="N66" t="s">
        <v>41</v>
      </c>
      <c r="O66" s="3" t="str">
        <f t="shared" ref="O66:O129" si="20">IF(TRIM(N66)="","Unknown",PROPER(TRIM(N66)))</f>
        <v>East</v>
      </c>
      <c r="P66" t="s">
        <v>310</v>
      </c>
      <c r="Q66" t="s">
        <v>311</v>
      </c>
      <c r="R66" t="s">
        <v>29</v>
      </c>
      <c r="S66" s="3" t="str">
        <f t="shared" ref="S66:S129" si="21">PROPER(TRIM(R66))</f>
        <v>Office Supplies</v>
      </c>
      <c r="T66" t="s">
        <v>30</v>
      </c>
      <c r="U66" t="s">
        <v>427</v>
      </c>
      <c r="V66" t="s">
        <v>55</v>
      </c>
      <c r="W66" s="3" t="str">
        <f t="shared" ref="W66:W129" si="22">IF(TRIM(V66)="","Unknown",PROPER(TRIM(V66)))</f>
        <v>First Class</v>
      </c>
      <c r="X66">
        <v>7</v>
      </c>
      <c r="Y66">
        <v>447.84</v>
      </c>
      <c r="Z66">
        <v>0</v>
      </c>
      <c r="AA66">
        <f t="shared" si="10"/>
        <v>0</v>
      </c>
      <c r="AB66">
        <f t="shared" si="11"/>
        <v>3134.8799999999997</v>
      </c>
      <c r="AC66">
        <v>3134.88</v>
      </c>
      <c r="AD66">
        <v>2367.63</v>
      </c>
      <c r="AE66">
        <v>767.25</v>
      </c>
      <c r="AF66" t="s">
        <v>123</v>
      </c>
      <c r="AG66" t="s">
        <v>124</v>
      </c>
      <c r="AH66" t="str">
        <f t="shared" ref="AH66:AH129" si="23">PROPER(TRIM(AG66))</f>
        <v>Returned</v>
      </c>
      <c r="AI66" t="str">
        <f t="shared" ref="AI66:AI129" si="24">IF(Z66&lt;0,"Invalid - Negative Discount",IF(Z66&gt;1,"Invalid - Discount Above Range","Valid"))</f>
        <v>Valid</v>
      </c>
      <c r="AJ66">
        <f t="shared" ref="AJ66:AJ129" si="25">AC66-AD66</f>
        <v>767.25</v>
      </c>
      <c r="AK66" s="12">
        <f t="shared" si="12"/>
        <v>0.24474621038125863</v>
      </c>
      <c r="AL66">
        <f t="shared" si="13"/>
        <v>12</v>
      </c>
      <c r="AM66">
        <f t="shared" si="14"/>
        <v>2024</v>
      </c>
      <c r="AN66" t="str">
        <f t="shared" si="15"/>
        <v>Clean</v>
      </c>
    </row>
    <row r="67" spans="1:40">
      <c r="A67" t="s">
        <v>428</v>
      </c>
      <c r="B67" s="3" t="s">
        <v>429</v>
      </c>
      <c r="C67" s="10">
        <v>45404</v>
      </c>
      <c r="D67" s="3" t="s">
        <v>430</v>
      </c>
      <c r="E67" s="10">
        <v>45409</v>
      </c>
      <c r="F67" s="6" t="str">
        <f t="shared" si="16"/>
        <v>Valid</v>
      </c>
      <c r="G67" s="8">
        <f t="shared" si="17"/>
        <v>5</v>
      </c>
      <c r="H67" s="8" t="str">
        <f t="shared" si="18"/>
        <v>Valid</v>
      </c>
      <c r="I67" t="s">
        <v>431</v>
      </c>
      <c r="J67" t="s">
        <v>39</v>
      </c>
      <c r="K67" t="s">
        <v>39</v>
      </c>
      <c r="L67" t="s">
        <v>114</v>
      </c>
      <c r="M67" s="3" t="str">
        <f t="shared" si="19"/>
        <v>Home Office</v>
      </c>
      <c r="N67" t="s">
        <v>72</v>
      </c>
      <c r="O67" s="3" t="str">
        <f t="shared" si="20"/>
        <v>West</v>
      </c>
      <c r="P67" t="s">
        <v>73</v>
      </c>
      <c r="Q67" t="s">
        <v>74</v>
      </c>
      <c r="R67" t="s">
        <v>29</v>
      </c>
      <c r="S67" s="3" t="str">
        <f t="shared" si="21"/>
        <v>Office Supplies</v>
      </c>
      <c r="T67" t="s">
        <v>30</v>
      </c>
      <c r="U67" t="s">
        <v>432</v>
      </c>
      <c r="V67" t="s">
        <v>32</v>
      </c>
      <c r="W67" s="3" t="str">
        <f t="shared" si="22"/>
        <v>Second Class</v>
      </c>
      <c r="X67">
        <v>1</v>
      </c>
      <c r="Y67">
        <v>4280.1899999999996</v>
      </c>
      <c r="Z67">
        <v>0.05</v>
      </c>
      <c r="AA67">
        <f t="shared" ref="AA67:AA130" si="26">IF(Z67="",0,Z67)</f>
        <v>0.05</v>
      </c>
      <c r="AB67">
        <f t="shared" ref="AB67:AB130" si="27">X67*Y67*(1-Z67)</f>
        <v>4066.1804999999995</v>
      </c>
      <c r="AC67">
        <v>4066.18</v>
      </c>
      <c r="AD67">
        <v>2628.92</v>
      </c>
      <c r="AE67">
        <v>1437.26</v>
      </c>
      <c r="AF67" t="s">
        <v>33</v>
      </c>
      <c r="AG67" t="s">
        <v>34</v>
      </c>
      <c r="AH67" t="str">
        <f t="shared" si="23"/>
        <v>Completed</v>
      </c>
      <c r="AI67" t="str">
        <f t="shared" si="24"/>
        <v>Valid</v>
      </c>
      <c r="AJ67">
        <f t="shared" si="25"/>
        <v>1437.2599999999998</v>
      </c>
      <c r="AK67" s="12">
        <f t="shared" ref="AK67:AK130" si="28">IF(AB67=0,"",AJ67/AB67)</f>
        <v>0.3534668468357467</v>
      </c>
      <c r="AL67">
        <f t="shared" ref="AL67:AL130" si="29">MONTH(C67)</f>
        <v>4</v>
      </c>
      <c r="AM67">
        <f t="shared" ref="AM67:AM130" si="30">YEAR(C67)</f>
        <v>2024</v>
      </c>
      <c r="AN67" t="str">
        <f t="shared" ref="AN67:AN130" si="31">IF(H67="Invalid Shipping Record","Invalid","Clean")</f>
        <v>Clean</v>
      </c>
    </row>
    <row r="68" spans="1:40">
      <c r="A68" t="s">
        <v>433</v>
      </c>
      <c r="B68" s="3" t="s">
        <v>434</v>
      </c>
      <c r="C68" s="10">
        <v>45897</v>
      </c>
      <c r="D68" s="3" t="s">
        <v>435</v>
      </c>
      <c r="E68" s="10">
        <v>45901</v>
      </c>
      <c r="F68" s="6" t="str">
        <f t="shared" si="16"/>
        <v>Valid</v>
      </c>
      <c r="G68" s="8">
        <f t="shared" si="17"/>
        <v>4</v>
      </c>
      <c r="H68" s="8" t="str">
        <f t="shared" si="18"/>
        <v>Valid</v>
      </c>
      <c r="I68" t="s">
        <v>436</v>
      </c>
      <c r="J68" t="s">
        <v>24</v>
      </c>
      <c r="K68" t="s">
        <v>24</v>
      </c>
      <c r="L68" t="s">
        <v>40</v>
      </c>
      <c r="M68" s="3" t="str">
        <f t="shared" si="19"/>
        <v>Small Business</v>
      </c>
      <c r="N68" t="s">
        <v>61</v>
      </c>
      <c r="O68" s="3" t="str">
        <f t="shared" si="20"/>
        <v>South</v>
      </c>
      <c r="P68" t="s">
        <v>338</v>
      </c>
      <c r="Q68" t="s">
        <v>339</v>
      </c>
      <c r="R68" t="s">
        <v>85</v>
      </c>
      <c r="S68" s="3" t="str">
        <f t="shared" si="21"/>
        <v>Technology</v>
      </c>
      <c r="T68" t="s">
        <v>86</v>
      </c>
      <c r="U68" t="s">
        <v>437</v>
      </c>
      <c r="V68" t="s">
        <v>47</v>
      </c>
      <c r="W68" s="3" t="str">
        <f t="shared" si="22"/>
        <v>Same Day</v>
      </c>
      <c r="X68">
        <v>7</v>
      </c>
      <c r="Y68">
        <v>1057.46</v>
      </c>
      <c r="Z68">
        <v>0.05</v>
      </c>
      <c r="AA68">
        <f t="shared" si="26"/>
        <v>0.05</v>
      </c>
      <c r="AB68">
        <f t="shared" si="27"/>
        <v>7032.1089999999995</v>
      </c>
      <c r="AC68">
        <v>7032.11</v>
      </c>
      <c r="AD68">
        <v>4610.34</v>
      </c>
      <c r="AE68">
        <v>2421.77</v>
      </c>
      <c r="AF68" t="s">
        <v>33</v>
      </c>
      <c r="AG68" t="s">
        <v>34</v>
      </c>
      <c r="AH68" t="str">
        <f t="shared" si="23"/>
        <v>Completed</v>
      </c>
      <c r="AI68" t="str">
        <f t="shared" si="24"/>
        <v>Valid</v>
      </c>
      <c r="AJ68">
        <f t="shared" si="25"/>
        <v>2421.7699999999995</v>
      </c>
      <c r="AK68" s="12">
        <f t="shared" si="28"/>
        <v>0.34438743768050234</v>
      </c>
      <c r="AL68">
        <f t="shared" si="29"/>
        <v>8</v>
      </c>
      <c r="AM68">
        <f t="shared" si="30"/>
        <v>2025</v>
      </c>
      <c r="AN68" t="str">
        <f t="shared" si="31"/>
        <v>Clean</v>
      </c>
    </row>
    <row r="69" spans="1:40">
      <c r="A69" t="s">
        <v>438</v>
      </c>
      <c r="B69" s="3" t="s">
        <v>439</v>
      </c>
      <c r="C69" s="10">
        <v>45691</v>
      </c>
      <c r="D69" s="3" t="s">
        <v>440</v>
      </c>
      <c r="E69" s="10">
        <v>45695</v>
      </c>
      <c r="F69" s="6" t="str">
        <f t="shared" si="16"/>
        <v>Valid</v>
      </c>
      <c r="G69" s="8">
        <f t="shared" si="17"/>
        <v>4</v>
      </c>
      <c r="H69" s="8" t="str">
        <f t="shared" si="18"/>
        <v>Valid</v>
      </c>
      <c r="I69" t="s">
        <v>441</v>
      </c>
      <c r="J69" t="s">
        <v>365</v>
      </c>
      <c r="K69" t="s">
        <v>365</v>
      </c>
      <c r="L69" t="s">
        <v>25</v>
      </c>
      <c r="M69" s="3" t="str">
        <f t="shared" si="19"/>
        <v>Consumer</v>
      </c>
      <c r="N69" t="s">
        <v>26</v>
      </c>
      <c r="O69" s="3" t="str">
        <f t="shared" si="20"/>
        <v>North</v>
      </c>
      <c r="P69" t="s">
        <v>322</v>
      </c>
      <c r="Q69" t="s">
        <v>323</v>
      </c>
      <c r="R69" t="s">
        <v>29</v>
      </c>
      <c r="S69" s="3" t="str">
        <f t="shared" si="21"/>
        <v>Office Supplies</v>
      </c>
      <c r="T69" t="s">
        <v>30</v>
      </c>
      <c r="U69" t="s">
        <v>442</v>
      </c>
      <c r="V69" t="s">
        <v>55</v>
      </c>
      <c r="W69" s="3" t="str">
        <f t="shared" si="22"/>
        <v>First Class</v>
      </c>
      <c r="X69">
        <v>7</v>
      </c>
      <c r="Y69">
        <v>3609.34</v>
      </c>
      <c r="Z69">
        <v>0.05</v>
      </c>
      <c r="AA69">
        <f t="shared" si="26"/>
        <v>0.05</v>
      </c>
      <c r="AB69">
        <f t="shared" si="27"/>
        <v>24002.111000000001</v>
      </c>
      <c r="AC69">
        <v>24002.11</v>
      </c>
      <c r="AD69">
        <v>18707.57</v>
      </c>
      <c r="AE69">
        <v>5294.54</v>
      </c>
      <c r="AF69" t="s">
        <v>33</v>
      </c>
      <c r="AG69" t="s">
        <v>34</v>
      </c>
      <c r="AH69" t="str">
        <f t="shared" si="23"/>
        <v>Completed</v>
      </c>
      <c r="AI69" t="str">
        <f t="shared" si="24"/>
        <v>Valid</v>
      </c>
      <c r="AJ69">
        <f t="shared" si="25"/>
        <v>5294.5400000000009</v>
      </c>
      <c r="AK69" s="12">
        <f t="shared" si="28"/>
        <v>0.22058643091851382</v>
      </c>
      <c r="AL69">
        <f t="shared" si="29"/>
        <v>2</v>
      </c>
      <c r="AM69">
        <f t="shared" si="30"/>
        <v>2025</v>
      </c>
      <c r="AN69" t="str">
        <f t="shared" si="31"/>
        <v>Clean</v>
      </c>
    </row>
    <row r="70" spans="1:40">
      <c r="A70" t="s">
        <v>443</v>
      </c>
      <c r="B70" s="3" t="s">
        <v>104</v>
      </c>
      <c r="C70" s="10">
        <v>45606</v>
      </c>
      <c r="D70" s="3" t="s">
        <v>444</v>
      </c>
      <c r="E70" s="10">
        <v>45609</v>
      </c>
      <c r="F70" s="6" t="str">
        <f t="shared" si="16"/>
        <v>Valid</v>
      </c>
      <c r="G70" s="8">
        <f t="shared" si="17"/>
        <v>3</v>
      </c>
      <c r="H70" s="8" t="str">
        <f t="shared" si="18"/>
        <v>Valid</v>
      </c>
      <c r="I70" t="s">
        <v>445</v>
      </c>
      <c r="J70" t="s">
        <v>52</v>
      </c>
      <c r="K70" t="s">
        <v>52</v>
      </c>
      <c r="L70" t="s">
        <v>107</v>
      </c>
      <c r="M70" s="3" t="str">
        <f t="shared" si="19"/>
        <v>Corporate</v>
      </c>
      <c r="N70" t="s">
        <v>41</v>
      </c>
      <c r="O70" s="3" t="str">
        <f t="shared" si="20"/>
        <v>East</v>
      </c>
      <c r="P70" t="s">
        <v>310</v>
      </c>
      <c r="Q70" t="s">
        <v>311</v>
      </c>
      <c r="R70" t="s">
        <v>29</v>
      </c>
      <c r="S70" s="3" t="str">
        <f t="shared" si="21"/>
        <v>Office Supplies</v>
      </c>
      <c r="T70" t="s">
        <v>155</v>
      </c>
      <c r="U70" t="s">
        <v>446</v>
      </c>
      <c r="V70" t="s">
        <v>32</v>
      </c>
      <c r="W70" s="3" t="str">
        <f t="shared" si="22"/>
        <v>Second Class</v>
      </c>
      <c r="X70">
        <v>9</v>
      </c>
      <c r="Y70">
        <v>2211.12</v>
      </c>
      <c r="Z70">
        <v>0</v>
      </c>
      <c r="AA70">
        <f t="shared" si="26"/>
        <v>0</v>
      </c>
      <c r="AB70">
        <f t="shared" si="27"/>
        <v>19900.079999999998</v>
      </c>
      <c r="AC70">
        <v>19900.080000000002</v>
      </c>
      <c r="AD70">
        <v>10962.66</v>
      </c>
      <c r="AE70">
        <v>8937.42</v>
      </c>
      <c r="AF70" t="s">
        <v>199</v>
      </c>
      <c r="AG70" t="s">
        <v>124</v>
      </c>
      <c r="AH70" t="str">
        <f t="shared" si="23"/>
        <v>Returned</v>
      </c>
      <c r="AI70" t="str">
        <f t="shared" si="24"/>
        <v>Valid</v>
      </c>
      <c r="AJ70">
        <f t="shared" si="25"/>
        <v>8937.4200000000019</v>
      </c>
      <c r="AK70" s="12">
        <f t="shared" si="28"/>
        <v>0.44911477742803058</v>
      </c>
      <c r="AL70">
        <f t="shared" si="29"/>
        <v>11</v>
      </c>
      <c r="AM70">
        <f t="shared" si="30"/>
        <v>2024</v>
      </c>
      <c r="AN70" t="str">
        <f t="shared" si="31"/>
        <v>Clean</v>
      </c>
    </row>
    <row r="71" spans="1:40">
      <c r="A71" t="s">
        <v>447</v>
      </c>
      <c r="B71" s="3" t="s">
        <v>448</v>
      </c>
      <c r="C71" s="10">
        <v>45391</v>
      </c>
      <c r="D71" s="3" t="s">
        <v>449</v>
      </c>
      <c r="E71" s="10">
        <v>45396</v>
      </c>
      <c r="F71" s="6" t="str">
        <f t="shared" si="16"/>
        <v>Valid</v>
      </c>
      <c r="G71" s="8">
        <f t="shared" si="17"/>
        <v>5</v>
      </c>
      <c r="H71" s="8" t="str">
        <f t="shared" si="18"/>
        <v>Valid</v>
      </c>
      <c r="I71" t="s">
        <v>450</v>
      </c>
      <c r="J71" t="s">
        <v>92</v>
      </c>
      <c r="K71" t="s">
        <v>92</v>
      </c>
      <c r="L71" t="s">
        <v>40</v>
      </c>
      <c r="M71" s="3" t="str">
        <f t="shared" si="19"/>
        <v>Small Business</v>
      </c>
      <c r="N71" t="s">
        <v>72</v>
      </c>
      <c r="O71" s="3" t="str">
        <f t="shared" si="20"/>
        <v>West</v>
      </c>
      <c r="P71" t="s">
        <v>234</v>
      </c>
      <c r="Q71" t="s">
        <v>235</v>
      </c>
      <c r="R71" t="s">
        <v>85</v>
      </c>
      <c r="S71" s="3" t="str">
        <f t="shared" si="21"/>
        <v>Technology</v>
      </c>
      <c r="T71" t="s">
        <v>381</v>
      </c>
      <c r="U71" t="s">
        <v>451</v>
      </c>
      <c r="V71" t="s">
        <v>47</v>
      </c>
      <c r="W71" s="3" t="str">
        <f t="shared" si="22"/>
        <v>Same Day</v>
      </c>
      <c r="X71">
        <v>7</v>
      </c>
      <c r="Y71">
        <v>3417.09</v>
      </c>
      <c r="Z71">
        <v>0.1</v>
      </c>
      <c r="AA71">
        <f t="shared" si="26"/>
        <v>0.1</v>
      </c>
      <c r="AB71">
        <f t="shared" si="27"/>
        <v>21527.667000000001</v>
      </c>
      <c r="AC71">
        <v>21527.67</v>
      </c>
      <c r="AD71">
        <v>18287.580000000002</v>
      </c>
      <c r="AE71">
        <v>3240.09</v>
      </c>
      <c r="AF71" t="s">
        <v>123</v>
      </c>
      <c r="AG71" t="s">
        <v>124</v>
      </c>
      <c r="AH71" t="str">
        <f t="shared" si="23"/>
        <v>Returned</v>
      </c>
      <c r="AI71" t="str">
        <f t="shared" si="24"/>
        <v>Valid</v>
      </c>
      <c r="AJ71">
        <f t="shared" si="25"/>
        <v>3240.0899999999965</v>
      </c>
      <c r="AK71" s="12">
        <f t="shared" si="28"/>
        <v>0.15050818093758123</v>
      </c>
      <c r="AL71">
        <f t="shared" si="29"/>
        <v>4</v>
      </c>
      <c r="AM71">
        <f t="shared" si="30"/>
        <v>2024</v>
      </c>
      <c r="AN71" t="str">
        <f t="shared" si="31"/>
        <v>Clean</v>
      </c>
    </row>
    <row r="72" spans="1:40">
      <c r="A72" t="s">
        <v>452</v>
      </c>
      <c r="B72" s="3" t="s">
        <v>453</v>
      </c>
      <c r="C72" s="10">
        <v>45891</v>
      </c>
      <c r="D72" s="3" t="s">
        <v>454</v>
      </c>
      <c r="E72" s="10">
        <v>45896</v>
      </c>
      <c r="F72" s="6" t="str">
        <f t="shared" si="16"/>
        <v>Valid</v>
      </c>
      <c r="G72" s="8">
        <f t="shared" si="17"/>
        <v>5</v>
      </c>
      <c r="H72" s="8" t="str">
        <f t="shared" si="18"/>
        <v>Valid</v>
      </c>
      <c r="I72" t="s">
        <v>455</v>
      </c>
      <c r="J72" t="s">
        <v>24</v>
      </c>
      <c r="K72" t="s">
        <v>24</v>
      </c>
      <c r="L72" t="s">
        <v>107</v>
      </c>
      <c r="M72" s="3" t="str">
        <f t="shared" si="19"/>
        <v>Corporate</v>
      </c>
      <c r="N72" t="s">
        <v>61</v>
      </c>
      <c r="O72" s="3" t="str">
        <f t="shared" si="20"/>
        <v>South</v>
      </c>
      <c r="P72" t="s">
        <v>99</v>
      </c>
      <c r="Q72" t="s">
        <v>100</v>
      </c>
      <c r="R72" t="s">
        <v>85</v>
      </c>
      <c r="S72" s="3" t="str">
        <f t="shared" si="21"/>
        <v>Technology</v>
      </c>
      <c r="T72" t="s">
        <v>222</v>
      </c>
      <c r="U72" t="s">
        <v>456</v>
      </c>
      <c r="V72" t="s">
        <v>55</v>
      </c>
      <c r="W72" s="3" t="str">
        <f t="shared" si="22"/>
        <v>First Class</v>
      </c>
      <c r="X72">
        <v>2</v>
      </c>
      <c r="Y72">
        <v>905.87</v>
      </c>
      <c r="Z72">
        <v>0.15</v>
      </c>
      <c r="AA72">
        <f t="shared" si="26"/>
        <v>0.15</v>
      </c>
      <c r="AB72">
        <f t="shared" si="27"/>
        <v>1539.979</v>
      </c>
      <c r="AC72">
        <v>1539.98</v>
      </c>
      <c r="AD72">
        <v>1070.2</v>
      </c>
      <c r="AE72">
        <v>469.78</v>
      </c>
      <c r="AF72" t="s">
        <v>33</v>
      </c>
      <c r="AG72" t="s">
        <v>34</v>
      </c>
      <c r="AH72" t="str">
        <f t="shared" si="23"/>
        <v>Completed</v>
      </c>
      <c r="AI72" t="str">
        <f t="shared" si="24"/>
        <v>Valid</v>
      </c>
      <c r="AJ72">
        <f t="shared" si="25"/>
        <v>469.78</v>
      </c>
      <c r="AK72" s="12">
        <f t="shared" si="28"/>
        <v>0.30505610790796495</v>
      </c>
      <c r="AL72">
        <f t="shared" si="29"/>
        <v>8</v>
      </c>
      <c r="AM72">
        <f t="shared" si="30"/>
        <v>2025</v>
      </c>
      <c r="AN72" t="str">
        <f t="shared" si="31"/>
        <v>Clean</v>
      </c>
    </row>
    <row r="73" spans="1:40">
      <c r="A73" t="s">
        <v>457</v>
      </c>
      <c r="B73" s="3" t="s">
        <v>90</v>
      </c>
      <c r="C73" s="10">
        <v>45763</v>
      </c>
      <c r="D73" s="3" t="s">
        <v>458</v>
      </c>
      <c r="E73" s="10">
        <v>45770</v>
      </c>
      <c r="F73" s="6" t="str">
        <f t="shared" si="16"/>
        <v>Valid</v>
      </c>
      <c r="G73" s="8">
        <f t="shared" si="17"/>
        <v>7</v>
      </c>
      <c r="H73" s="8" t="str">
        <f t="shared" si="18"/>
        <v>Valid</v>
      </c>
      <c r="I73" t="s">
        <v>459</v>
      </c>
      <c r="J73" t="s">
        <v>39</v>
      </c>
      <c r="K73" t="s">
        <v>39</v>
      </c>
      <c r="L73" t="s">
        <v>40</v>
      </c>
      <c r="M73" s="3" t="str">
        <f t="shared" si="19"/>
        <v>Small Business</v>
      </c>
      <c r="N73" t="s">
        <v>72</v>
      </c>
      <c r="O73" s="3" t="str">
        <f t="shared" si="20"/>
        <v>West</v>
      </c>
      <c r="P73" t="s">
        <v>248</v>
      </c>
      <c r="Q73" t="s">
        <v>249</v>
      </c>
      <c r="R73" t="s">
        <v>85</v>
      </c>
      <c r="S73" s="3" t="str">
        <f t="shared" si="21"/>
        <v>Technology</v>
      </c>
      <c r="T73" t="s">
        <v>381</v>
      </c>
      <c r="U73" t="s">
        <v>460</v>
      </c>
      <c r="V73" t="s">
        <v>66</v>
      </c>
      <c r="W73" s="3" t="str">
        <f t="shared" si="22"/>
        <v>Standard Class</v>
      </c>
      <c r="X73">
        <v>6</v>
      </c>
      <c r="Y73">
        <v>2027.32</v>
      </c>
      <c r="Z73">
        <v>0.1</v>
      </c>
      <c r="AA73">
        <f t="shared" si="26"/>
        <v>0.1</v>
      </c>
      <c r="AB73">
        <f t="shared" si="27"/>
        <v>10947.528</v>
      </c>
      <c r="AC73">
        <v>10947.53</v>
      </c>
      <c r="AD73">
        <v>6447.36</v>
      </c>
      <c r="AE73">
        <v>4500.17</v>
      </c>
      <c r="AF73" t="s">
        <v>33</v>
      </c>
      <c r="AG73" t="s">
        <v>34</v>
      </c>
      <c r="AH73" t="str">
        <f t="shared" si="23"/>
        <v>Completed</v>
      </c>
      <c r="AI73" t="str">
        <f t="shared" si="24"/>
        <v>Valid</v>
      </c>
      <c r="AJ73">
        <f t="shared" si="25"/>
        <v>4500.170000000001</v>
      </c>
      <c r="AK73" s="12">
        <f t="shared" si="28"/>
        <v>0.41106722905846882</v>
      </c>
      <c r="AL73">
        <f t="shared" si="29"/>
        <v>4</v>
      </c>
      <c r="AM73">
        <f t="shared" si="30"/>
        <v>2025</v>
      </c>
      <c r="AN73" t="str">
        <f t="shared" si="31"/>
        <v>Clean</v>
      </c>
    </row>
    <row r="74" spans="1:40">
      <c r="A74" t="s">
        <v>461</v>
      </c>
      <c r="B74" s="3" t="s">
        <v>462</v>
      </c>
      <c r="C74" s="10">
        <v>45333</v>
      </c>
      <c r="D74" s="3" t="s">
        <v>463</v>
      </c>
      <c r="E74" s="10">
        <v>45329</v>
      </c>
      <c r="F74" s="6" t="str">
        <f t="shared" si="16"/>
        <v>Invalid Shipping Record</v>
      </c>
      <c r="G74" s="8">
        <f t="shared" si="17"/>
        <v>-4</v>
      </c>
      <c r="H74" s="8" t="str">
        <f t="shared" si="18"/>
        <v>Invalid Shipping Record</v>
      </c>
      <c r="I74" t="s">
        <v>464</v>
      </c>
      <c r="J74" t="s">
        <v>24</v>
      </c>
      <c r="K74" t="s">
        <v>24</v>
      </c>
      <c r="L74" t="s">
        <v>114</v>
      </c>
      <c r="M74" s="3" t="str">
        <f t="shared" si="19"/>
        <v>Home Office</v>
      </c>
      <c r="N74" t="s">
        <v>61</v>
      </c>
      <c r="O74" s="3" t="str">
        <f t="shared" si="20"/>
        <v>South</v>
      </c>
      <c r="P74" t="s">
        <v>338</v>
      </c>
      <c r="Q74" t="s">
        <v>339</v>
      </c>
      <c r="R74" t="s">
        <v>44</v>
      </c>
      <c r="S74" s="3" t="str">
        <f t="shared" si="21"/>
        <v>Furniture</v>
      </c>
      <c r="T74" t="s">
        <v>45</v>
      </c>
      <c r="U74" t="s">
        <v>465</v>
      </c>
      <c r="V74" t="s">
        <v>55</v>
      </c>
      <c r="W74" s="3" t="str">
        <f t="shared" si="22"/>
        <v>First Class</v>
      </c>
      <c r="X74">
        <v>7</v>
      </c>
      <c r="Y74">
        <v>2287.4699999999998</v>
      </c>
      <c r="Z74">
        <v>0.15</v>
      </c>
      <c r="AA74">
        <f t="shared" si="26"/>
        <v>0.15</v>
      </c>
      <c r="AB74">
        <f t="shared" si="27"/>
        <v>13610.446499999998</v>
      </c>
      <c r="AC74">
        <v>13610.45</v>
      </c>
      <c r="AD74">
        <v>10039.049999999999</v>
      </c>
      <c r="AE74">
        <v>3571.4</v>
      </c>
      <c r="AF74" t="s">
        <v>33</v>
      </c>
      <c r="AG74" t="s">
        <v>34</v>
      </c>
      <c r="AH74" t="str">
        <f t="shared" si="23"/>
        <v>Completed</v>
      </c>
      <c r="AI74" t="str">
        <f t="shared" si="24"/>
        <v>Valid</v>
      </c>
      <c r="AJ74">
        <f t="shared" si="25"/>
        <v>3571.4000000000015</v>
      </c>
      <c r="AK74" s="12">
        <f t="shared" si="28"/>
        <v>0.26240138411329872</v>
      </c>
      <c r="AL74">
        <f t="shared" si="29"/>
        <v>2</v>
      </c>
      <c r="AM74">
        <f t="shared" si="30"/>
        <v>2024</v>
      </c>
      <c r="AN74" t="str">
        <f t="shared" si="31"/>
        <v>Invalid</v>
      </c>
    </row>
    <row r="75" spans="1:40">
      <c r="A75" t="s">
        <v>466</v>
      </c>
      <c r="B75" s="3" t="s">
        <v>467</v>
      </c>
      <c r="C75" s="10">
        <v>45745</v>
      </c>
      <c r="D75" s="3" t="s">
        <v>468</v>
      </c>
      <c r="E75" s="10">
        <v>45750</v>
      </c>
      <c r="F75" s="6" t="str">
        <f t="shared" si="16"/>
        <v>Valid</v>
      </c>
      <c r="G75" s="8">
        <f t="shared" si="17"/>
        <v>5</v>
      </c>
      <c r="H75" s="8" t="str">
        <f t="shared" si="18"/>
        <v>Valid</v>
      </c>
      <c r="I75" t="s">
        <v>469</v>
      </c>
      <c r="J75" t="s">
        <v>167</v>
      </c>
      <c r="K75" t="s">
        <v>167</v>
      </c>
      <c r="L75" t="s">
        <v>107</v>
      </c>
      <c r="M75" s="3" t="str">
        <f t="shared" si="19"/>
        <v>Corporate</v>
      </c>
      <c r="N75" t="s">
        <v>41</v>
      </c>
      <c r="O75" s="3" t="str">
        <f t="shared" si="20"/>
        <v>East</v>
      </c>
      <c r="P75" t="s">
        <v>120</v>
      </c>
      <c r="Q75" t="s">
        <v>121</v>
      </c>
      <c r="R75" t="s">
        <v>44</v>
      </c>
      <c r="S75" s="3" t="str">
        <f t="shared" si="21"/>
        <v>Furniture</v>
      </c>
      <c r="T75" t="s">
        <v>203</v>
      </c>
      <c r="U75" t="s">
        <v>470</v>
      </c>
      <c r="V75" t="s">
        <v>55</v>
      </c>
      <c r="W75" s="3" t="str">
        <f t="shared" si="22"/>
        <v>First Class</v>
      </c>
      <c r="X75">
        <v>5</v>
      </c>
      <c r="Y75">
        <v>1425.74</v>
      </c>
      <c r="Z75">
        <v>0</v>
      </c>
      <c r="AA75">
        <f t="shared" si="26"/>
        <v>0</v>
      </c>
      <c r="AB75">
        <f t="shared" si="27"/>
        <v>7128.7</v>
      </c>
      <c r="AC75">
        <v>7128.7</v>
      </c>
      <c r="AD75">
        <v>4382.1499999999996</v>
      </c>
      <c r="AE75">
        <v>2746.55</v>
      </c>
      <c r="AF75" t="s">
        <v>33</v>
      </c>
      <c r="AG75" t="s">
        <v>34</v>
      </c>
      <c r="AH75" t="str">
        <f t="shared" si="23"/>
        <v>Completed</v>
      </c>
      <c r="AI75" t="str">
        <f t="shared" si="24"/>
        <v>Valid</v>
      </c>
      <c r="AJ75">
        <f t="shared" si="25"/>
        <v>2746.55</v>
      </c>
      <c r="AK75" s="12">
        <f t="shared" si="28"/>
        <v>0.38528062620113068</v>
      </c>
      <c r="AL75">
        <f t="shared" si="29"/>
        <v>3</v>
      </c>
      <c r="AM75">
        <f t="shared" si="30"/>
        <v>2025</v>
      </c>
      <c r="AN75" t="str">
        <f t="shared" si="31"/>
        <v>Clean</v>
      </c>
    </row>
    <row r="76" spans="1:40">
      <c r="A76" t="s">
        <v>471</v>
      </c>
      <c r="B76" s="3" t="s">
        <v>472</v>
      </c>
      <c r="C76" s="10">
        <v>45715</v>
      </c>
      <c r="D76" s="3" t="s">
        <v>473</v>
      </c>
      <c r="E76" s="10">
        <v>45717</v>
      </c>
      <c r="F76" s="6" t="str">
        <f t="shared" si="16"/>
        <v>Valid</v>
      </c>
      <c r="G76" s="8">
        <f t="shared" si="17"/>
        <v>2</v>
      </c>
      <c r="H76" s="8" t="str">
        <f t="shared" si="18"/>
        <v>Valid</v>
      </c>
      <c r="I76" t="s">
        <v>474</v>
      </c>
      <c r="J76" t="s">
        <v>82</v>
      </c>
      <c r="K76" t="s">
        <v>82</v>
      </c>
      <c r="L76" t="s">
        <v>40</v>
      </c>
      <c r="M76" s="3" t="str">
        <f t="shared" si="19"/>
        <v>Small Business</v>
      </c>
      <c r="N76" t="s">
        <v>41</v>
      </c>
      <c r="O76" s="3" t="str">
        <f t="shared" si="20"/>
        <v>East</v>
      </c>
      <c r="P76" t="s">
        <v>120</v>
      </c>
      <c r="Q76" t="s">
        <v>121</v>
      </c>
      <c r="R76" t="s">
        <v>44</v>
      </c>
      <c r="S76" s="3" t="str">
        <f t="shared" si="21"/>
        <v>Furniture</v>
      </c>
      <c r="T76" t="s">
        <v>75</v>
      </c>
      <c r="U76" t="s">
        <v>475</v>
      </c>
      <c r="V76" t="s">
        <v>66</v>
      </c>
      <c r="W76" s="3" t="str">
        <f t="shared" si="22"/>
        <v>Standard Class</v>
      </c>
      <c r="X76">
        <v>6</v>
      </c>
      <c r="Y76">
        <v>551.64</v>
      </c>
      <c r="Z76">
        <v>0</v>
      </c>
      <c r="AA76">
        <f t="shared" si="26"/>
        <v>0</v>
      </c>
      <c r="AB76">
        <f t="shared" si="27"/>
        <v>3309.84</v>
      </c>
      <c r="AC76">
        <v>3309.84</v>
      </c>
      <c r="AD76">
        <v>2671.08</v>
      </c>
      <c r="AE76">
        <v>638.76</v>
      </c>
      <c r="AF76" t="s">
        <v>33</v>
      </c>
      <c r="AG76" t="s">
        <v>34</v>
      </c>
      <c r="AH76" t="str">
        <f t="shared" si="23"/>
        <v>Completed</v>
      </c>
      <c r="AI76" t="str">
        <f t="shared" si="24"/>
        <v>Valid</v>
      </c>
      <c r="AJ76">
        <f t="shared" si="25"/>
        <v>638.76000000000022</v>
      </c>
      <c r="AK76" s="12">
        <f t="shared" si="28"/>
        <v>0.19298818069755644</v>
      </c>
      <c r="AL76">
        <f t="shared" si="29"/>
        <v>2</v>
      </c>
      <c r="AM76">
        <f t="shared" si="30"/>
        <v>2025</v>
      </c>
      <c r="AN76" t="str">
        <f t="shared" si="31"/>
        <v>Clean</v>
      </c>
    </row>
    <row r="77" spans="1:40">
      <c r="A77" t="s">
        <v>476</v>
      </c>
      <c r="B77" s="3" t="s">
        <v>477</v>
      </c>
      <c r="C77" s="10">
        <v>45891</v>
      </c>
      <c r="D77" s="3" t="s">
        <v>478</v>
      </c>
      <c r="E77" s="10">
        <v>45896</v>
      </c>
      <c r="F77" s="6" t="str">
        <f t="shared" si="16"/>
        <v>Valid</v>
      </c>
      <c r="G77" s="8">
        <f t="shared" si="17"/>
        <v>5</v>
      </c>
      <c r="H77" s="8" t="str">
        <f t="shared" si="18"/>
        <v>Valid</v>
      </c>
      <c r="I77" t="s">
        <v>479</v>
      </c>
      <c r="J77" t="s">
        <v>141</v>
      </c>
      <c r="K77" t="s">
        <v>141</v>
      </c>
      <c r="L77" t="s">
        <v>40</v>
      </c>
      <c r="M77" s="3" t="str">
        <f t="shared" si="19"/>
        <v>Small Business</v>
      </c>
      <c r="N77" t="s">
        <v>41</v>
      </c>
      <c r="O77" s="3" t="str">
        <f t="shared" si="20"/>
        <v>East</v>
      </c>
      <c r="P77" t="s">
        <v>42</v>
      </c>
      <c r="Q77" t="s">
        <v>43</v>
      </c>
      <c r="R77" t="s">
        <v>29</v>
      </c>
      <c r="S77" s="3" t="str">
        <f t="shared" si="21"/>
        <v>Office Supplies</v>
      </c>
      <c r="T77" t="s">
        <v>108</v>
      </c>
      <c r="U77" t="s">
        <v>480</v>
      </c>
      <c r="V77" t="s">
        <v>55</v>
      </c>
      <c r="W77" s="3" t="str">
        <f t="shared" si="22"/>
        <v>First Class</v>
      </c>
      <c r="X77">
        <v>3</v>
      </c>
      <c r="Y77">
        <v>3294.82</v>
      </c>
      <c r="Z77">
        <v>0.2</v>
      </c>
      <c r="AA77">
        <f t="shared" si="26"/>
        <v>0.2</v>
      </c>
      <c r="AB77">
        <f t="shared" si="27"/>
        <v>7907.5680000000011</v>
      </c>
      <c r="AC77">
        <v>7907.57</v>
      </c>
      <c r="AD77">
        <v>5391.18</v>
      </c>
      <c r="AE77">
        <v>2516.39</v>
      </c>
      <c r="AF77" t="s">
        <v>33</v>
      </c>
      <c r="AG77" t="s">
        <v>34</v>
      </c>
      <c r="AH77" t="str">
        <f t="shared" si="23"/>
        <v>Completed</v>
      </c>
      <c r="AI77" t="str">
        <f t="shared" si="24"/>
        <v>Valid</v>
      </c>
      <c r="AJ77">
        <f t="shared" si="25"/>
        <v>2516.3899999999994</v>
      </c>
      <c r="AK77" s="12">
        <f t="shared" si="28"/>
        <v>0.3182255277475956</v>
      </c>
      <c r="AL77">
        <f t="shared" si="29"/>
        <v>8</v>
      </c>
      <c r="AM77">
        <f t="shared" si="30"/>
        <v>2025</v>
      </c>
      <c r="AN77" t="str">
        <f t="shared" si="31"/>
        <v>Clean</v>
      </c>
    </row>
    <row r="78" spans="1:40">
      <c r="A78" t="s">
        <v>481</v>
      </c>
      <c r="B78" s="3" t="s">
        <v>482</v>
      </c>
      <c r="C78" s="10">
        <v>45599</v>
      </c>
      <c r="D78" s="3" t="s">
        <v>483</v>
      </c>
      <c r="E78" s="10">
        <v>45607</v>
      </c>
      <c r="F78" s="6" t="str">
        <f t="shared" si="16"/>
        <v>Valid</v>
      </c>
      <c r="G78" s="8">
        <f t="shared" si="17"/>
        <v>8</v>
      </c>
      <c r="H78" s="8" t="str">
        <f t="shared" si="18"/>
        <v>Valid</v>
      </c>
      <c r="I78" t="s">
        <v>484</v>
      </c>
      <c r="J78" t="s">
        <v>71</v>
      </c>
      <c r="K78" t="s">
        <v>71</v>
      </c>
      <c r="L78" t="s">
        <v>107</v>
      </c>
      <c r="M78" s="3" t="str">
        <f t="shared" si="19"/>
        <v>Corporate</v>
      </c>
      <c r="N78" t="s">
        <v>41</v>
      </c>
      <c r="O78" s="3" t="str">
        <f t="shared" si="20"/>
        <v>East</v>
      </c>
      <c r="P78" t="s">
        <v>310</v>
      </c>
      <c r="Q78" t="s">
        <v>311</v>
      </c>
      <c r="R78" t="s">
        <v>29</v>
      </c>
      <c r="S78" s="3" t="str">
        <f t="shared" si="21"/>
        <v>Office Supplies</v>
      </c>
      <c r="T78" t="s">
        <v>108</v>
      </c>
      <c r="U78" t="s">
        <v>485</v>
      </c>
      <c r="V78" t="s">
        <v>32</v>
      </c>
      <c r="W78" s="3" t="str">
        <f t="shared" si="22"/>
        <v>Second Class</v>
      </c>
      <c r="X78">
        <v>3</v>
      </c>
      <c r="Y78">
        <v>3406.27</v>
      </c>
      <c r="Z78">
        <v>0</v>
      </c>
      <c r="AA78">
        <f t="shared" si="26"/>
        <v>0</v>
      </c>
      <c r="AB78">
        <f t="shared" si="27"/>
        <v>10218.81</v>
      </c>
      <c r="AC78">
        <v>10218.81</v>
      </c>
      <c r="AD78">
        <v>7616.97</v>
      </c>
      <c r="AE78">
        <v>2601.84</v>
      </c>
      <c r="AF78" t="s">
        <v>33</v>
      </c>
      <c r="AG78" t="s">
        <v>34</v>
      </c>
      <c r="AH78" t="str">
        <f t="shared" si="23"/>
        <v>Completed</v>
      </c>
      <c r="AI78" t="str">
        <f t="shared" si="24"/>
        <v>Valid</v>
      </c>
      <c r="AJ78">
        <f t="shared" si="25"/>
        <v>2601.8399999999992</v>
      </c>
      <c r="AK78" s="12">
        <f t="shared" si="28"/>
        <v>0.2546128169522674</v>
      </c>
      <c r="AL78">
        <f t="shared" si="29"/>
        <v>11</v>
      </c>
      <c r="AM78">
        <f t="shared" si="30"/>
        <v>2024</v>
      </c>
      <c r="AN78" t="str">
        <f t="shared" si="31"/>
        <v>Clean</v>
      </c>
    </row>
    <row r="79" spans="1:40">
      <c r="A79" t="s">
        <v>486</v>
      </c>
      <c r="B79" s="3" t="s">
        <v>487</v>
      </c>
      <c r="C79" s="10">
        <v>45846</v>
      </c>
      <c r="D79" s="3" t="s">
        <v>488</v>
      </c>
      <c r="E79" s="10">
        <v>45850</v>
      </c>
      <c r="F79" s="6" t="str">
        <f t="shared" si="16"/>
        <v>Valid</v>
      </c>
      <c r="G79" s="8">
        <f t="shared" si="17"/>
        <v>4</v>
      </c>
      <c r="H79" s="8" t="str">
        <f t="shared" si="18"/>
        <v>Valid</v>
      </c>
      <c r="I79" t="s">
        <v>489</v>
      </c>
      <c r="J79" t="s">
        <v>179</v>
      </c>
      <c r="K79" t="s">
        <v>179</v>
      </c>
      <c r="L79" t="s">
        <v>114</v>
      </c>
      <c r="M79" s="3" t="str">
        <f t="shared" si="19"/>
        <v>Home Office</v>
      </c>
      <c r="N79" t="s">
        <v>26</v>
      </c>
      <c r="O79" s="3" t="str">
        <f t="shared" si="20"/>
        <v>North</v>
      </c>
      <c r="P79" t="s">
        <v>173</v>
      </c>
      <c r="Q79" t="s">
        <v>174</v>
      </c>
      <c r="R79" t="s">
        <v>44</v>
      </c>
      <c r="S79" s="3" t="str">
        <f t="shared" si="21"/>
        <v>Furniture</v>
      </c>
      <c r="T79" t="s">
        <v>64</v>
      </c>
      <c r="U79" t="s">
        <v>490</v>
      </c>
      <c r="V79" t="s">
        <v>66</v>
      </c>
      <c r="W79" s="3" t="str">
        <f t="shared" si="22"/>
        <v>Standard Class</v>
      </c>
      <c r="X79">
        <v>1</v>
      </c>
      <c r="Y79">
        <v>2582.1999999999998</v>
      </c>
      <c r="Z79">
        <v>0.15</v>
      </c>
      <c r="AA79">
        <f t="shared" si="26"/>
        <v>0.15</v>
      </c>
      <c r="AB79">
        <f t="shared" si="27"/>
        <v>2194.87</v>
      </c>
      <c r="AC79">
        <v>2194.87</v>
      </c>
      <c r="AD79">
        <v>1223.17</v>
      </c>
      <c r="AE79">
        <v>971.7</v>
      </c>
      <c r="AF79" t="s">
        <v>123</v>
      </c>
      <c r="AG79" t="s">
        <v>77</v>
      </c>
      <c r="AH79" t="str">
        <f t="shared" si="23"/>
        <v>Cancelled</v>
      </c>
      <c r="AI79" t="str">
        <f t="shared" si="24"/>
        <v>Valid</v>
      </c>
      <c r="AJ79">
        <f t="shared" si="25"/>
        <v>971.69999999999982</v>
      </c>
      <c r="AK79" s="12">
        <f t="shared" si="28"/>
        <v>0.44271414707932583</v>
      </c>
      <c r="AL79">
        <f t="shared" si="29"/>
        <v>7</v>
      </c>
      <c r="AM79">
        <f t="shared" si="30"/>
        <v>2025</v>
      </c>
      <c r="AN79" t="str">
        <f t="shared" si="31"/>
        <v>Clean</v>
      </c>
    </row>
    <row r="80" spans="1:40">
      <c r="A80" t="s">
        <v>491</v>
      </c>
      <c r="B80" s="3" t="s">
        <v>492</v>
      </c>
      <c r="C80" s="10">
        <v>45854</v>
      </c>
      <c r="D80" s="3" t="s">
        <v>493</v>
      </c>
      <c r="E80" s="10">
        <v>45859</v>
      </c>
      <c r="F80" s="6" t="str">
        <f t="shared" si="16"/>
        <v>Valid</v>
      </c>
      <c r="G80" s="8">
        <f t="shared" si="17"/>
        <v>5</v>
      </c>
      <c r="H80" s="8" t="str">
        <f t="shared" si="18"/>
        <v>Valid</v>
      </c>
      <c r="I80" t="s">
        <v>494</v>
      </c>
      <c r="J80" t="s">
        <v>167</v>
      </c>
      <c r="K80" t="s">
        <v>167</v>
      </c>
      <c r="L80" t="s">
        <v>107</v>
      </c>
      <c r="M80" s="3" t="str">
        <f t="shared" si="19"/>
        <v>Corporate</v>
      </c>
      <c r="N80" t="s">
        <v>41</v>
      </c>
      <c r="O80" s="3" t="str">
        <f t="shared" si="20"/>
        <v>East</v>
      </c>
      <c r="P80" t="s">
        <v>120</v>
      </c>
      <c r="Q80" t="s">
        <v>121</v>
      </c>
      <c r="R80" t="s">
        <v>44</v>
      </c>
      <c r="S80" s="3" t="str">
        <f t="shared" si="21"/>
        <v>Furniture</v>
      </c>
      <c r="T80" t="s">
        <v>45</v>
      </c>
      <c r="U80" t="s">
        <v>495</v>
      </c>
      <c r="V80" t="s">
        <v>55</v>
      </c>
      <c r="W80" s="3" t="str">
        <f t="shared" si="22"/>
        <v>First Class</v>
      </c>
      <c r="X80">
        <v>5</v>
      </c>
      <c r="Y80">
        <v>2129.5100000000002</v>
      </c>
      <c r="Z80">
        <v>0.15</v>
      </c>
      <c r="AA80">
        <f t="shared" si="26"/>
        <v>0.15</v>
      </c>
      <c r="AB80">
        <f t="shared" si="27"/>
        <v>9050.4175000000014</v>
      </c>
      <c r="AC80">
        <v>9050.42</v>
      </c>
      <c r="AD80">
        <v>6778.85</v>
      </c>
      <c r="AE80">
        <v>2271.5700000000002</v>
      </c>
      <c r="AF80" t="s">
        <v>33</v>
      </c>
      <c r="AG80" t="s">
        <v>34</v>
      </c>
      <c r="AH80" t="str">
        <f t="shared" si="23"/>
        <v>Completed</v>
      </c>
      <c r="AI80" t="str">
        <f t="shared" si="24"/>
        <v>Valid</v>
      </c>
      <c r="AJ80">
        <f t="shared" si="25"/>
        <v>2271.5699999999997</v>
      </c>
      <c r="AK80" s="12">
        <f t="shared" si="28"/>
        <v>0.25099063109519526</v>
      </c>
      <c r="AL80">
        <f t="shared" si="29"/>
        <v>7</v>
      </c>
      <c r="AM80">
        <f t="shared" si="30"/>
        <v>2025</v>
      </c>
      <c r="AN80" t="str">
        <f t="shared" si="31"/>
        <v>Clean</v>
      </c>
    </row>
    <row r="81" spans="1:40">
      <c r="A81" t="s">
        <v>496</v>
      </c>
      <c r="B81" s="3" t="s">
        <v>497</v>
      </c>
      <c r="C81" s="10">
        <v>45927</v>
      </c>
      <c r="D81" s="3" t="s">
        <v>498</v>
      </c>
      <c r="E81" s="10">
        <v>45933</v>
      </c>
      <c r="F81" s="6" t="str">
        <f t="shared" si="16"/>
        <v>Valid</v>
      </c>
      <c r="G81" s="8">
        <f t="shared" si="17"/>
        <v>6</v>
      </c>
      <c r="H81" s="8" t="str">
        <f t="shared" si="18"/>
        <v>Valid</v>
      </c>
      <c r="I81" t="s">
        <v>499</v>
      </c>
      <c r="J81" t="s">
        <v>209</v>
      </c>
      <c r="K81" t="s">
        <v>209</v>
      </c>
      <c r="L81" t="s">
        <v>114</v>
      </c>
      <c r="M81" s="3" t="str">
        <f t="shared" si="19"/>
        <v>Home Office</v>
      </c>
      <c r="N81" t="s">
        <v>61</v>
      </c>
      <c r="O81" s="3" t="str">
        <f t="shared" si="20"/>
        <v>South</v>
      </c>
      <c r="P81" t="s">
        <v>338</v>
      </c>
      <c r="Q81" t="s">
        <v>339</v>
      </c>
      <c r="R81" t="s">
        <v>44</v>
      </c>
      <c r="S81" s="3" t="str">
        <f t="shared" si="21"/>
        <v>Furniture</v>
      </c>
      <c r="T81" t="s">
        <v>75</v>
      </c>
      <c r="U81" t="s">
        <v>500</v>
      </c>
      <c r="V81" t="s">
        <v>47</v>
      </c>
      <c r="W81" s="3" t="str">
        <f t="shared" si="22"/>
        <v>Same Day</v>
      </c>
      <c r="X81">
        <v>9</v>
      </c>
      <c r="Y81">
        <v>4131.5200000000004</v>
      </c>
      <c r="Z81">
        <v>0.1</v>
      </c>
      <c r="AA81">
        <f t="shared" si="26"/>
        <v>0.1</v>
      </c>
      <c r="AB81">
        <f t="shared" si="27"/>
        <v>33465.312000000005</v>
      </c>
      <c r="AC81">
        <v>33465.31</v>
      </c>
      <c r="AD81">
        <v>24781.26</v>
      </c>
      <c r="AE81">
        <v>8684.0499999999993</v>
      </c>
      <c r="AF81" t="s">
        <v>33</v>
      </c>
      <c r="AG81" t="s">
        <v>34</v>
      </c>
      <c r="AH81" t="str">
        <f t="shared" si="23"/>
        <v>Completed</v>
      </c>
      <c r="AI81" t="str">
        <f t="shared" si="24"/>
        <v>Valid</v>
      </c>
      <c r="AJ81">
        <f t="shared" si="25"/>
        <v>8684.0499999999993</v>
      </c>
      <c r="AK81" s="12">
        <f t="shared" si="28"/>
        <v>0.25949406956074389</v>
      </c>
      <c r="AL81">
        <f t="shared" si="29"/>
        <v>9</v>
      </c>
      <c r="AM81">
        <f t="shared" si="30"/>
        <v>2025</v>
      </c>
      <c r="AN81" t="str">
        <f t="shared" si="31"/>
        <v>Clean</v>
      </c>
    </row>
    <row r="82" spans="1:40">
      <c r="A82" t="s">
        <v>501</v>
      </c>
      <c r="B82" s="3" t="s">
        <v>502</v>
      </c>
      <c r="C82" s="10">
        <v>45514</v>
      </c>
      <c r="D82" s="3" t="s">
        <v>503</v>
      </c>
      <c r="E82" s="10">
        <v>45518</v>
      </c>
      <c r="F82" s="6" t="str">
        <f t="shared" si="16"/>
        <v>Valid</v>
      </c>
      <c r="G82" s="8">
        <f t="shared" si="17"/>
        <v>4</v>
      </c>
      <c r="H82" s="8" t="str">
        <f t="shared" si="18"/>
        <v>Valid</v>
      </c>
      <c r="I82" t="s">
        <v>504</v>
      </c>
      <c r="J82" t="s">
        <v>161</v>
      </c>
      <c r="K82" t="s">
        <v>161</v>
      </c>
      <c r="L82" t="s">
        <v>40</v>
      </c>
      <c r="M82" s="3" t="str">
        <f t="shared" si="19"/>
        <v>Small Business</v>
      </c>
      <c r="N82" t="s">
        <v>26</v>
      </c>
      <c r="O82" s="3" t="str">
        <f t="shared" si="20"/>
        <v>North</v>
      </c>
      <c r="P82" t="s">
        <v>505</v>
      </c>
      <c r="Q82" t="s">
        <v>506</v>
      </c>
      <c r="R82" t="s">
        <v>29</v>
      </c>
      <c r="S82" s="3" t="str">
        <f t="shared" si="21"/>
        <v>Office Supplies</v>
      </c>
      <c r="T82" t="s">
        <v>155</v>
      </c>
      <c r="U82" t="s">
        <v>507</v>
      </c>
      <c r="V82" t="s">
        <v>32</v>
      </c>
      <c r="W82" s="3" t="str">
        <f t="shared" si="22"/>
        <v>Second Class</v>
      </c>
      <c r="X82">
        <v>4</v>
      </c>
      <c r="Y82">
        <v>1182.32</v>
      </c>
      <c r="Z82">
        <v>0.1</v>
      </c>
      <c r="AA82">
        <f t="shared" si="26"/>
        <v>0.1</v>
      </c>
      <c r="AB82">
        <f t="shared" si="27"/>
        <v>4256.3519999999999</v>
      </c>
      <c r="AC82">
        <v>4256.3500000000004</v>
      </c>
      <c r="AD82">
        <v>2495.33</v>
      </c>
      <c r="AE82">
        <v>1761.02</v>
      </c>
      <c r="AF82" t="s">
        <v>136</v>
      </c>
      <c r="AG82" t="s">
        <v>124</v>
      </c>
      <c r="AH82" t="str">
        <f t="shared" si="23"/>
        <v>Returned</v>
      </c>
      <c r="AI82" t="str">
        <f t="shared" si="24"/>
        <v>Valid</v>
      </c>
      <c r="AJ82">
        <f t="shared" si="25"/>
        <v>1761.0200000000004</v>
      </c>
      <c r="AK82" s="12">
        <f t="shared" si="28"/>
        <v>0.41373927720263748</v>
      </c>
      <c r="AL82">
        <f t="shared" si="29"/>
        <v>8</v>
      </c>
      <c r="AM82">
        <f t="shared" si="30"/>
        <v>2024</v>
      </c>
      <c r="AN82" t="str">
        <f t="shared" si="31"/>
        <v>Clean</v>
      </c>
    </row>
    <row r="83" spans="1:40">
      <c r="A83" t="s">
        <v>508</v>
      </c>
      <c r="B83" s="3" t="s">
        <v>509</v>
      </c>
      <c r="C83" s="10">
        <v>45732</v>
      </c>
      <c r="D83" s="3" t="s">
        <v>510</v>
      </c>
      <c r="E83" s="10">
        <v>45733</v>
      </c>
      <c r="F83" s="6" t="str">
        <f t="shared" si="16"/>
        <v>Valid</v>
      </c>
      <c r="G83" s="8">
        <f t="shared" si="17"/>
        <v>1</v>
      </c>
      <c r="H83" s="8" t="str">
        <f t="shared" si="18"/>
        <v>Valid</v>
      </c>
      <c r="I83" t="s">
        <v>511</v>
      </c>
      <c r="J83" t="s">
        <v>24</v>
      </c>
      <c r="K83" t="s">
        <v>24</v>
      </c>
      <c r="L83" t="s">
        <v>114</v>
      </c>
      <c r="M83" s="3" t="str">
        <f t="shared" si="19"/>
        <v>Home Office</v>
      </c>
      <c r="N83" t="s">
        <v>72</v>
      </c>
      <c r="O83" s="3" t="str">
        <f t="shared" si="20"/>
        <v>West</v>
      </c>
      <c r="P83" t="s">
        <v>248</v>
      </c>
      <c r="Q83" t="s">
        <v>249</v>
      </c>
      <c r="R83" t="s">
        <v>29</v>
      </c>
      <c r="S83" s="3" t="str">
        <f t="shared" si="21"/>
        <v>Office Supplies</v>
      </c>
      <c r="T83" t="s">
        <v>108</v>
      </c>
      <c r="U83" t="s">
        <v>512</v>
      </c>
      <c r="V83" t="s">
        <v>47</v>
      </c>
      <c r="W83" s="3" t="str">
        <f t="shared" si="22"/>
        <v>Same Day</v>
      </c>
      <c r="X83">
        <v>3</v>
      </c>
      <c r="Y83">
        <v>1841.91</v>
      </c>
      <c r="Z83">
        <v>0</v>
      </c>
      <c r="AA83">
        <f t="shared" si="26"/>
        <v>0</v>
      </c>
      <c r="AB83">
        <f t="shared" si="27"/>
        <v>5525.7300000000005</v>
      </c>
      <c r="AC83">
        <v>5525.73</v>
      </c>
      <c r="AD83">
        <v>3093.42</v>
      </c>
      <c r="AE83">
        <v>2432.31</v>
      </c>
      <c r="AF83" t="s">
        <v>33</v>
      </c>
      <c r="AG83" t="s">
        <v>34</v>
      </c>
      <c r="AH83" t="str">
        <f t="shared" si="23"/>
        <v>Completed</v>
      </c>
      <c r="AI83" t="str">
        <f t="shared" si="24"/>
        <v>Valid</v>
      </c>
      <c r="AJ83">
        <f t="shared" si="25"/>
        <v>2432.3099999999995</v>
      </c>
      <c r="AK83" s="12">
        <f t="shared" si="28"/>
        <v>0.44017894468242191</v>
      </c>
      <c r="AL83">
        <f t="shared" si="29"/>
        <v>3</v>
      </c>
      <c r="AM83">
        <f t="shared" si="30"/>
        <v>2025</v>
      </c>
      <c r="AN83" t="str">
        <f t="shared" si="31"/>
        <v>Clean</v>
      </c>
    </row>
    <row r="84" spans="1:40">
      <c r="A84" t="s">
        <v>513</v>
      </c>
      <c r="B84" s="3" t="s">
        <v>514</v>
      </c>
      <c r="C84" s="10">
        <v>45507</v>
      </c>
      <c r="D84" s="3" t="s">
        <v>515</v>
      </c>
      <c r="E84" s="10">
        <v>45508</v>
      </c>
      <c r="F84" s="6" t="str">
        <f t="shared" si="16"/>
        <v>Valid</v>
      </c>
      <c r="G84" s="8">
        <f t="shared" si="17"/>
        <v>1</v>
      </c>
      <c r="H84" s="8" t="str">
        <f t="shared" si="18"/>
        <v>Valid</v>
      </c>
      <c r="I84" t="s">
        <v>516</v>
      </c>
      <c r="J84" t="s">
        <v>60</v>
      </c>
      <c r="K84" t="s">
        <v>60</v>
      </c>
      <c r="L84" t="s">
        <v>25</v>
      </c>
      <c r="M84" s="3" t="str">
        <f t="shared" si="19"/>
        <v>Consumer</v>
      </c>
      <c r="N84" t="s">
        <v>26</v>
      </c>
      <c r="O84" s="3" t="str">
        <f t="shared" si="20"/>
        <v>North</v>
      </c>
      <c r="P84" t="s">
        <v>173</v>
      </c>
      <c r="Q84" t="s">
        <v>174</v>
      </c>
      <c r="R84" t="s">
        <v>85</v>
      </c>
      <c r="S84" s="3" t="str">
        <f t="shared" si="21"/>
        <v>Technology</v>
      </c>
      <c r="T84" t="s">
        <v>93</v>
      </c>
      <c r="U84" t="s">
        <v>517</v>
      </c>
      <c r="V84" t="s">
        <v>32</v>
      </c>
      <c r="W84" s="3" t="str">
        <f t="shared" si="22"/>
        <v>Second Class</v>
      </c>
      <c r="X84">
        <v>6</v>
      </c>
      <c r="Y84">
        <v>1001.73</v>
      </c>
      <c r="Z84">
        <v>0</v>
      </c>
      <c r="AA84">
        <f t="shared" si="26"/>
        <v>0</v>
      </c>
      <c r="AB84">
        <f t="shared" si="27"/>
        <v>6010.38</v>
      </c>
      <c r="AC84">
        <v>6010.38</v>
      </c>
      <c r="AD84">
        <v>3762.85</v>
      </c>
      <c r="AE84">
        <v>2247.5300000000002</v>
      </c>
      <c r="AF84" t="s">
        <v>199</v>
      </c>
      <c r="AG84" t="s">
        <v>124</v>
      </c>
      <c r="AH84" t="str">
        <f t="shared" si="23"/>
        <v>Returned</v>
      </c>
      <c r="AI84" t="str">
        <f t="shared" si="24"/>
        <v>Valid</v>
      </c>
      <c r="AJ84">
        <f t="shared" si="25"/>
        <v>2247.5300000000002</v>
      </c>
      <c r="AK84" s="12">
        <f t="shared" si="28"/>
        <v>0.37394141468592673</v>
      </c>
      <c r="AL84">
        <f t="shared" si="29"/>
        <v>8</v>
      </c>
      <c r="AM84">
        <f t="shared" si="30"/>
        <v>2024</v>
      </c>
      <c r="AN84" t="str">
        <f t="shared" si="31"/>
        <v>Clean</v>
      </c>
    </row>
    <row r="85" spans="1:40">
      <c r="A85" t="s">
        <v>518</v>
      </c>
      <c r="B85" s="3" t="s">
        <v>362</v>
      </c>
      <c r="C85" s="10">
        <v>45591</v>
      </c>
      <c r="D85" s="3" t="s">
        <v>519</v>
      </c>
      <c r="E85" s="10">
        <v>45594</v>
      </c>
      <c r="F85" s="6" t="str">
        <f t="shared" si="16"/>
        <v>Valid</v>
      </c>
      <c r="G85" s="8">
        <f t="shared" si="17"/>
        <v>3</v>
      </c>
      <c r="H85" s="8" t="str">
        <f t="shared" si="18"/>
        <v>Valid</v>
      </c>
      <c r="I85" t="s">
        <v>520</v>
      </c>
      <c r="J85" t="s">
        <v>106</v>
      </c>
      <c r="K85" t="s">
        <v>106</v>
      </c>
      <c r="L85" t="s">
        <v>114</v>
      </c>
      <c r="M85" s="3" t="str">
        <f t="shared" si="19"/>
        <v>Home Office</v>
      </c>
      <c r="N85" t="s">
        <v>72</v>
      </c>
      <c r="O85" s="3" t="str">
        <f t="shared" si="20"/>
        <v>West</v>
      </c>
      <c r="P85" t="s">
        <v>73</v>
      </c>
      <c r="Q85" t="s">
        <v>74</v>
      </c>
      <c r="R85" t="s">
        <v>44</v>
      </c>
      <c r="S85" s="3" t="str">
        <f t="shared" si="21"/>
        <v>Furniture</v>
      </c>
      <c r="T85" t="s">
        <v>45</v>
      </c>
      <c r="U85" t="s">
        <v>521</v>
      </c>
      <c r="V85" t="s">
        <v>32</v>
      </c>
      <c r="W85" s="3" t="str">
        <f t="shared" si="22"/>
        <v>Second Class</v>
      </c>
      <c r="X85">
        <v>9</v>
      </c>
      <c r="Y85">
        <v>131.74</v>
      </c>
      <c r="Z85">
        <v>0.2</v>
      </c>
      <c r="AA85">
        <f t="shared" si="26"/>
        <v>0.2</v>
      </c>
      <c r="AB85">
        <f t="shared" si="27"/>
        <v>948.52800000000013</v>
      </c>
      <c r="AC85">
        <v>948.53</v>
      </c>
      <c r="AD85">
        <v>674.62</v>
      </c>
      <c r="AE85">
        <v>273.91000000000003</v>
      </c>
      <c r="AF85" t="s">
        <v>33</v>
      </c>
      <c r="AG85" t="s">
        <v>34</v>
      </c>
      <c r="AH85" t="str">
        <f t="shared" si="23"/>
        <v>Completed</v>
      </c>
      <c r="AI85" t="str">
        <f t="shared" si="24"/>
        <v>Valid</v>
      </c>
      <c r="AJ85">
        <f t="shared" si="25"/>
        <v>273.90999999999997</v>
      </c>
      <c r="AK85" s="12">
        <f t="shared" si="28"/>
        <v>0.2887737631361435</v>
      </c>
      <c r="AL85">
        <f t="shared" si="29"/>
        <v>10</v>
      </c>
      <c r="AM85">
        <f t="shared" si="30"/>
        <v>2024</v>
      </c>
      <c r="AN85" t="str">
        <f t="shared" si="31"/>
        <v>Clean</v>
      </c>
    </row>
    <row r="86" spans="1:40">
      <c r="A86" t="s">
        <v>522</v>
      </c>
      <c r="B86" s="3" t="s">
        <v>523</v>
      </c>
      <c r="C86" s="10">
        <v>45566</v>
      </c>
      <c r="D86" s="3" t="s">
        <v>524</v>
      </c>
      <c r="E86" s="10">
        <v>45568</v>
      </c>
      <c r="F86" s="6" t="str">
        <f t="shared" si="16"/>
        <v>Valid</v>
      </c>
      <c r="G86" s="8">
        <f t="shared" si="17"/>
        <v>2</v>
      </c>
      <c r="H86" s="8" t="str">
        <f t="shared" si="18"/>
        <v>Valid</v>
      </c>
      <c r="I86" t="s">
        <v>525</v>
      </c>
      <c r="J86" t="s">
        <v>179</v>
      </c>
      <c r="K86" t="s">
        <v>179</v>
      </c>
      <c r="L86" t="s">
        <v>107</v>
      </c>
      <c r="M86" s="3" t="str">
        <f t="shared" si="19"/>
        <v>Corporate</v>
      </c>
      <c r="N86" t="s">
        <v>61</v>
      </c>
      <c r="O86" s="3" t="str">
        <f t="shared" si="20"/>
        <v>South</v>
      </c>
      <c r="P86" t="s">
        <v>338</v>
      </c>
      <c r="Q86" t="s">
        <v>339</v>
      </c>
      <c r="R86" t="s">
        <v>85</v>
      </c>
      <c r="S86" s="3" t="str">
        <f t="shared" si="21"/>
        <v>Technology</v>
      </c>
      <c r="T86" t="s">
        <v>222</v>
      </c>
      <c r="U86" t="s">
        <v>526</v>
      </c>
      <c r="V86" t="s">
        <v>32</v>
      </c>
      <c r="W86" s="3" t="str">
        <f t="shared" si="22"/>
        <v>Second Class</v>
      </c>
      <c r="X86">
        <v>6</v>
      </c>
      <c r="Y86">
        <v>570.28</v>
      </c>
      <c r="Z86">
        <v>0.2</v>
      </c>
      <c r="AA86">
        <f t="shared" si="26"/>
        <v>0.2</v>
      </c>
      <c r="AB86">
        <f t="shared" si="27"/>
        <v>2737.3440000000001</v>
      </c>
      <c r="AC86">
        <v>2737.34</v>
      </c>
      <c r="AD86">
        <v>2085.44</v>
      </c>
      <c r="AE86">
        <v>651.9</v>
      </c>
      <c r="AF86" t="s">
        <v>33</v>
      </c>
      <c r="AG86" t="s">
        <v>34</v>
      </c>
      <c r="AH86" t="str">
        <f t="shared" si="23"/>
        <v>Completed</v>
      </c>
      <c r="AI86" t="str">
        <f t="shared" si="24"/>
        <v>Valid</v>
      </c>
      <c r="AJ86">
        <f t="shared" si="25"/>
        <v>651.90000000000009</v>
      </c>
      <c r="AK86" s="12">
        <f t="shared" si="28"/>
        <v>0.23815055762081788</v>
      </c>
      <c r="AL86">
        <f t="shared" si="29"/>
        <v>10</v>
      </c>
      <c r="AM86">
        <f t="shared" si="30"/>
        <v>2024</v>
      </c>
      <c r="AN86" t="str">
        <f t="shared" si="31"/>
        <v>Clean</v>
      </c>
    </row>
    <row r="87" spans="1:40">
      <c r="A87" t="s">
        <v>527</v>
      </c>
      <c r="B87" s="3" t="s">
        <v>528</v>
      </c>
      <c r="C87" s="10">
        <v>45503</v>
      </c>
      <c r="D87" s="3" t="s">
        <v>529</v>
      </c>
      <c r="E87" s="10">
        <v>45509</v>
      </c>
      <c r="F87" s="6" t="str">
        <f t="shared" si="16"/>
        <v>Valid</v>
      </c>
      <c r="G87" s="8">
        <f t="shared" si="17"/>
        <v>6</v>
      </c>
      <c r="H87" s="8" t="str">
        <f t="shared" si="18"/>
        <v>Valid</v>
      </c>
      <c r="I87" t="s">
        <v>530</v>
      </c>
      <c r="J87" t="s">
        <v>365</v>
      </c>
      <c r="K87" t="s">
        <v>365</v>
      </c>
      <c r="L87" t="s">
        <v>107</v>
      </c>
      <c r="M87" s="3" t="str">
        <f t="shared" si="19"/>
        <v>Corporate</v>
      </c>
      <c r="N87" t="s">
        <v>26</v>
      </c>
      <c r="O87" s="3" t="str">
        <f t="shared" si="20"/>
        <v>North</v>
      </c>
      <c r="P87" t="s">
        <v>505</v>
      </c>
      <c r="Q87" t="s">
        <v>506</v>
      </c>
      <c r="R87" t="s">
        <v>29</v>
      </c>
      <c r="S87" s="3" t="str">
        <f t="shared" si="21"/>
        <v>Office Supplies</v>
      </c>
      <c r="T87" t="s">
        <v>197</v>
      </c>
      <c r="U87" t="s">
        <v>531</v>
      </c>
      <c r="V87" t="s">
        <v>66</v>
      </c>
      <c r="W87" s="3" t="str">
        <f t="shared" si="22"/>
        <v>Standard Class</v>
      </c>
      <c r="X87">
        <v>1</v>
      </c>
      <c r="Y87">
        <v>608.64</v>
      </c>
      <c r="Z87">
        <v>0</v>
      </c>
      <c r="AA87">
        <f t="shared" si="26"/>
        <v>0</v>
      </c>
      <c r="AB87">
        <f t="shared" si="27"/>
        <v>608.64</v>
      </c>
      <c r="AC87">
        <v>608.64</v>
      </c>
      <c r="AD87">
        <v>343.99</v>
      </c>
      <c r="AE87">
        <v>264.64999999999998</v>
      </c>
      <c r="AF87" t="s">
        <v>33</v>
      </c>
      <c r="AG87" t="s">
        <v>77</v>
      </c>
      <c r="AH87" t="str">
        <f t="shared" si="23"/>
        <v>Cancelled</v>
      </c>
      <c r="AI87" t="str">
        <f t="shared" si="24"/>
        <v>Valid</v>
      </c>
      <c r="AJ87">
        <f t="shared" si="25"/>
        <v>264.64999999999998</v>
      </c>
      <c r="AK87" s="12">
        <f t="shared" si="28"/>
        <v>0.43482189800210302</v>
      </c>
      <c r="AL87">
        <f t="shared" si="29"/>
        <v>7</v>
      </c>
      <c r="AM87">
        <f t="shared" si="30"/>
        <v>2024</v>
      </c>
      <c r="AN87" t="str">
        <f t="shared" si="31"/>
        <v>Clean</v>
      </c>
    </row>
    <row r="88" spans="1:40">
      <c r="A88" t="s">
        <v>532</v>
      </c>
      <c r="B88" s="3" t="s">
        <v>533</v>
      </c>
      <c r="C88" s="10">
        <v>45474</v>
      </c>
      <c r="D88" s="3" t="s">
        <v>533</v>
      </c>
      <c r="E88" s="10">
        <v>45474</v>
      </c>
      <c r="F88" s="6" t="str">
        <f t="shared" si="16"/>
        <v>Valid</v>
      </c>
      <c r="G88" s="8">
        <f t="shared" si="17"/>
        <v>0</v>
      </c>
      <c r="H88" s="8" t="str">
        <f t="shared" si="18"/>
        <v>Valid</v>
      </c>
      <c r="I88" t="s">
        <v>534</v>
      </c>
      <c r="J88" t="s">
        <v>71</v>
      </c>
      <c r="K88" t="s">
        <v>71</v>
      </c>
      <c r="L88" t="s">
        <v>40</v>
      </c>
      <c r="M88" s="3" t="str">
        <f t="shared" si="19"/>
        <v>Small Business</v>
      </c>
      <c r="N88" t="s">
        <v>26</v>
      </c>
      <c r="O88" s="3" t="str">
        <f t="shared" si="20"/>
        <v>North</v>
      </c>
      <c r="P88" t="s">
        <v>505</v>
      </c>
      <c r="Q88" t="s">
        <v>506</v>
      </c>
      <c r="R88" t="s">
        <v>85</v>
      </c>
      <c r="S88" s="3" t="str">
        <f t="shared" si="21"/>
        <v>Technology</v>
      </c>
      <c r="T88" t="s">
        <v>93</v>
      </c>
      <c r="U88" t="s">
        <v>535</v>
      </c>
      <c r="V88" t="s">
        <v>32</v>
      </c>
      <c r="W88" s="3" t="str">
        <f t="shared" si="22"/>
        <v>Second Class</v>
      </c>
      <c r="X88">
        <v>3</v>
      </c>
      <c r="Y88">
        <v>885.28</v>
      </c>
      <c r="Z88">
        <v>0.1</v>
      </c>
      <c r="AA88">
        <f t="shared" si="26"/>
        <v>0.1</v>
      </c>
      <c r="AB88">
        <f t="shared" si="27"/>
        <v>2390.2560000000003</v>
      </c>
      <c r="AC88">
        <v>2390.2600000000002</v>
      </c>
      <c r="AD88">
        <v>1495.94</v>
      </c>
      <c r="AE88">
        <v>894.32</v>
      </c>
      <c r="AF88" t="s">
        <v>123</v>
      </c>
      <c r="AG88" t="s">
        <v>77</v>
      </c>
      <c r="AH88" t="str">
        <f t="shared" si="23"/>
        <v>Cancelled</v>
      </c>
      <c r="AI88" t="str">
        <f t="shared" si="24"/>
        <v>Valid</v>
      </c>
      <c r="AJ88">
        <f t="shared" si="25"/>
        <v>894.32000000000016</v>
      </c>
      <c r="AK88" s="12">
        <f t="shared" si="28"/>
        <v>0.3741523920450362</v>
      </c>
      <c r="AL88">
        <f t="shared" si="29"/>
        <v>7</v>
      </c>
      <c r="AM88">
        <f t="shared" si="30"/>
        <v>2024</v>
      </c>
      <c r="AN88" t="str">
        <f t="shared" si="31"/>
        <v>Clean</v>
      </c>
    </row>
    <row r="89" spans="1:40">
      <c r="A89" t="s">
        <v>536</v>
      </c>
      <c r="B89" s="3" t="s">
        <v>537</v>
      </c>
      <c r="C89" s="10">
        <v>45506</v>
      </c>
      <c r="D89" s="3" t="s">
        <v>514</v>
      </c>
      <c r="E89" s="10">
        <v>45507</v>
      </c>
      <c r="F89" s="6" t="str">
        <f t="shared" si="16"/>
        <v>Valid</v>
      </c>
      <c r="G89" s="8">
        <f t="shared" si="17"/>
        <v>1</v>
      </c>
      <c r="H89" s="8" t="str">
        <f t="shared" si="18"/>
        <v>Valid</v>
      </c>
      <c r="I89" t="s">
        <v>538</v>
      </c>
      <c r="J89" t="s">
        <v>82</v>
      </c>
      <c r="K89" t="s">
        <v>82</v>
      </c>
      <c r="L89" t="s">
        <v>25</v>
      </c>
      <c r="M89" s="3" t="str">
        <f t="shared" si="19"/>
        <v>Consumer</v>
      </c>
      <c r="N89" t="s">
        <v>41</v>
      </c>
      <c r="O89" s="3" t="str">
        <f t="shared" si="20"/>
        <v>East</v>
      </c>
      <c r="P89" t="s">
        <v>215</v>
      </c>
      <c r="Q89" t="s">
        <v>216</v>
      </c>
      <c r="R89" t="s">
        <v>29</v>
      </c>
      <c r="S89" s="3" t="str">
        <f t="shared" si="21"/>
        <v>Office Supplies</v>
      </c>
      <c r="T89" t="s">
        <v>197</v>
      </c>
      <c r="U89" t="s">
        <v>539</v>
      </c>
      <c r="V89" t="s">
        <v>66</v>
      </c>
      <c r="W89" s="3" t="str">
        <f t="shared" si="22"/>
        <v>Standard Class</v>
      </c>
      <c r="X89">
        <v>7</v>
      </c>
      <c r="Y89">
        <v>3345.22</v>
      </c>
      <c r="Z89">
        <v>0</v>
      </c>
      <c r="AA89">
        <f t="shared" si="26"/>
        <v>0</v>
      </c>
      <c r="AB89">
        <f t="shared" si="27"/>
        <v>23416.539999999997</v>
      </c>
      <c r="AC89">
        <v>23416.54</v>
      </c>
      <c r="AD89">
        <v>15490.89</v>
      </c>
      <c r="AE89">
        <v>7925.65</v>
      </c>
      <c r="AF89" t="s">
        <v>33</v>
      </c>
      <c r="AG89" t="s">
        <v>34</v>
      </c>
      <c r="AH89" t="str">
        <f t="shared" si="23"/>
        <v>Completed</v>
      </c>
      <c r="AI89" t="str">
        <f t="shared" si="24"/>
        <v>Valid</v>
      </c>
      <c r="AJ89">
        <f t="shared" si="25"/>
        <v>7925.6500000000015</v>
      </c>
      <c r="AK89" s="12">
        <f t="shared" si="28"/>
        <v>0.33846375254414196</v>
      </c>
      <c r="AL89">
        <f t="shared" si="29"/>
        <v>8</v>
      </c>
      <c r="AM89">
        <f t="shared" si="30"/>
        <v>2024</v>
      </c>
      <c r="AN89" t="str">
        <f t="shared" si="31"/>
        <v>Clean</v>
      </c>
    </row>
    <row r="90" spans="1:40">
      <c r="A90" t="s">
        <v>540</v>
      </c>
      <c r="B90" s="3" t="s">
        <v>541</v>
      </c>
      <c r="C90" s="10">
        <v>45375</v>
      </c>
      <c r="D90" s="3" t="s">
        <v>542</v>
      </c>
      <c r="E90" s="10">
        <v>45378</v>
      </c>
      <c r="F90" s="6" t="str">
        <f t="shared" si="16"/>
        <v>Valid</v>
      </c>
      <c r="G90" s="8">
        <f t="shared" si="17"/>
        <v>3</v>
      </c>
      <c r="H90" s="8" t="str">
        <f t="shared" si="18"/>
        <v>Valid</v>
      </c>
      <c r="I90" t="s">
        <v>543</v>
      </c>
      <c r="J90" t="s">
        <v>179</v>
      </c>
      <c r="K90" t="s">
        <v>179</v>
      </c>
      <c r="L90" t="s">
        <v>40</v>
      </c>
      <c r="M90" s="3" t="str">
        <f t="shared" si="19"/>
        <v>Small Business</v>
      </c>
      <c r="N90" t="s">
        <v>72</v>
      </c>
      <c r="O90" s="3" t="str">
        <f t="shared" si="20"/>
        <v>West</v>
      </c>
      <c r="P90" t="s">
        <v>73</v>
      </c>
      <c r="Q90" t="s">
        <v>74</v>
      </c>
      <c r="R90" t="s">
        <v>44</v>
      </c>
      <c r="S90" s="3" t="str">
        <f t="shared" si="21"/>
        <v>Furniture</v>
      </c>
      <c r="T90" t="s">
        <v>203</v>
      </c>
      <c r="U90" t="s">
        <v>544</v>
      </c>
      <c r="V90" t="s">
        <v>66</v>
      </c>
      <c r="W90" s="3" t="str">
        <f t="shared" si="22"/>
        <v>Standard Class</v>
      </c>
      <c r="X90">
        <v>2</v>
      </c>
      <c r="Y90">
        <v>3284.75</v>
      </c>
      <c r="Z90">
        <v>0.05</v>
      </c>
      <c r="AA90">
        <f t="shared" si="26"/>
        <v>0.05</v>
      </c>
      <c r="AB90">
        <f t="shared" si="27"/>
        <v>6241.0249999999996</v>
      </c>
      <c r="AC90">
        <v>6241.02</v>
      </c>
      <c r="AD90">
        <v>5345.88</v>
      </c>
      <c r="AE90">
        <v>895.14</v>
      </c>
      <c r="AF90" t="s">
        <v>33</v>
      </c>
      <c r="AG90" t="s">
        <v>34</v>
      </c>
      <c r="AH90" t="str">
        <f t="shared" si="23"/>
        <v>Completed</v>
      </c>
      <c r="AI90" t="str">
        <f t="shared" si="24"/>
        <v>Valid</v>
      </c>
      <c r="AJ90">
        <f t="shared" si="25"/>
        <v>895.14000000000033</v>
      </c>
      <c r="AK90" s="12">
        <f t="shared" si="28"/>
        <v>0.14342836312945395</v>
      </c>
      <c r="AL90">
        <f t="shared" si="29"/>
        <v>3</v>
      </c>
      <c r="AM90">
        <f t="shared" si="30"/>
        <v>2024</v>
      </c>
      <c r="AN90" t="str">
        <f t="shared" si="31"/>
        <v>Clean</v>
      </c>
    </row>
    <row r="91" spans="1:40">
      <c r="A91" t="s">
        <v>545</v>
      </c>
      <c r="B91" s="3" t="s">
        <v>37</v>
      </c>
      <c r="C91" s="10">
        <v>45540</v>
      </c>
      <c r="D91" s="3" t="s">
        <v>37</v>
      </c>
      <c r="E91" s="10">
        <v>45540</v>
      </c>
      <c r="F91" s="6" t="str">
        <f t="shared" si="16"/>
        <v>Valid</v>
      </c>
      <c r="G91" s="8">
        <f t="shared" si="17"/>
        <v>0</v>
      </c>
      <c r="H91" s="8" t="str">
        <f t="shared" si="18"/>
        <v>Valid</v>
      </c>
      <c r="I91" t="s">
        <v>546</v>
      </c>
      <c r="J91" t="s">
        <v>365</v>
      </c>
      <c r="K91" t="s">
        <v>365</v>
      </c>
      <c r="L91" t="s">
        <v>25</v>
      </c>
      <c r="M91" s="3" t="str">
        <f t="shared" si="19"/>
        <v>Consumer</v>
      </c>
      <c r="N91" t="s">
        <v>61</v>
      </c>
      <c r="O91" s="3" t="str">
        <f t="shared" si="20"/>
        <v>South</v>
      </c>
      <c r="P91" t="s">
        <v>99</v>
      </c>
      <c r="Q91" t="s">
        <v>100</v>
      </c>
      <c r="R91" t="s">
        <v>44</v>
      </c>
      <c r="S91" s="3" t="str">
        <f t="shared" si="21"/>
        <v>Furniture</v>
      </c>
      <c r="T91" t="s">
        <v>203</v>
      </c>
      <c r="U91" t="s">
        <v>547</v>
      </c>
      <c r="V91" t="s">
        <v>66</v>
      </c>
      <c r="W91" s="3" t="str">
        <f t="shared" si="22"/>
        <v>Standard Class</v>
      </c>
      <c r="X91">
        <v>7</v>
      </c>
      <c r="Y91">
        <v>3761.09</v>
      </c>
      <c r="Z91">
        <v>0.2</v>
      </c>
      <c r="AA91">
        <f t="shared" si="26"/>
        <v>0.2</v>
      </c>
      <c r="AB91">
        <f t="shared" si="27"/>
        <v>21062.104000000003</v>
      </c>
      <c r="AC91">
        <v>21062.1</v>
      </c>
      <c r="AD91">
        <v>12057.13</v>
      </c>
      <c r="AE91">
        <v>9004.9699999999993</v>
      </c>
      <c r="AF91" t="s">
        <v>136</v>
      </c>
      <c r="AG91" t="s">
        <v>77</v>
      </c>
      <c r="AH91" t="str">
        <f t="shared" si="23"/>
        <v>Cancelled</v>
      </c>
      <c r="AI91" t="str">
        <f t="shared" si="24"/>
        <v>Valid</v>
      </c>
      <c r="AJ91">
        <f t="shared" si="25"/>
        <v>9004.9699999999993</v>
      </c>
      <c r="AK91" s="12">
        <f t="shared" si="28"/>
        <v>0.42754370598492902</v>
      </c>
      <c r="AL91">
        <f t="shared" si="29"/>
        <v>9</v>
      </c>
      <c r="AM91">
        <f t="shared" si="30"/>
        <v>2024</v>
      </c>
      <c r="AN91" t="str">
        <f t="shared" si="31"/>
        <v>Clean</v>
      </c>
    </row>
    <row r="92" spans="1:40">
      <c r="A92" t="s">
        <v>548</v>
      </c>
      <c r="B92" s="3" t="s">
        <v>549</v>
      </c>
      <c r="C92" s="10">
        <v>45893</v>
      </c>
      <c r="D92" s="3" t="s">
        <v>68</v>
      </c>
      <c r="E92" s="10">
        <v>45898</v>
      </c>
      <c r="F92" s="6" t="str">
        <f t="shared" si="16"/>
        <v>Valid</v>
      </c>
      <c r="G92" s="8">
        <f t="shared" si="17"/>
        <v>5</v>
      </c>
      <c r="H92" s="8" t="str">
        <f t="shared" si="18"/>
        <v>Valid</v>
      </c>
      <c r="I92" t="s">
        <v>550</v>
      </c>
      <c r="J92" t="s">
        <v>161</v>
      </c>
      <c r="K92" t="s">
        <v>161</v>
      </c>
      <c r="L92" t="s">
        <v>40</v>
      </c>
      <c r="M92" s="3" t="str">
        <f t="shared" si="19"/>
        <v>Small Business</v>
      </c>
      <c r="N92" t="s">
        <v>41</v>
      </c>
      <c r="O92" s="3" t="str">
        <f t="shared" si="20"/>
        <v>East</v>
      </c>
      <c r="P92" t="s">
        <v>185</v>
      </c>
      <c r="Q92" t="s">
        <v>186</v>
      </c>
      <c r="R92" t="s">
        <v>85</v>
      </c>
      <c r="S92" s="3" t="str">
        <f t="shared" si="21"/>
        <v>Technology</v>
      </c>
      <c r="T92" t="s">
        <v>93</v>
      </c>
      <c r="U92" t="s">
        <v>551</v>
      </c>
      <c r="V92" t="s">
        <v>55</v>
      </c>
      <c r="W92" s="3" t="str">
        <f t="shared" si="22"/>
        <v>First Class</v>
      </c>
      <c r="X92">
        <v>3</v>
      </c>
      <c r="Y92">
        <v>3703.96</v>
      </c>
      <c r="Z92">
        <v>0.15</v>
      </c>
      <c r="AA92">
        <f t="shared" si="26"/>
        <v>0.15</v>
      </c>
      <c r="AB92">
        <f t="shared" si="27"/>
        <v>9445.098</v>
      </c>
      <c r="AC92">
        <v>9445.1</v>
      </c>
      <c r="AD92">
        <v>5586.28</v>
      </c>
      <c r="AE92">
        <v>3858.82</v>
      </c>
      <c r="AF92" t="s">
        <v>33</v>
      </c>
      <c r="AG92" t="s">
        <v>34</v>
      </c>
      <c r="AH92" t="str">
        <f t="shared" si="23"/>
        <v>Completed</v>
      </c>
      <c r="AI92" t="str">
        <f t="shared" si="24"/>
        <v>Valid</v>
      </c>
      <c r="AJ92">
        <f t="shared" si="25"/>
        <v>3858.8200000000006</v>
      </c>
      <c r="AK92" s="12">
        <f t="shared" si="28"/>
        <v>0.40855266933175288</v>
      </c>
      <c r="AL92">
        <f t="shared" si="29"/>
        <v>8</v>
      </c>
      <c r="AM92">
        <f t="shared" si="30"/>
        <v>2025</v>
      </c>
      <c r="AN92" t="str">
        <f t="shared" si="31"/>
        <v>Clean</v>
      </c>
    </row>
    <row r="93" spans="1:40">
      <c r="A93" t="s">
        <v>552</v>
      </c>
      <c r="B93" s="3" t="s">
        <v>553</v>
      </c>
      <c r="C93" s="10">
        <v>45718</v>
      </c>
      <c r="D93" s="3" t="s">
        <v>554</v>
      </c>
      <c r="E93" s="10">
        <v>45724</v>
      </c>
      <c r="F93" s="6" t="str">
        <f t="shared" si="16"/>
        <v>Valid</v>
      </c>
      <c r="G93" s="8">
        <f t="shared" si="17"/>
        <v>6</v>
      </c>
      <c r="H93" s="8" t="str">
        <f t="shared" si="18"/>
        <v>Valid</v>
      </c>
      <c r="I93" t="s">
        <v>555</v>
      </c>
      <c r="J93" t="s">
        <v>167</v>
      </c>
      <c r="K93" t="s">
        <v>167</v>
      </c>
      <c r="L93" t="s">
        <v>107</v>
      </c>
      <c r="M93" s="3" t="str">
        <f t="shared" si="19"/>
        <v>Corporate</v>
      </c>
      <c r="N93" t="s">
        <v>72</v>
      </c>
      <c r="O93" s="3" t="str">
        <f t="shared" si="20"/>
        <v>West</v>
      </c>
      <c r="P93" t="s">
        <v>83</v>
      </c>
      <c r="Q93" t="s">
        <v>84</v>
      </c>
      <c r="R93" t="s">
        <v>85</v>
      </c>
      <c r="S93" s="3" t="str">
        <f t="shared" si="21"/>
        <v>Technology</v>
      </c>
      <c r="T93" t="s">
        <v>93</v>
      </c>
      <c r="U93" t="s">
        <v>556</v>
      </c>
      <c r="V93" t="s">
        <v>32</v>
      </c>
      <c r="W93" s="3" t="str">
        <f t="shared" si="22"/>
        <v>Second Class</v>
      </c>
      <c r="X93">
        <v>9</v>
      </c>
      <c r="Y93">
        <v>269.68</v>
      </c>
      <c r="Z93">
        <v>0</v>
      </c>
      <c r="AA93">
        <f t="shared" si="26"/>
        <v>0</v>
      </c>
      <c r="AB93">
        <f t="shared" si="27"/>
        <v>2427.12</v>
      </c>
      <c r="AC93">
        <v>2427.12</v>
      </c>
      <c r="AD93">
        <v>1538.35</v>
      </c>
      <c r="AE93">
        <v>804.53</v>
      </c>
      <c r="AF93" t="s">
        <v>33</v>
      </c>
      <c r="AG93" t="s">
        <v>34</v>
      </c>
      <c r="AH93" t="str">
        <f t="shared" si="23"/>
        <v>Completed</v>
      </c>
      <c r="AI93" t="str">
        <f t="shared" si="24"/>
        <v>Valid</v>
      </c>
      <c r="AJ93">
        <f t="shared" si="25"/>
        <v>888.77</v>
      </c>
      <c r="AK93" s="12">
        <f t="shared" si="28"/>
        <v>0.36618296581957216</v>
      </c>
      <c r="AL93">
        <f t="shared" si="29"/>
        <v>3</v>
      </c>
      <c r="AM93">
        <f t="shared" si="30"/>
        <v>2025</v>
      </c>
      <c r="AN93" t="str">
        <f t="shared" si="31"/>
        <v>Clean</v>
      </c>
    </row>
    <row r="94" spans="1:40">
      <c r="A94" t="s">
        <v>557</v>
      </c>
      <c r="B94" s="3" t="s">
        <v>183</v>
      </c>
      <c r="C94" s="10">
        <v>45680</v>
      </c>
      <c r="D94" s="3" t="s">
        <v>558</v>
      </c>
      <c r="E94" s="10">
        <v>45683</v>
      </c>
      <c r="F94" s="6" t="str">
        <f t="shared" si="16"/>
        <v>Valid</v>
      </c>
      <c r="G94" s="8">
        <f t="shared" si="17"/>
        <v>3</v>
      </c>
      <c r="H94" s="8" t="str">
        <f t="shared" si="18"/>
        <v>Valid</v>
      </c>
      <c r="I94" t="s">
        <v>559</v>
      </c>
      <c r="J94" t="s">
        <v>161</v>
      </c>
      <c r="K94" t="s">
        <v>161</v>
      </c>
      <c r="L94" t="s">
        <v>25</v>
      </c>
      <c r="M94" s="3" t="str">
        <f t="shared" si="19"/>
        <v>Consumer</v>
      </c>
      <c r="N94" t="s">
        <v>72</v>
      </c>
      <c r="O94" s="3" t="str">
        <f t="shared" si="20"/>
        <v>West</v>
      </c>
      <c r="P94" t="s">
        <v>83</v>
      </c>
      <c r="Q94" t="s">
        <v>84</v>
      </c>
      <c r="R94" t="s">
        <v>29</v>
      </c>
      <c r="S94" s="3" t="str">
        <f t="shared" si="21"/>
        <v>Office Supplies</v>
      </c>
      <c r="T94" t="s">
        <v>30</v>
      </c>
      <c r="U94" t="s">
        <v>560</v>
      </c>
      <c r="V94" t="s">
        <v>66</v>
      </c>
      <c r="W94" s="3" t="str">
        <f t="shared" si="22"/>
        <v>Standard Class</v>
      </c>
      <c r="X94">
        <v>9</v>
      </c>
      <c r="Y94">
        <v>4458.26</v>
      </c>
      <c r="Z94">
        <v>0.1</v>
      </c>
      <c r="AA94">
        <f t="shared" si="26"/>
        <v>0.1</v>
      </c>
      <c r="AB94">
        <f t="shared" si="27"/>
        <v>36111.906000000003</v>
      </c>
      <c r="AC94">
        <v>36111.910000000003</v>
      </c>
      <c r="AD94">
        <v>29194.5</v>
      </c>
      <c r="AE94">
        <v>6917.41</v>
      </c>
      <c r="AF94" t="s">
        <v>33</v>
      </c>
      <c r="AG94" t="s">
        <v>34</v>
      </c>
      <c r="AH94" t="str">
        <f t="shared" si="23"/>
        <v>Completed</v>
      </c>
      <c r="AI94" t="str">
        <f t="shared" si="24"/>
        <v>Valid</v>
      </c>
      <c r="AJ94">
        <f t="shared" si="25"/>
        <v>6917.4100000000035</v>
      </c>
      <c r="AK94" s="12">
        <f t="shared" si="28"/>
        <v>0.19155482958999737</v>
      </c>
      <c r="AL94">
        <f t="shared" si="29"/>
        <v>1</v>
      </c>
      <c r="AM94">
        <f t="shared" si="30"/>
        <v>2025</v>
      </c>
      <c r="AN94" t="str">
        <f t="shared" si="31"/>
        <v>Clean</v>
      </c>
    </row>
    <row r="95" spans="1:40">
      <c r="A95" t="s">
        <v>561</v>
      </c>
      <c r="B95" s="3" t="s">
        <v>164</v>
      </c>
      <c r="C95" s="10">
        <v>45298</v>
      </c>
      <c r="D95" s="3" t="s">
        <v>562</v>
      </c>
      <c r="E95" s="10">
        <v>45304</v>
      </c>
      <c r="F95" s="6" t="str">
        <f t="shared" si="16"/>
        <v>Valid</v>
      </c>
      <c r="G95" s="8">
        <f t="shared" si="17"/>
        <v>6</v>
      </c>
      <c r="H95" s="8" t="str">
        <f t="shared" si="18"/>
        <v>Valid</v>
      </c>
      <c r="I95" t="s">
        <v>563</v>
      </c>
      <c r="J95" t="s">
        <v>179</v>
      </c>
      <c r="K95" t="s">
        <v>179</v>
      </c>
      <c r="L95" t="s">
        <v>107</v>
      </c>
      <c r="M95" s="3" t="str">
        <f t="shared" si="19"/>
        <v>Corporate</v>
      </c>
      <c r="N95" t="s">
        <v>26</v>
      </c>
      <c r="O95" s="3" t="str">
        <f t="shared" si="20"/>
        <v>North</v>
      </c>
      <c r="P95" t="s">
        <v>173</v>
      </c>
      <c r="Q95" t="s">
        <v>174</v>
      </c>
      <c r="R95" t="s">
        <v>29</v>
      </c>
      <c r="S95" s="3" t="str">
        <f t="shared" si="21"/>
        <v>Office Supplies</v>
      </c>
      <c r="T95" t="s">
        <v>197</v>
      </c>
      <c r="U95" t="s">
        <v>564</v>
      </c>
      <c r="V95" t="s">
        <v>66</v>
      </c>
      <c r="W95" s="3" t="str">
        <f t="shared" si="22"/>
        <v>Standard Class</v>
      </c>
      <c r="X95">
        <v>7</v>
      </c>
      <c r="Y95">
        <v>2788.97</v>
      </c>
      <c r="Z95">
        <v>-0.09</v>
      </c>
      <c r="AA95">
        <f t="shared" si="26"/>
        <v>-0.09</v>
      </c>
      <c r="AB95">
        <f t="shared" si="27"/>
        <v>21279.841099999998</v>
      </c>
      <c r="AC95">
        <v>19522.79</v>
      </c>
      <c r="AD95">
        <v>12455.78</v>
      </c>
      <c r="AE95">
        <v>7067.01</v>
      </c>
      <c r="AF95" t="s">
        <v>33</v>
      </c>
      <c r="AG95" t="s">
        <v>34</v>
      </c>
      <c r="AH95" t="str">
        <f t="shared" si="23"/>
        <v>Completed</v>
      </c>
      <c r="AI95" t="str">
        <f t="shared" si="24"/>
        <v>Invalid - Negative Discount</v>
      </c>
      <c r="AJ95">
        <f t="shared" si="25"/>
        <v>7067.01</v>
      </c>
      <c r="AK95" s="12">
        <f t="shared" si="28"/>
        <v>0.3320988144032711</v>
      </c>
      <c r="AL95">
        <f t="shared" si="29"/>
        <v>1</v>
      </c>
      <c r="AM95">
        <f t="shared" si="30"/>
        <v>2024</v>
      </c>
      <c r="AN95" t="str">
        <f t="shared" si="31"/>
        <v>Clean</v>
      </c>
    </row>
    <row r="96" spans="1:40">
      <c r="A96" t="s">
        <v>565</v>
      </c>
      <c r="B96" s="3" t="s">
        <v>566</v>
      </c>
      <c r="C96" s="10">
        <v>45541</v>
      </c>
      <c r="D96" s="3" t="s">
        <v>567</v>
      </c>
      <c r="E96" s="10">
        <v>45544</v>
      </c>
      <c r="F96" s="6" t="str">
        <f t="shared" si="16"/>
        <v>Valid</v>
      </c>
      <c r="G96" s="8">
        <f t="shared" si="17"/>
        <v>3</v>
      </c>
      <c r="H96" s="8" t="str">
        <f t="shared" si="18"/>
        <v>Valid</v>
      </c>
      <c r="I96" t="s">
        <v>568</v>
      </c>
      <c r="J96" t="s">
        <v>209</v>
      </c>
      <c r="K96" t="s">
        <v>209</v>
      </c>
      <c r="L96" t="s">
        <v>25</v>
      </c>
      <c r="M96" s="3" t="str">
        <f t="shared" si="19"/>
        <v>Consumer</v>
      </c>
      <c r="N96" t="s">
        <v>26</v>
      </c>
      <c r="O96" s="3" t="str">
        <f t="shared" si="20"/>
        <v>North</v>
      </c>
      <c r="P96" t="s">
        <v>322</v>
      </c>
      <c r="Q96" t="s">
        <v>323</v>
      </c>
      <c r="R96" t="s">
        <v>85</v>
      </c>
      <c r="S96" s="3" t="str">
        <f t="shared" si="21"/>
        <v>Technology</v>
      </c>
      <c r="T96" t="s">
        <v>222</v>
      </c>
      <c r="U96" t="s">
        <v>569</v>
      </c>
      <c r="V96" t="s">
        <v>32</v>
      </c>
      <c r="W96" s="3" t="str">
        <f t="shared" si="22"/>
        <v>Second Class</v>
      </c>
      <c r="X96">
        <v>7</v>
      </c>
      <c r="Y96">
        <v>3781.53</v>
      </c>
      <c r="Z96">
        <v>0</v>
      </c>
      <c r="AA96">
        <f t="shared" si="26"/>
        <v>0</v>
      </c>
      <c r="AB96">
        <f t="shared" si="27"/>
        <v>26470.710000000003</v>
      </c>
      <c r="AC96">
        <v>26470.71</v>
      </c>
      <c r="AD96">
        <v>21367.599999999999</v>
      </c>
      <c r="AE96">
        <v>5103.1099999999997</v>
      </c>
      <c r="AF96" t="s">
        <v>136</v>
      </c>
      <c r="AG96" t="s">
        <v>77</v>
      </c>
      <c r="AH96" t="str">
        <f t="shared" si="23"/>
        <v>Cancelled</v>
      </c>
      <c r="AI96" t="str">
        <f t="shared" si="24"/>
        <v>Valid</v>
      </c>
      <c r="AJ96">
        <f t="shared" si="25"/>
        <v>5103.1100000000006</v>
      </c>
      <c r="AK96" s="12">
        <f t="shared" si="28"/>
        <v>0.1927832687525193</v>
      </c>
      <c r="AL96">
        <f t="shared" si="29"/>
        <v>9</v>
      </c>
      <c r="AM96">
        <f t="shared" si="30"/>
        <v>2024</v>
      </c>
      <c r="AN96" t="str">
        <f t="shared" si="31"/>
        <v>Clean</v>
      </c>
    </row>
    <row r="97" spans="1:40">
      <c r="A97" t="s">
        <v>570</v>
      </c>
      <c r="B97" s="3" t="s">
        <v>571</v>
      </c>
      <c r="C97" s="10">
        <v>45905</v>
      </c>
      <c r="D97" s="3" t="s">
        <v>572</v>
      </c>
      <c r="E97" s="10">
        <v>45910</v>
      </c>
      <c r="F97" s="6" t="str">
        <f t="shared" si="16"/>
        <v>Valid</v>
      </c>
      <c r="G97" s="8">
        <f t="shared" si="17"/>
        <v>5</v>
      </c>
      <c r="H97" s="8" t="str">
        <f t="shared" si="18"/>
        <v>Valid</v>
      </c>
      <c r="I97" t="s">
        <v>573</v>
      </c>
      <c r="J97" t="s">
        <v>167</v>
      </c>
      <c r="K97" t="s">
        <v>167</v>
      </c>
      <c r="L97" t="s">
        <v>107</v>
      </c>
      <c r="M97" s="3" t="str">
        <f t="shared" si="19"/>
        <v>Corporate</v>
      </c>
      <c r="N97" t="s">
        <v>72</v>
      </c>
      <c r="O97" s="3" t="str">
        <f t="shared" si="20"/>
        <v>West</v>
      </c>
      <c r="P97" t="s">
        <v>248</v>
      </c>
      <c r="Q97" t="s">
        <v>249</v>
      </c>
      <c r="R97" t="s">
        <v>44</v>
      </c>
      <c r="S97" s="3" t="str">
        <f t="shared" si="21"/>
        <v>Furniture</v>
      </c>
      <c r="T97" t="s">
        <v>203</v>
      </c>
      <c r="U97" t="s">
        <v>574</v>
      </c>
      <c r="V97" t="s">
        <v>47</v>
      </c>
      <c r="W97" s="3" t="str">
        <f t="shared" si="22"/>
        <v>Same Day</v>
      </c>
      <c r="X97">
        <v>6</v>
      </c>
      <c r="Y97">
        <v>1754.13</v>
      </c>
      <c r="Z97">
        <v>0</v>
      </c>
      <c r="AA97">
        <f t="shared" si="26"/>
        <v>0</v>
      </c>
      <c r="AB97">
        <f t="shared" si="27"/>
        <v>10524.78</v>
      </c>
      <c r="AC97">
        <v>10524.78</v>
      </c>
      <c r="AD97">
        <v>8841.0499999999993</v>
      </c>
      <c r="AE97">
        <v>1683.73</v>
      </c>
      <c r="AF97" t="s">
        <v>33</v>
      </c>
      <c r="AG97" t="s">
        <v>34</v>
      </c>
      <c r="AH97" t="str">
        <f t="shared" si="23"/>
        <v>Completed</v>
      </c>
      <c r="AI97" t="str">
        <f t="shared" si="24"/>
        <v>Valid</v>
      </c>
      <c r="AJ97">
        <f t="shared" si="25"/>
        <v>1683.7300000000014</v>
      </c>
      <c r="AK97" s="12">
        <f t="shared" si="28"/>
        <v>0.15997769074507984</v>
      </c>
      <c r="AL97">
        <f t="shared" si="29"/>
        <v>9</v>
      </c>
      <c r="AM97">
        <f t="shared" si="30"/>
        <v>2025</v>
      </c>
      <c r="AN97" t="str">
        <f t="shared" si="31"/>
        <v>Clean</v>
      </c>
    </row>
    <row r="98" spans="1:40">
      <c r="A98" t="s">
        <v>575</v>
      </c>
      <c r="B98" s="3" t="s">
        <v>576</v>
      </c>
      <c r="C98" s="10">
        <v>45448</v>
      </c>
      <c r="D98" s="3" t="s">
        <v>577</v>
      </c>
      <c r="E98" s="10">
        <v>45450</v>
      </c>
      <c r="F98" s="6" t="str">
        <f t="shared" si="16"/>
        <v>Valid</v>
      </c>
      <c r="G98" s="8">
        <f t="shared" si="17"/>
        <v>2</v>
      </c>
      <c r="H98" s="8" t="str">
        <f t="shared" si="18"/>
        <v>Valid</v>
      </c>
      <c r="I98" t="s">
        <v>578</v>
      </c>
      <c r="J98" t="s">
        <v>147</v>
      </c>
      <c r="K98" t="s">
        <v>147</v>
      </c>
      <c r="L98" t="s">
        <v>114</v>
      </c>
      <c r="M98" s="3" t="str">
        <f t="shared" si="19"/>
        <v>Home Office</v>
      </c>
      <c r="N98" t="s">
        <v>41</v>
      </c>
      <c r="O98" s="3" t="str">
        <f t="shared" si="20"/>
        <v>East</v>
      </c>
      <c r="P98" t="s">
        <v>42</v>
      </c>
      <c r="Q98" t="s">
        <v>43</v>
      </c>
      <c r="R98" t="s">
        <v>85</v>
      </c>
      <c r="S98" s="3" t="str">
        <f t="shared" si="21"/>
        <v>Technology</v>
      </c>
      <c r="T98" t="s">
        <v>93</v>
      </c>
      <c r="U98" t="s">
        <v>579</v>
      </c>
      <c r="V98" t="s">
        <v>32</v>
      </c>
      <c r="W98" s="3" t="str">
        <f t="shared" si="22"/>
        <v>Second Class</v>
      </c>
      <c r="X98">
        <v>2</v>
      </c>
      <c r="Y98">
        <v>2259.2399999999998</v>
      </c>
      <c r="Z98">
        <v>0.15</v>
      </c>
      <c r="AA98">
        <f t="shared" si="26"/>
        <v>0.15</v>
      </c>
      <c r="AB98">
        <f t="shared" si="27"/>
        <v>3840.7079999999996</v>
      </c>
      <c r="AC98">
        <v>3840.71</v>
      </c>
      <c r="AD98">
        <v>2516.29</v>
      </c>
      <c r="AE98">
        <v>1324.42</v>
      </c>
      <c r="AF98" t="s">
        <v>33</v>
      </c>
      <c r="AG98" t="s">
        <v>34</v>
      </c>
      <c r="AH98" t="str">
        <f t="shared" si="23"/>
        <v>Completed</v>
      </c>
      <c r="AI98" t="str">
        <f t="shared" si="24"/>
        <v>Valid</v>
      </c>
      <c r="AJ98">
        <f t="shared" si="25"/>
        <v>1324.42</v>
      </c>
      <c r="AK98" s="12">
        <f t="shared" si="28"/>
        <v>0.34483746225956263</v>
      </c>
      <c r="AL98">
        <f t="shared" si="29"/>
        <v>6</v>
      </c>
      <c r="AM98">
        <f t="shared" si="30"/>
        <v>2024</v>
      </c>
      <c r="AN98" t="str">
        <f t="shared" si="31"/>
        <v>Clean</v>
      </c>
    </row>
    <row r="99" spans="1:40">
      <c r="A99" t="s">
        <v>580</v>
      </c>
      <c r="B99" s="3" t="s">
        <v>581</v>
      </c>
      <c r="C99" s="10">
        <v>45877</v>
      </c>
      <c r="D99" s="3" t="s">
        <v>582</v>
      </c>
      <c r="E99" s="10">
        <v>45880</v>
      </c>
      <c r="F99" s="6" t="str">
        <f t="shared" si="16"/>
        <v>Valid</v>
      </c>
      <c r="G99" s="8">
        <f t="shared" si="17"/>
        <v>3</v>
      </c>
      <c r="H99" s="8" t="str">
        <f t="shared" si="18"/>
        <v>Valid</v>
      </c>
      <c r="I99" t="s">
        <v>583</v>
      </c>
      <c r="J99" t="s">
        <v>209</v>
      </c>
      <c r="K99" t="s">
        <v>209</v>
      </c>
      <c r="L99" t="s">
        <v>40</v>
      </c>
      <c r="M99" s="3" t="str">
        <f t="shared" si="19"/>
        <v>Small Business</v>
      </c>
      <c r="N99" t="s">
        <v>72</v>
      </c>
      <c r="O99" s="3" t="str">
        <f t="shared" si="20"/>
        <v>West</v>
      </c>
      <c r="P99" t="s">
        <v>234</v>
      </c>
      <c r="Q99" t="s">
        <v>235</v>
      </c>
      <c r="R99" t="s">
        <v>29</v>
      </c>
      <c r="S99" s="3" t="str">
        <f t="shared" si="21"/>
        <v>Office Supplies</v>
      </c>
      <c r="T99" t="s">
        <v>155</v>
      </c>
      <c r="U99" t="s">
        <v>584</v>
      </c>
      <c r="V99" t="s">
        <v>47</v>
      </c>
      <c r="W99" s="3" t="str">
        <f t="shared" si="22"/>
        <v>Same Day</v>
      </c>
      <c r="X99">
        <v>5</v>
      </c>
      <c r="Y99">
        <v>3602.36</v>
      </c>
      <c r="Z99">
        <v>0.2</v>
      </c>
      <c r="AA99">
        <f t="shared" si="26"/>
        <v>0.2</v>
      </c>
      <c r="AB99">
        <f t="shared" si="27"/>
        <v>14409.44</v>
      </c>
      <c r="AC99">
        <v>14409.44</v>
      </c>
      <c r="AD99">
        <v>8809.9699999999993</v>
      </c>
      <c r="AE99">
        <v>5599.47</v>
      </c>
      <c r="AF99" t="s">
        <v>136</v>
      </c>
      <c r="AG99" t="s">
        <v>124</v>
      </c>
      <c r="AH99" t="str">
        <f t="shared" si="23"/>
        <v>Returned</v>
      </c>
      <c r="AI99" t="str">
        <f t="shared" si="24"/>
        <v>Valid</v>
      </c>
      <c r="AJ99">
        <f t="shared" si="25"/>
        <v>5599.4700000000012</v>
      </c>
      <c r="AK99" s="12">
        <f t="shared" si="28"/>
        <v>0.38859733619071951</v>
      </c>
      <c r="AL99">
        <f t="shared" si="29"/>
        <v>8</v>
      </c>
      <c r="AM99">
        <f t="shared" si="30"/>
        <v>2025</v>
      </c>
      <c r="AN99" t="str">
        <f t="shared" si="31"/>
        <v>Clean</v>
      </c>
    </row>
    <row r="100" spans="1:40">
      <c r="A100" t="s">
        <v>585</v>
      </c>
      <c r="B100" s="3" t="s">
        <v>586</v>
      </c>
      <c r="C100" s="10">
        <v>45317</v>
      </c>
      <c r="D100" s="3" t="s">
        <v>587</v>
      </c>
      <c r="E100" s="10">
        <v>45323</v>
      </c>
      <c r="F100" s="6" t="str">
        <f t="shared" si="16"/>
        <v>Valid</v>
      </c>
      <c r="G100" s="8">
        <f t="shared" si="17"/>
        <v>6</v>
      </c>
      <c r="H100" s="8" t="str">
        <f t="shared" si="18"/>
        <v>Valid</v>
      </c>
      <c r="I100" t="s">
        <v>588</v>
      </c>
      <c r="J100" t="s">
        <v>179</v>
      </c>
      <c r="K100" t="s">
        <v>179</v>
      </c>
      <c r="L100" t="s">
        <v>114</v>
      </c>
      <c r="M100" s="3" t="str">
        <f t="shared" si="19"/>
        <v>Home Office</v>
      </c>
      <c r="N100" t="s">
        <v>61</v>
      </c>
      <c r="O100" s="3" t="str">
        <f t="shared" si="20"/>
        <v>South</v>
      </c>
      <c r="P100" t="s">
        <v>241</v>
      </c>
      <c r="Q100" t="s">
        <v>242</v>
      </c>
      <c r="R100" t="s">
        <v>85</v>
      </c>
      <c r="S100" s="3" t="str">
        <f t="shared" si="21"/>
        <v>Technology</v>
      </c>
      <c r="T100" t="s">
        <v>93</v>
      </c>
      <c r="U100" t="s">
        <v>589</v>
      </c>
      <c r="W100" s="3" t="str">
        <f t="shared" si="22"/>
        <v>Unknown</v>
      </c>
      <c r="X100">
        <v>8</v>
      </c>
      <c r="Y100">
        <v>2108.9299999999998</v>
      </c>
      <c r="Z100">
        <v>0.1</v>
      </c>
      <c r="AA100">
        <f t="shared" si="26"/>
        <v>0.1</v>
      </c>
      <c r="AB100">
        <f t="shared" si="27"/>
        <v>15184.295999999998</v>
      </c>
      <c r="AC100">
        <v>15184.3</v>
      </c>
      <c r="AD100">
        <v>11270.74</v>
      </c>
      <c r="AE100">
        <v>3913.56</v>
      </c>
      <c r="AF100" t="s">
        <v>33</v>
      </c>
      <c r="AG100" t="s">
        <v>34</v>
      </c>
      <c r="AH100" t="str">
        <f t="shared" si="23"/>
        <v>Completed</v>
      </c>
      <c r="AI100" t="str">
        <f t="shared" si="24"/>
        <v>Valid</v>
      </c>
      <c r="AJ100">
        <f t="shared" si="25"/>
        <v>3913.5599999999995</v>
      </c>
      <c r="AK100" s="12">
        <f t="shared" si="28"/>
        <v>0.25773733599503063</v>
      </c>
      <c r="AL100">
        <f t="shared" si="29"/>
        <v>1</v>
      </c>
      <c r="AM100">
        <f t="shared" si="30"/>
        <v>2024</v>
      </c>
      <c r="AN100" t="str">
        <f t="shared" si="31"/>
        <v>Clean</v>
      </c>
    </row>
    <row r="101" spans="1:40">
      <c r="A101" t="s">
        <v>590</v>
      </c>
      <c r="B101" s="3" t="s">
        <v>591</v>
      </c>
      <c r="C101" s="10">
        <v>45668</v>
      </c>
      <c r="D101" s="3" t="s">
        <v>591</v>
      </c>
      <c r="E101" s="10">
        <v>45668</v>
      </c>
      <c r="F101" s="6" t="str">
        <f t="shared" si="16"/>
        <v>Valid</v>
      </c>
      <c r="G101" s="8">
        <f t="shared" si="17"/>
        <v>0</v>
      </c>
      <c r="H101" s="8" t="str">
        <f t="shared" si="18"/>
        <v>Valid</v>
      </c>
      <c r="I101" t="s">
        <v>592</v>
      </c>
      <c r="J101" t="s">
        <v>106</v>
      </c>
      <c r="K101" t="s">
        <v>106</v>
      </c>
      <c r="L101" t="s">
        <v>40</v>
      </c>
      <c r="M101" s="3" t="str">
        <f t="shared" si="19"/>
        <v>Small Business</v>
      </c>
      <c r="N101" t="s">
        <v>72</v>
      </c>
      <c r="O101" s="3" t="str">
        <f t="shared" si="20"/>
        <v>West</v>
      </c>
      <c r="P101" t="s">
        <v>27</v>
      </c>
      <c r="Q101" t="s">
        <v>134</v>
      </c>
      <c r="R101" t="s">
        <v>85</v>
      </c>
      <c r="S101" s="3" t="str">
        <f t="shared" si="21"/>
        <v>Technology</v>
      </c>
      <c r="T101" t="s">
        <v>86</v>
      </c>
      <c r="U101" t="s">
        <v>593</v>
      </c>
      <c r="V101" t="s">
        <v>47</v>
      </c>
      <c r="W101" s="3" t="str">
        <f t="shared" si="22"/>
        <v>Same Day</v>
      </c>
      <c r="X101">
        <v>3</v>
      </c>
      <c r="Y101">
        <v>2165.29</v>
      </c>
      <c r="Z101">
        <v>0</v>
      </c>
      <c r="AA101">
        <f t="shared" si="26"/>
        <v>0</v>
      </c>
      <c r="AB101">
        <f t="shared" si="27"/>
        <v>6495.87</v>
      </c>
      <c r="AC101">
        <v>6495.87</v>
      </c>
      <c r="AD101">
        <v>4700.8900000000003</v>
      </c>
      <c r="AE101">
        <v>1794.98</v>
      </c>
      <c r="AF101" t="s">
        <v>33</v>
      </c>
      <c r="AG101" t="s">
        <v>34</v>
      </c>
      <c r="AH101" t="str">
        <f t="shared" si="23"/>
        <v>Completed</v>
      </c>
      <c r="AI101" t="str">
        <f t="shared" si="24"/>
        <v>Valid</v>
      </c>
      <c r="AJ101">
        <f t="shared" si="25"/>
        <v>1794.9799999999996</v>
      </c>
      <c r="AK101" s="12">
        <f t="shared" si="28"/>
        <v>0.27632634273777024</v>
      </c>
      <c r="AL101">
        <f t="shared" si="29"/>
        <v>1</v>
      </c>
      <c r="AM101">
        <f t="shared" si="30"/>
        <v>2025</v>
      </c>
      <c r="AN101" t="str">
        <f t="shared" si="31"/>
        <v>Clean</v>
      </c>
    </row>
    <row r="102" spans="1:40">
      <c r="A102" t="s">
        <v>594</v>
      </c>
      <c r="B102" s="3" t="s">
        <v>595</v>
      </c>
      <c r="C102" s="10">
        <v>45912</v>
      </c>
      <c r="D102" s="3" t="s">
        <v>596</v>
      </c>
      <c r="E102" s="10">
        <v>45918</v>
      </c>
      <c r="F102" s="6" t="str">
        <f t="shared" si="16"/>
        <v>Valid</v>
      </c>
      <c r="G102" s="8">
        <f t="shared" si="17"/>
        <v>6</v>
      </c>
      <c r="H102" s="8" t="str">
        <f t="shared" si="18"/>
        <v>Valid</v>
      </c>
      <c r="I102" t="s">
        <v>597</v>
      </c>
      <c r="J102" t="s">
        <v>161</v>
      </c>
      <c r="K102" t="s">
        <v>161</v>
      </c>
      <c r="L102" t="s">
        <v>114</v>
      </c>
      <c r="M102" s="3" t="str">
        <f t="shared" si="19"/>
        <v>Home Office</v>
      </c>
      <c r="N102" t="s">
        <v>61</v>
      </c>
      <c r="O102" s="3" t="str">
        <f t="shared" si="20"/>
        <v>South</v>
      </c>
      <c r="P102" t="s">
        <v>241</v>
      </c>
      <c r="Q102" t="s">
        <v>242</v>
      </c>
      <c r="R102" t="s">
        <v>29</v>
      </c>
      <c r="S102" s="3" t="str">
        <f t="shared" si="21"/>
        <v>Office Supplies</v>
      </c>
      <c r="T102" t="s">
        <v>155</v>
      </c>
      <c r="U102" t="s">
        <v>598</v>
      </c>
      <c r="V102" t="s">
        <v>66</v>
      </c>
      <c r="W102" s="3" t="str">
        <f t="shared" si="22"/>
        <v>Standard Class</v>
      </c>
      <c r="X102">
        <v>6</v>
      </c>
      <c r="Y102">
        <v>1673.8</v>
      </c>
      <c r="Z102">
        <v>0.05</v>
      </c>
      <c r="AA102">
        <f t="shared" si="26"/>
        <v>0.05</v>
      </c>
      <c r="AB102">
        <f t="shared" si="27"/>
        <v>9540.659999999998</v>
      </c>
      <c r="AC102">
        <v>9540.66</v>
      </c>
      <c r="AD102">
        <v>5561.49</v>
      </c>
      <c r="AE102">
        <v>3979.17</v>
      </c>
      <c r="AF102" t="s">
        <v>33</v>
      </c>
      <c r="AG102" t="s">
        <v>34</v>
      </c>
      <c r="AH102" t="str">
        <f t="shared" si="23"/>
        <v>Completed</v>
      </c>
      <c r="AI102" t="str">
        <f t="shared" si="24"/>
        <v>Valid</v>
      </c>
      <c r="AJ102">
        <f t="shared" si="25"/>
        <v>3979.17</v>
      </c>
      <c r="AK102" s="12">
        <f t="shared" si="28"/>
        <v>0.41707491934520263</v>
      </c>
      <c r="AL102">
        <f t="shared" si="29"/>
        <v>9</v>
      </c>
      <c r="AM102">
        <f t="shared" si="30"/>
        <v>2025</v>
      </c>
      <c r="AN102" t="str">
        <f t="shared" si="31"/>
        <v>Clean</v>
      </c>
    </row>
    <row r="103" spans="1:40">
      <c r="A103" t="s">
        <v>599</v>
      </c>
      <c r="B103" s="3" t="s">
        <v>319</v>
      </c>
      <c r="C103" s="10">
        <v>45465</v>
      </c>
      <c r="D103" s="3" t="s">
        <v>600</v>
      </c>
      <c r="E103" s="10">
        <v>45469</v>
      </c>
      <c r="F103" s="6" t="str">
        <f t="shared" si="16"/>
        <v>Valid</v>
      </c>
      <c r="G103" s="8">
        <f t="shared" si="17"/>
        <v>4</v>
      </c>
      <c r="H103" s="8" t="str">
        <f t="shared" si="18"/>
        <v>Valid</v>
      </c>
      <c r="I103" t="s">
        <v>601</v>
      </c>
      <c r="J103" t="s">
        <v>179</v>
      </c>
      <c r="K103" t="s">
        <v>179</v>
      </c>
      <c r="L103" t="s">
        <v>114</v>
      </c>
      <c r="M103" s="3" t="str">
        <f t="shared" si="19"/>
        <v>Home Office</v>
      </c>
      <c r="N103" t="s">
        <v>41</v>
      </c>
      <c r="O103" s="3" t="str">
        <f t="shared" si="20"/>
        <v>East</v>
      </c>
      <c r="P103" t="s">
        <v>185</v>
      </c>
      <c r="Q103" t="s">
        <v>186</v>
      </c>
      <c r="R103" t="s">
        <v>44</v>
      </c>
      <c r="S103" s="3" t="str">
        <f t="shared" si="21"/>
        <v>Furniture</v>
      </c>
      <c r="T103" t="s">
        <v>64</v>
      </c>
      <c r="U103" t="s">
        <v>602</v>
      </c>
      <c r="V103" t="s">
        <v>55</v>
      </c>
      <c r="W103" s="3" t="str">
        <f t="shared" si="22"/>
        <v>First Class</v>
      </c>
      <c r="X103">
        <v>5</v>
      </c>
      <c r="Y103">
        <v>4396.5200000000004</v>
      </c>
      <c r="Z103">
        <v>0.25</v>
      </c>
      <c r="AA103">
        <f t="shared" si="26"/>
        <v>0.25</v>
      </c>
      <c r="AB103">
        <f t="shared" si="27"/>
        <v>16486.95</v>
      </c>
      <c r="AC103">
        <v>16486.95</v>
      </c>
      <c r="AD103">
        <v>12054.14</v>
      </c>
      <c r="AE103">
        <v>4432.8100000000004</v>
      </c>
      <c r="AF103" t="s">
        <v>33</v>
      </c>
      <c r="AG103" t="s">
        <v>34</v>
      </c>
      <c r="AH103" t="str">
        <f t="shared" si="23"/>
        <v>Completed</v>
      </c>
      <c r="AI103" t="str">
        <f t="shared" si="24"/>
        <v>Valid</v>
      </c>
      <c r="AJ103">
        <f t="shared" si="25"/>
        <v>4432.8100000000013</v>
      </c>
      <c r="AK103" s="12">
        <f t="shared" si="28"/>
        <v>0.26886780150361356</v>
      </c>
      <c r="AL103">
        <f t="shared" si="29"/>
        <v>6</v>
      </c>
      <c r="AM103">
        <f t="shared" si="30"/>
        <v>2024</v>
      </c>
      <c r="AN103" t="str">
        <f t="shared" si="31"/>
        <v>Clean</v>
      </c>
    </row>
    <row r="104" spans="1:40">
      <c r="A104" t="s">
        <v>603</v>
      </c>
      <c r="B104" s="3" t="s">
        <v>604</v>
      </c>
      <c r="C104" s="10">
        <v>45850</v>
      </c>
      <c r="D104" s="3" t="s">
        <v>605</v>
      </c>
      <c r="E104" s="10">
        <v>45854</v>
      </c>
      <c r="F104" s="6" t="str">
        <f t="shared" si="16"/>
        <v>Valid</v>
      </c>
      <c r="G104" s="8">
        <f t="shared" si="17"/>
        <v>4</v>
      </c>
      <c r="H104" s="8" t="str">
        <f t="shared" si="18"/>
        <v>Valid</v>
      </c>
      <c r="I104" t="s">
        <v>606</v>
      </c>
      <c r="J104" t="s">
        <v>82</v>
      </c>
      <c r="K104" t="s">
        <v>82</v>
      </c>
      <c r="L104" t="s">
        <v>25</v>
      </c>
      <c r="M104" s="3" t="str">
        <f t="shared" si="19"/>
        <v>Consumer</v>
      </c>
      <c r="N104" t="s">
        <v>61</v>
      </c>
      <c r="O104" s="3" t="str">
        <f t="shared" si="20"/>
        <v>South</v>
      </c>
      <c r="P104" t="s">
        <v>228</v>
      </c>
      <c r="Q104" t="s">
        <v>229</v>
      </c>
      <c r="R104" t="s">
        <v>44</v>
      </c>
      <c r="S104" s="3" t="str">
        <f t="shared" si="21"/>
        <v>Furniture</v>
      </c>
      <c r="T104" t="s">
        <v>75</v>
      </c>
      <c r="U104" t="s">
        <v>607</v>
      </c>
      <c r="V104" t="s">
        <v>55</v>
      </c>
      <c r="W104" s="3" t="str">
        <f t="shared" si="22"/>
        <v>First Class</v>
      </c>
      <c r="X104">
        <v>4</v>
      </c>
      <c r="Y104">
        <v>2865.71</v>
      </c>
      <c r="Z104">
        <v>0</v>
      </c>
      <c r="AA104">
        <f t="shared" si="26"/>
        <v>0</v>
      </c>
      <c r="AB104">
        <f t="shared" si="27"/>
        <v>11462.84</v>
      </c>
      <c r="AC104">
        <v>11462.84</v>
      </c>
      <c r="AD104">
        <v>8979.7800000000007</v>
      </c>
      <c r="AE104">
        <v>2483.06</v>
      </c>
      <c r="AF104" t="s">
        <v>123</v>
      </c>
      <c r="AG104" t="s">
        <v>77</v>
      </c>
      <c r="AH104" t="str">
        <f t="shared" si="23"/>
        <v>Cancelled</v>
      </c>
      <c r="AI104" t="str">
        <f t="shared" si="24"/>
        <v>Valid</v>
      </c>
      <c r="AJ104">
        <f t="shared" si="25"/>
        <v>2483.0599999999995</v>
      </c>
      <c r="AK104" s="12">
        <f t="shared" si="28"/>
        <v>0.21661822026653077</v>
      </c>
      <c r="AL104">
        <f t="shared" si="29"/>
        <v>7</v>
      </c>
      <c r="AM104">
        <f t="shared" si="30"/>
        <v>2025</v>
      </c>
      <c r="AN104" t="str">
        <f t="shared" si="31"/>
        <v>Clean</v>
      </c>
    </row>
    <row r="105" spans="1:40">
      <c r="A105" t="s">
        <v>608</v>
      </c>
      <c r="B105" s="3" t="s">
        <v>609</v>
      </c>
      <c r="C105" s="10">
        <v>45779</v>
      </c>
      <c r="D105" s="3" t="s">
        <v>610</v>
      </c>
      <c r="E105" s="10">
        <v>45787</v>
      </c>
      <c r="F105" s="6" t="str">
        <f t="shared" si="16"/>
        <v>Valid</v>
      </c>
      <c r="G105" s="8">
        <f t="shared" si="17"/>
        <v>8</v>
      </c>
      <c r="H105" s="8" t="str">
        <f t="shared" si="18"/>
        <v>Valid</v>
      </c>
      <c r="I105" t="s">
        <v>611</v>
      </c>
      <c r="J105" t="s">
        <v>365</v>
      </c>
      <c r="K105" t="s">
        <v>365</v>
      </c>
      <c r="L105" t="s">
        <v>107</v>
      </c>
      <c r="M105" s="3" t="str">
        <f t="shared" si="19"/>
        <v>Corporate</v>
      </c>
      <c r="N105" t="s">
        <v>72</v>
      </c>
      <c r="O105" s="3" t="str">
        <f t="shared" si="20"/>
        <v>West</v>
      </c>
      <c r="P105" t="s">
        <v>73</v>
      </c>
      <c r="Q105" t="s">
        <v>74</v>
      </c>
      <c r="R105" t="s">
        <v>44</v>
      </c>
      <c r="S105" s="3" t="str">
        <f t="shared" si="21"/>
        <v>Furniture</v>
      </c>
      <c r="T105" t="s">
        <v>45</v>
      </c>
      <c r="U105" t="s">
        <v>612</v>
      </c>
      <c r="V105" t="s">
        <v>55</v>
      </c>
      <c r="W105" s="3" t="str">
        <f t="shared" si="22"/>
        <v>First Class</v>
      </c>
      <c r="X105">
        <v>4</v>
      </c>
      <c r="Y105">
        <v>2440.34</v>
      </c>
      <c r="Z105">
        <v>0.2</v>
      </c>
      <c r="AA105">
        <f t="shared" si="26"/>
        <v>0.2</v>
      </c>
      <c r="AB105">
        <f t="shared" si="27"/>
        <v>7809.0880000000006</v>
      </c>
      <c r="AC105">
        <v>7809.09</v>
      </c>
      <c r="AD105">
        <v>6657.75</v>
      </c>
      <c r="AE105">
        <v>1151.3399999999999</v>
      </c>
      <c r="AF105" t="s">
        <v>33</v>
      </c>
      <c r="AG105" t="s">
        <v>34</v>
      </c>
      <c r="AH105" t="str">
        <f t="shared" si="23"/>
        <v>Completed</v>
      </c>
      <c r="AI105" t="str">
        <f t="shared" si="24"/>
        <v>Valid</v>
      </c>
      <c r="AJ105">
        <f t="shared" si="25"/>
        <v>1151.3400000000001</v>
      </c>
      <c r="AK105" s="12">
        <f t="shared" si="28"/>
        <v>0.14743591056983862</v>
      </c>
      <c r="AL105">
        <f t="shared" si="29"/>
        <v>5</v>
      </c>
      <c r="AM105">
        <f t="shared" si="30"/>
        <v>2025</v>
      </c>
      <c r="AN105" t="str">
        <f t="shared" si="31"/>
        <v>Clean</v>
      </c>
    </row>
    <row r="106" spans="1:40">
      <c r="A106" t="s">
        <v>613</v>
      </c>
      <c r="B106" s="3" t="s">
        <v>614</v>
      </c>
      <c r="C106" s="10">
        <v>45689</v>
      </c>
      <c r="D106" s="3" t="s">
        <v>615</v>
      </c>
      <c r="E106" s="10">
        <v>45696</v>
      </c>
      <c r="F106" s="6" t="str">
        <f t="shared" si="16"/>
        <v>Valid</v>
      </c>
      <c r="G106" s="8">
        <f t="shared" si="17"/>
        <v>7</v>
      </c>
      <c r="H106" s="8" t="str">
        <f t="shared" si="18"/>
        <v>Valid</v>
      </c>
      <c r="I106" t="s">
        <v>616</v>
      </c>
      <c r="J106" t="s">
        <v>71</v>
      </c>
      <c r="K106" t="s">
        <v>71</v>
      </c>
      <c r="L106" t="s">
        <v>25</v>
      </c>
      <c r="M106" s="3" t="str">
        <f t="shared" si="19"/>
        <v>Consumer</v>
      </c>
      <c r="N106" t="s">
        <v>61</v>
      </c>
      <c r="O106" s="3" t="str">
        <f t="shared" si="20"/>
        <v>South</v>
      </c>
      <c r="P106" t="s">
        <v>228</v>
      </c>
      <c r="Q106" t="s">
        <v>229</v>
      </c>
      <c r="R106" t="s">
        <v>29</v>
      </c>
      <c r="S106" s="3" t="str">
        <f t="shared" si="21"/>
        <v>Office Supplies</v>
      </c>
      <c r="T106" t="s">
        <v>108</v>
      </c>
      <c r="U106" t="s">
        <v>617</v>
      </c>
      <c r="V106" t="s">
        <v>47</v>
      </c>
      <c r="W106" s="3" t="str">
        <f t="shared" si="22"/>
        <v>Same Day</v>
      </c>
      <c r="X106">
        <v>5</v>
      </c>
      <c r="Y106">
        <v>2112.54</v>
      </c>
      <c r="Z106">
        <v>0.25</v>
      </c>
      <c r="AA106">
        <f t="shared" si="26"/>
        <v>0.25</v>
      </c>
      <c r="AB106">
        <f t="shared" si="27"/>
        <v>7922.0250000000005</v>
      </c>
      <c r="AC106">
        <v>8260.4599999999991</v>
      </c>
      <c r="AD106">
        <v>5619.95</v>
      </c>
      <c r="AE106">
        <v>2302.08</v>
      </c>
      <c r="AF106" t="s">
        <v>33</v>
      </c>
      <c r="AG106" t="s">
        <v>77</v>
      </c>
      <c r="AH106" t="str">
        <f t="shared" si="23"/>
        <v>Cancelled</v>
      </c>
      <c r="AI106" t="str">
        <f t="shared" si="24"/>
        <v>Valid</v>
      </c>
      <c r="AJ106">
        <f t="shared" si="25"/>
        <v>2640.5099999999993</v>
      </c>
      <c r="AK106" s="12">
        <f t="shared" si="28"/>
        <v>0.33331250532534284</v>
      </c>
      <c r="AL106">
        <f t="shared" si="29"/>
        <v>2</v>
      </c>
      <c r="AM106">
        <f t="shared" si="30"/>
        <v>2025</v>
      </c>
      <c r="AN106" t="str">
        <f t="shared" si="31"/>
        <v>Clean</v>
      </c>
    </row>
    <row r="107" spans="1:40">
      <c r="A107" t="s">
        <v>618</v>
      </c>
      <c r="B107" s="3" t="s">
        <v>619</v>
      </c>
      <c r="C107" s="10">
        <v>45467</v>
      </c>
      <c r="D107" s="3" t="s">
        <v>620</v>
      </c>
      <c r="E107" s="10">
        <v>45472</v>
      </c>
      <c r="F107" s="6" t="str">
        <f t="shared" si="16"/>
        <v>Valid</v>
      </c>
      <c r="G107" s="8">
        <f t="shared" si="17"/>
        <v>5</v>
      </c>
      <c r="H107" s="8" t="str">
        <f t="shared" si="18"/>
        <v>Valid</v>
      </c>
      <c r="I107" t="s">
        <v>621</v>
      </c>
      <c r="J107" t="s">
        <v>39</v>
      </c>
      <c r="K107" t="s">
        <v>39</v>
      </c>
      <c r="L107" t="s">
        <v>114</v>
      </c>
      <c r="M107" s="3" t="str">
        <f t="shared" si="19"/>
        <v>Home Office</v>
      </c>
      <c r="N107" t="s">
        <v>41</v>
      </c>
      <c r="O107" s="3" t="str">
        <f t="shared" si="20"/>
        <v>East</v>
      </c>
      <c r="P107" t="s">
        <v>120</v>
      </c>
      <c r="Q107" t="s">
        <v>121</v>
      </c>
      <c r="R107" t="s">
        <v>44</v>
      </c>
      <c r="S107" s="3" t="str">
        <f t="shared" si="21"/>
        <v>Furniture</v>
      </c>
      <c r="T107" t="s">
        <v>45</v>
      </c>
      <c r="U107" t="s">
        <v>622</v>
      </c>
      <c r="V107" t="s">
        <v>32</v>
      </c>
      <c r="W107" s="3" t="str">
        <f t="shared" si="22"/>
        <v>Second Class</v>
      </c>
      <c r="X107">
        <v>2</v>
      </c>
      <c r="Y107">
        <v>685</v>
      </c>
      <c r="Z107">
        <v>0.1</v>
      </c>
      <c r="AA107">
        <f t="shared" si="26"/>
        <v>0.1</v>
      </c>
      <c r="AB107">
        <f t="shared" si="27"/>
        <v>1233</v>
      </c>
      <c r="AC107">
        <v>1233</v>
      </c>
      <c r="AD107">
        <v>1006.9</v>
      </c>
      <c r="AE107">
        <v>226.1</v>
      </c>
      <c r="AF107" t="s">
        <v>33</v>
      </c>
      <c r="AG107" t="s">
        <v>34</v>
      </c>
      <c r="AH107" t="str">
        <f t="shared" si="23"/>
        <v>Completed</v>
      </c>
      <c r="AI107" t="str">
        <f t="shared" si="24"/>
        <v>Valid</v>
      </c>
      <c r="AJ107">
        <f t="shared" si="25"/>
        <v>226.10000000000002</v>
      </c>
      <c r="AK107" s="12">
        <f t="shared" si="28"/>
        <v>0.18337388483373887</v>
      </c>
      <c r="AL107">
        <f t="shared" si="29"/>
        <v>6</v>
      </c>
      <c r="AM107">
        <f t="shared" si="30"/>
        <v>2024</v>
      </c>
      <c r="AN107" t="str">
        <f t="shared" si="31"/>
        <v>Clean</v>
      </c>
    </row>
    <row r="108" spans="1:40">
      <c r="A108" t="s">
        <v>623</v>
      </c>
      <c r="B108" s="3" t="s">
        <v>624</v>
      </c>
      <c r="C108" s="10">
        <v>45342</v>
      </c>
      <c r="D108" s="3" t="s">
        <v>625</v>
      </c>
      <c r="E108" s="10">
        <v>45350</v>
      </c>
      <c r="F108" s="6" t="str">
        <f t="shared" si="16"/>
        <v>Valid</v>
      </c>
      <c r="G108" s="8">
        <f t="shared" si="17"/>
        <v>8</v>
      </c>
      <c r="H108" s="8" t="str">
        <f t="shared" si="18"/>
        <v>Valid</v>
      </c>
      <c r="I108" t="s">
        <v>626</v>
      </c>
      <c r="J108" t="s">
        <v>60</v>
      </c>
      <c r="K108" t="s">
        <v>60</v>
      </c>
      <c r="L108" t="s">
        <v>114</v>
      </c>
      <c r="M108" s="3" t="str">
        <f t="shared" si="19"/>
        <v>Home Office</v>
      </c>
      <c r="N108" t="s">
        <v>41</v>
      </c>
      <c r="O108" s="3" t="str">
        <f t="shared" si="20"/>
        <v>East</v>
      </c>
      <c r="P108" t="s">
        <v>120</v>
      </c>
      <c r="Q108" t="s">
        <v>121</v>
      </c>
      <c r="R108" t="s">
        <v>29</v>
      </c>
      <c r="S108" s="3" t="str">
        <f t="shared" si="21"/>
        <v>Office Supplies</v>
      </c>
      <c r="T108" t="s">
        <v>30</v>
      </c>
      <c r="U108" t="s">
        <v>627</v>
      </c>
      <c r="V108" t="s">
        <v>66</v>
      </c>
      <c r="W108" s="3" t="str">
        <f t="shared" si="22"/>
        <v>Standard Class</v>
      </c>
      <c r="X108">
        <v>2</v>
      </c>
      <c r="Y108">
        <v>4004.04</v>
      </c>
      <c r="AA108">
        <f t="shared" si="26"/>
        <v>0</v>
      </c>
      <c r="AB108">
        <f t="shared" si="27"/>
        <v>8008.08</v>
      </c>
      <c r="AC108">
        <v>7207.27</v>
      </c>
      <c r="AD108">
        <v>5709.39</v>
      </c>
      <c r="AE108">
        <v>1497.88</v>
      </c>
      <c r="AF108" t="s">
        <v>33</v>
      </c>
      <c r="AG108" t="s">
        <v>77</v>
      </c>
      <c r="AH108" t="str">
        <f t="shared" si="23"/>
        <v>Cancelled</v>
      </c>
      <c r="AI108" t="str">
        <f t="shared" si="24"/>
        <v>Valid</v>
      </c>
      <c r="AJ108">
        <f t="shared" si="25"/>
        <v>1497.88</v>
      </c>
      <c r="AK108" s="12">
        <f t="shared" si="28"/>
        <v>0.18704608345570975</v>
      </c>
      <c r="AL108">
        <f t="shared" si="29"/>
        <v>2</v>
      </c>
      <c r="AM108">
        <f t="shared" si="30"/>
        <v>2024</v>
      </c>
      <c r="AN108" t="str">
        <f t="shared" si="31"/>
        <v>Clean</v>
      </c>
    </row>
    <row r="109" spans="1:40">
      <c r="A109" t="s">
        <v>628</v>
      </c>
      <c r="B109" s="3" t="s">
        <v>629</v>
      </c>
      <c r="C109" s="10">
        <v>45594</v>
      </c>
      <c r="D109" s="3" t="s">
        <v>630</v>
      </c>
      <c r="E109" s="10">
        <v>45600</v>
      </c>
      <c r="F109" s="6" t="str">
        <f t="shared" si="16"/>
        <v>Valid</v>
      </c>
      <c r="G109" s="8">
        <f t="shared" si="17"/>
        <v>6</v>
      </c>
      <c r="H109" s="8" t="str">
        <f t="shared" si="18"/>
        <v>Valid</v>
      </c>
      <c r="I109" t="s">
        <v>631</v>
      </c>
      <c r="J109" t="s">
        <v>179</v>
      </c>
      <c r="K109" t="s">
        <v>179</v>
      </c>
      <c r="L109" t="s">
        <v>114</v>
      </c>
      <c r="M109" s="3" t="str">
        <f t="shared" si="19"/>
        <v>Home Office</v>
      </c>
      <c r="N109" t="s">
        <v>41</v>
      </c>
      <c r="O109" s="3" t="str">
        <f t="shared" si="20"/>
        <v>East</v>
      </c>
      <c r="P109" t="s">
        <v>120</v>
      </c>
      <c r="Q109" t="s">
        <v>121</v>
      </c>
      <c r="R109" t="s">
        <v>44</v>
      </c>
      <c r="S109" s="3" t="str">
        <f t="shared" si="21"/>
        <v>Furniture</v>
      </c>
      <c r="T109" t="s">
        <v>64</v>
      </c>
      <c r="U109" t="s">
        <v>632</v>
      </c>
      <c r="V109" t="s">
        <v>55</v>
      </c>
      <c r="W109" s="3" t="str">
        <f t="shared" si="22"/>
        <v>First Class</v>
      </c>
      <c r="X109">
        <v>3</v>
      </c>
      <c r="Y109">
        <v>4302.8900000000003</v>
      </c>
      <c r="Z109">
        <v>0.05</v>
      </c>
      <c r="AA109">
        <f t="shared" si="26"/>
        <v>0.05</v>
      </c>
      <c r="AB109">
        <f t="shared" si="27"/>
        <v>12263.236500000001</v>
      </c>
      <c r="AC109">
        <v>12263.24</v>
      </c>
      <c r="AD109">
        <v>8925.57</v>
      </c>
      <c r="AE109">
        <v>3337.67</v>
      </c>
      <c r="AF109" t="s">
        <v>33</v>
      </c>
      <c r="AG109" t="s">
        <v>34</v>
      </c>
      <c r="AH109" t="str">
        <f t="shared" si="23"/>
        <v>Completed</v>
      </c>
      <c r="AI109" t="str">
        <f t="shared" si="24"/>
        <v>Valid</v>
      </c>
      <c r="AJ109">
        <f t="shared" si="25"/>
        <v>3337.67</v>
      </c>
      <c r="AK109" s="12">
        <f t="shared" si="28"/>
        <v>0.27216877045468379</v>
      </c>
      <c r="AL109">
        <f t="shared" si="29"/>
        <v>10</v>
      </c>
      <c r="AM109">
        <f t="shared" si="30"/>
        <v>2024</v>
      </c>
      <c r="AN109" t="str">
        <f t="shared" si="31"/>
        <v>Clean</v>
      </c>
    </row>
    <row r="110" spans="1:40">
      <c r="A110" t="s">
        <v>633</v>
      </c>
      <c r="B110" s="3" t="s">
        <v>634</v>
      </c>
      <c r="C110" s="10">
        <v>45519</v>
      </c>
      <c r="D110" s="3" t="s">
        <v>635</v>
      </c>
      <c r="E110" s="10">
        <v>45527</v>
      </c>
      <c r="F110" s="6" t="str">
        <f t="shared" si="16"/>
        <v>Valid</v>
      </c>
      <c r="G110" s="8">
        <f t="shared" si="17"/>
        <v>8</v>
      </c>
      <c r="H110" s="8" t="str">
        <f t="shared" si="18"/>
        <v>Valid</v>
      </c>
      <c r="I110" t="s">
        <v>636</v>
      </c>
      <c r="J110" t="s">
        <v>106</v>
      </c>
      <c r="K110" t="s">
        <v>106</v>
      </c>
      <c r="L110" t="s">
        <v>40</v>
      </c>
      <c r="M110" s="3" t="str">
        <f t="shared" si="19"/>
        <v>Small Business</v>
      </c>
      <c r="N110" t="s">
        <v>41</v>
      </c>
      <c r="O110" s="3" t="str">
        <f t="shared" si="20"/>
        <v>East</v>
      </c>
      <c r="P110" t="s">
        <v>42</v>
      </c>
      <c r="Q110" t="s">
        <v>43</v>
      </c>
      <c r="R110" t="s">
        <v>44</v>
      </c>
      <c r="S110" s="3" t="str">
        <f t="shared" si="21"/>
        <v>Furniture</v>
      </c>
      <c r="T110" t="s">
        <v>203</v>
      </c>
      <c r="U110" t="s">
        <v>637</v>
      </c>
      <c r="V110" t="s">
        <v>47</v>
      </c>
      <c r="W110" s="3" t="str">
        <f t="shared" si="22"/>
        <v>Same Day</v>
      </c>
      <c r="X110">
        <v>2</v>
      </c>
      <c r="Y110">
        <v>537.54</v>
      </c>
      <c r="Z110">
        <v>0.25</v>
      </c>
      <c r="AA110">
        <f t="shared" si="26"/>
        <v>0.25</v>
      </c>
      <c r="AB110">
        <f t="shared" si="27"/>
        <v>806.31</v>
      </c>
      <c r="AC110">
        <v>806.31</v>
      </c>
      <c r="AD110">
        <v>498.5</v>
      </c>
      <c r="AE110">
        <v>307.81</v>
      </c>
      <c r="AF110" t="s">
        <v>33</v>
      </c>
      <c r="AG110" t="s">
        <v>34</v>
      </c>
      <c r="AH110" t="str">
        <f t="shared" si="23"/>
        <v>Completed</v>
      </c>
      <c r="AI110" t="str">
        <f t="shared" si="24"/>
        <v>Valid</v>
      </c>
      <c r="AJ110">
        <f t="shared" si="25"/>
        <v>307.80999999999995</v>
      </c>
      <c r="AK110" s="12">
        <f t="shared" si="28"/>
        <v>0.38175143555208291</v>
      </c>
      <c r="AL110">
        <f t="shared" si="29"/>
        <v>8</v>
      </c>
      <c r="AM110">
        <f t="shared" si="30"/>
        <v>2024</v>
      </c>
      <c r="AN110" t="str">
        <f t="shared" si="31"/>
        <v>Clean</v>
      </c>
    </row>
    <row r="111" spans="1:40">
      <c r="A111" t="s">
        <v>638</v>
      </c>
      <c r="B111" s="3" t="s">
        <v>639</v>
      </c>
      <c r="C111" s="10">
        <v>45892</v>
      </c>
      <c r="D111" s="3" t="s">
        <v>478</v>
      </c>
      <c r="E111" s="10">
        <v>45896</v>
      </c>
      <c r="F111" s="6" t="str">
        <f t="shared" si="16"/>
        <v>Valid</v>
      </c>
      <c r="G111" s="8">
        <f t="shared" si="17"/>
        <v>4</v>
      </c>
      <c r="H111" s="8" t="str">
        <f t="shared" si="18"/>
        <v>Valid</v>
      </c>
      <c r="I111" t="s">
        <v>640</v>
      </c>
      <c r="J111" t="s">
        <v>167</v>
      </c>
      <c r="K111" t="s">
        <v>167</v>
      </c>
      <c r="L111" t="s">
        <v>25</v>
      </c>
      <c r="M111" s="3" t="str">
        <f t="shared" si="19"/>
        <v>Consumer</v>
      </c>
      <c r="N111" t="s">
        <v>26</v>
      </c>
      <c r="O111" s="3" t="str">
        <f t="shared" si="20"/>
        <v>North</v>
      </c>
      <c r="P111" t="s">
        <v>505</v>
      </c>
      <c r="Q111" t="s">
        <v>506</v>
      </c>
      <c r="R111" t="s">
        <v>29</v>
      </c>
      <c r="S111" s="3" t="str">
        <f t="shared" si="21"/>
        <v>Office Supplies</v>
      </c>
      <c r="T111" t="s">
        <v>197</v>
      </c>
      <c r="U111" t="s">
        <v>641</v>
      </c>
      <c r="V111" t="s">
        <v>32</v>
      </c>
      <c r="W111" s="3" t="str">
        <f t="shared" si="22"/>
        <v>Second Class</v>
      </c>
      <c r="X111">
        <v>1</v>
      </c>
      <c r="Y111">
        <v>2788.62</v>
      </c>
      <c r="Z111">
        <v>0.25</v>
      </c>
      <c r="AA111">
        <f t="shared" si="26"/>
        <v>0.25</v>
      </c>
      <c r="AB111">
        <f t="shared" si="27"/>
        <v>2091.4650000000001</v>
      </c>
      <c r="AC111">
        <v>2091.4699999999998</v>
      </c>
      <c r="AD111">
        <v>1317.22</v>
      </c>
      <c r="AE111">
        <v>774.25</v>
      </c>
      <c r="AF111" t="s">
        <v>33</v>
      </c>
      <c r="AG111" t="s">
        <v>34</v>
      </c>
      <c r="AH111" t="str">
        <f t="shared" si="23"/>
        <v>Completed</v>
      </c>
      <c r="AI111" t="str">
        <f t="shared" si="24"/>
        <v>Valid</v>
      </c>
      <c r="AJ111">
        <f t="shared" si="25"/>
        <v>774.24999999999977</v>
      </c>
      <c r="AK111" s="12">
        <f t="shared" si="28"/>
        <v>0.37019505466264063</v>
      </c>
      <c r="AL111">
        <f t="shared" si="29"/>
        <v>8</v>
      </c>
      <c r="AM111">
        <f t="shared" si="30"/>
        <v>2025</v>
      </c>
      <c r="AN111" t="str">
        <f t="shared" si="31"/>
        <v>Clean</v>
      </c>
    </row>
    <row r="112" spans="1:40">
      <c r="A112" t="s">
        <v>642</v>
      </c>
      <c r="B112" s="3" t="s">
        <v>643</v>
      </c>
      <c r="C112" s="10">
        <v>45583</v>
      </c>
      <c r="D112" s="3" t="s">
        <v>644</v>
      </c>
      <c r="E112" s="10">
        <v>45589</v>
      </c>
      <c r="F112" s="6" t="str">
        <f t="shared" si="16"/>
        <v>Valid</v>
      </c>
      <c r="G112" s="8">
        <f t="shared" si="17"/>
        <v>6</v>
      </c>
      <c r="H112" s="8" t="str">
        <f t="shared" si="18"/>
        <v>Valid</v>
      </c>
      <c r="I112" t="s">
        <v>645</v>
      </c>
      <c r="J112" t="s">
        <v>82</v>
      </c>
      <c r="K112" t="s">
        <v>82</v>
      </c>
      <c r="L112" t="s">
        <v>107</v>
      </c>
      <c r="M112" s="3" t="str">
        <f t="shared" si="19"/>
        <v>Corporate</v>
      </c>
      <c r="N112" t="s">
        <v>61</v>
      </c>
      <c r="O112" s="3" t="str">
        <f t="shared" si="20"/>
        <v>South</v>
      </c>
      <c r="P112" t="s">
        <v>241</v>
      </c>
      <c r="Q112" t="s">
        <v>242</v>
      </c>
      <c r="R112" t="s">
        <v>29</v>
      </c>
      <c r="S112" s="3" t="str">
        <f t="shared" si="21"/>
        <v>Office Supplies</v>
      </c>
      <c r="T112" t="s">
        <v>108</v>
      </c>
      <c r="U112" t="s">
        <v>646</v>
      </c>
      <c r="V112" t="s">
        <v>55</v>
      </c>
      <c r="W112" s="3" t="str">
        <f t="shared" si="22"/>
        <v>First Class</v>
      </c>
      <c r="X112">
        <v>2</v>
      </c>
      <c r="Y112">
        <v>2250.4699999999998</v>
      </c>
      <c r="Z112">
        <v>0</v>
      </c>
      <c r="AA112">
        <f t="shared" si="26"/>
        <v>0</v>
      </c>
      <c r="AB112">
        <f t="shared" si="27"/>
        <v>4500.9399999999996</v>
      </c>
      <c r="AC112">
        <v>4500.9399999999996</v>
      </c>
      <c r="AD112">
        <v>2607.73</v>
      </c>
      <c r="AE112">
        <v>1893.21</v>
      </c>
      <c r="AF112" t="s">
        <v>123</v>
      </c>
      <c r="AG112" t="s">
        <v>77</v>
      </c>
      <c r="AH112" t="str">
        <f t="shared" si="23"/>
        <v>Cancelled</v>
      </c>
      <c r="AI112" t="str">
        <f t="shared" si="24"/>
        <v>Valid</v>
      </c>
      <c r="AJ112">
        <f t="shared" si="25"/>
        <v>1893.2099999999996</v>
      </c>
      <c r="AK112" s="12">
        <f t="shared" si="28"/>
        <v>0.42062546934640316</v>
      </c>
      <c r="AL112">
        <f t="shared" si="29"/>
        <v>10</v>
      </c>
      <c r="AM112">
        <f t="shared" si="30"/>
        <v>2024</v>
      </c>
      <c r="AN112" t="str">
        <f t="shared" si="31"/>
        <v>Clean</v>
      </c>
    </row>
    <row r="113" spans="1:40">
      <c r="A113" t="s">
        <v>647</v>
      </c>
      <c r="B113" s="3" t="s">
        <v>648</v>
      </c>
      <c r="C113" s="10">
        <v>45835</v>
      </c>
      <c r="D113" s="3" t="s">
        <v>649</v>
      </c>
      <c r="E113" s="10">
        <v>45838</v>
      </c>
      <c r="F113" s="6" t="str">
        <f t="shared" si="16"/>
        <v>Valid</v>
      </c>
      <c r="G113" s="8">
        <f t="shared" si="17"/>
        <v>3</v>
      </c>
      <c r="H113" s="8" t="str">
        <f t="shared" si="18"/>
        <v>Valid</v>
      </c>
      <c r="I113" t="s">
        <v>650</v>
      </c>
      <c r="J113" t="s">
        <v>92</v>
      </c>
      <c r="K113" t="s">
        <v>92</v>
      </c>
      <c r="L113" t="s">
        <v>107</v>
      </c>
      <c r="M113" s="3" t="str">
        <f t="shared" si="19"/>
        <v>Corporate</v>
      </c>
      <c r="N113" t="s">
        <v>41</v>
      </c>
      <c r="O113" s="3" t="str">
        <f t="shared" si="20"/>
        <v>East</v>
      </c>
      <c r="P113" t="s">
        <v>185</v>
      </c>
      <c r="Q113" t="s">
        <v>186</v>
      </c>
      <c r="R113" t="s">
        <v>85</v>
      </c>
      <c r="S113" s="3" t="str">
        <f t="shared" si="21"/>
        <v>Technology</v>
      </c>
      <c r="T113" t="s">
        <v>86</v>
      </c>
      <c r="U113" t="s">
        <v>651</v>
      </c>
      <c r="V113" t="s">
        <v>55</v>
      </c>
      <c r="W113" s="3" t="str">
        <f t="shared" si="22"/>
        <v>First Class</v>
      </c>
      <c r="X113">
        <v>1</v>
      </c>
      <c r="Y113">
        <v>1708.44</v>
      </c>
      <c r="Z113">
        <v>0.05</v>
      </c>
      <c r="AA113">
        <f t="shared" si="26"/>
        <v>0.05</v>
      </c>
      <c r="AB113">
        <f t="shared" si="27"/>
        <v>1623.018</v>
      </c>
      <c r="AC113">
        <v>1623.02</v>
      </c>
      <c r="AD113">
        <v>1077.46</v>
      </c>
      <c r="AE113">
        <v>545.55999999999995</v>
      </c>
      <c r="AF113" t="s">
        <v>136</v>
      </c>
      <c r="AG113" t="s">
        <v>77</v>
      </c>
      <c r="AH113" t="str">
        <f t="shared" si="23"/>
        <v>Cancelled</v>
      </c>
      <c r="AI113" t="str">
        <f t="shared" si="24"/>
        <v>Valid</v>
      </c>
      <c r="AJ113">
        <f t="shared" si="25"/>
        <v>545.55999999999995</v>
      </c>
      <c r="AK113" s="12">
        <f t="shared" si="28"/>
        <v>0.33613921718674711</v>
      </c>
      <c r="AL113">
        <f t="shared" si="29"/>
        <v>6</v>
      </c>
      <c r="AM113">
        <f t="shared" si="30"/>
        <v>2025</v>
      </c>
      <c r="AN113" t="str">
        <f t="shared" si="31"/>
        <v>Clean</v>
      </c>
    </row>
    <row r="114" spans="1:40">
      <c r="A114" t="s">
        <v>652</v>
      </c>
      <c r="B114" s="3" t="s">
        <v>653</v>
      </c>
      <c r="C114" s="10">
        <v>45301</v>
      </c>
      <c r="D114" s="3" t="s">
        <v>654</v>
      </c>
      <c r="E114" s="10">
        <v>45305</v>
      </c>
      <c r="F114" s="6" t="str">
        <f t="shared" si="16"/>
        <v>Valid</v>
      </c>
      <c r="G114" s="8">
        <f t="shared" si="17"/>
        <v>4</v>
      </c>
      <c r="H114" s="8" t="str">
        <f t="shared" si="18"/>
        <v>Valid</v>
      </c>
      <c r="I114" t="s">
        <v>655</v>
      </c>
      <c r="J114" t="s">
        <v>167</v>
      </c>
      <c r="K114" t="s">
        <v>167</v>
      </c>
      <c r="L114" t="s">
        <v>25</v>
      </c>
      <c r="M114" s="3" t="str">
        <f t="shared" si="19"/>
        <v>Consumer</v>
      </c>
      <c r="O114" s="3" t="str">
        <f t="shared" si="20"/>
        <v>Unknown</v>
      </c>
      <c r="P114" t="s">
        <v>234</v>
      </c>
      <c r="Q114" t="s">
        <v>235</v>
      </c>
      <c r="R114" t="s">
        <v>85</v>
      </c>
      <c r="S114" s="3" t="str">
        <f t="shared" si="21"/>
        <v>Technology</v>
      </c>
      <c r="T114" t="s">
        <v>86</v>
      </c>
      <c r="U114" t="s">
        <v>656</v>
      </c>
      <c r="V114" t="s">
        <v>66</v>
      </c>
      <c r="W114" s="3" t="str">
        <f t="shared" si="22"/>
        <v>Standard Class</v>
      </c>
      <c r="X114">
        <v>3</v>
      </c>
      <c r="Y114">
        <v>3829.48</v>
      </c>
      <c r="Z114">
        <v>0.05</v>
      </c>
      <c r="AA114">
        <f t="shared" si="26"/>
        <v>0.05</v>
      </c>
      <c r="AB114">
        <f t="shared" si="27"/>
        <v>10914.018</v>
      </c>
      <c r="AC114">
        <v>10914.02</v>
      </c>
      <c r="AD114">
        <v>6548.74</v>
      </c>
      <c r="AE114">
        <v>4365.28</v>
      </c>
      <c r="AF114" t="s">
        <v>33</v>
      </c>
      <c r="AG114" t="s">
        <v>34</v>
      </c>
      <c r="AH114" t="str">
        <f t="shared" si="23"/>
        <v>Completed</v>
      </c>
      <c r="AI114" t="str">
        <f t="shared" si="24"/>
        <v>Valid</v>
      </c>
      <c r="AJ114">
        <f t="shared" si="25"/>
        <v>4365.2800000000007</v>
      </c>
      <c r="AK114" s="12">
        <f t="shared" si="28"/>
        <v>0.3999700202070402</v>
      </c>
      <c r="AL114">
        <f t="shared" si="29"/>
        <v>1</v>
      </c>
      <c r="AM114">
        <f t="shared" si="30"/>
        <v>2024</v>
      </c>
      <c r="AN114" t="str">
        <f t="shared" si="31"/>
        <v>Clean</v>
      </c>
    </row>
    <row r="115" spans="1:40">
      <c r="A115" t="s">
        <v>657</v>
      </c>
      <c r="B115" s="3" t="s">
        <v>658</v>
      </c>
      <c r="C115" s="10">
        <v>45334</v>
      </c>
      <c r="D115" s="3" t="s">
        <v>658</v>
      </c>
      <c r="E115" s="10">
        <v>45334</v>
      </c>
      <c r="F115" s="6" t="str">
        <f t="shared" si="16"/>
        <v>Valid</v>
      </c>
      <c r="G115" s="8">
        <f t="shared" si="17"/>
        <v>0</v>
      </c>
      <c r="H115" s="8" t="str">
        <f t="shared" si="18"/>
        <v>Valid</v>
      </c>
      <c r="I115" t="s">
        <v>520</v>
      </c>
      <c r="J115" t="s">
        <v>52</v>
      </c>
      <c r="K115" t="s">
        <v>52</v>
      </c>
      <c r="L115" t="s">
        <v>114</v>
      </c>
      <c r="M115" s="3" t="str">
        <f t="shared" si="19"/>
        <v>Home Office</v>
      </c>
      <c r="N115" t="s">
        <v>61</v>
      </c>
      <c r="O115" s="3" t="str">
        <f t="shared" si="20"/>
        <v>South</v>
      </c>
      <c r="P115" t="s">
        <v>338</v>
      </c>
      <c r="Q115" t="s">
        <v>339</v>
      </c>
      <c r="R115" t="s">
        <v>44</v>
      </c>
      <c r="S115" s="3" t="str">
        <f t="shared" si="21"/>
        <v>Furniture</v>
      </c>
      <c r="T115" t="s">
        <v>45</v>
      </c>
      <c r="U115" t="s">
        <v>659</v>
      </c>
      <c r="V115" t="s">
        <v>66</v>
      </c>
      <c r="W115" s="3" t="str">
        <f t="shared" si="22"/>
        <v>Standard Class</v>
      </c>
      <c r="X115">
        <v>3</v>
      </c>
      <c r="Y115">
        <v>1089.1500000000001</v>
      </c>
      <c r="Z115">
        <v>0.25</v>
      </c>
      <c r="AA115">
        <f t="shared" si="26"/>
        <v>0.25</v>
      </c>
      <c r="AB115">
        <f t="shared" si="27"/>
        <v>2450.5875000000001</v>
      </c>
      <c r="AC115">
        <v>2450.59</v>
      </c>
      <c r="AD115">
        <v>1639.89</v>
      </c>
      <c r="AE115">
        <v>810.7</v>
      </c>
      <c r="AF115" t="s">
        <v>33</v>
      </c>
      <c r="AG115" t="s">
        <v>34</v>
      </c>
      <c r="AH115" t="str">
        <f t="shared" si="23"/>
        <v>Completed</v>
      </c>
      <c r="AI115" t="str">
        <f t="shared" si="24"/>
        <v>Valid</v>
      </c>
      <c r="AJ115">
        <f t="shared" si="25"/>
        <v>810.7</v>
      </c>
      <c r="AK115" s="12">
        <f t="shared" si="28"/>
        <v>0.33081863022642533</v>
      </c>
      <c r="AL115">
        <f t="shared" si="29"/>
        <v>2</v>
      </c>
      <c r="AM115">
        <f t="shared" si="30"/>
        <v>2024</v>
      </c>
      <c r="AN115" t="str">
        <f t="shared" si="31"/>
        <v>Clean</v>
      </c>
    </row>
    <row r="116" spans="1:40">
      <c r="A116" t="s">
        <v>660</v>
      </c>
      <c r="B116" s="3" t="s">
        <v>661</v>
      </c>
      <c r="C116" s="10">
        <v>45560</v>
      </c>
      <c r="D116" s="3" t="s">
        <v>662</v>
      </c>
      <c r="E116" s="10">
        <v>45565</v>
      </c>
      <c r="F116" s="6" t="str">
        <f t="shared" si="16"/>
        <v>Valid</v>
      </c>
      <c r="G116" s="8">
        <f t="shared" si="17"/>
        <v>5</v>
      </c>
      <c r="H116" s="8" t="str">
        <f t="shared" si="18"/>
        <v>Valid</v>
      </c>
      <c r="I116" t="s">
        <v>663</v>
      </c>
      <c r="J116" t="s">
        <v>92</v>
      </c>
      <c r="K116" t="s">
        <v>92</v>
      </c>
      <c r="L116" t="s">
        <v>40</v>
      </c>
      <c r="M116" s="3" t="str">
        <f t="shared" si="19"/>
        <v>Small Business</v>
      </c>
      <c r="N116" t="s">
        <v>26</v>
      </c>
      <c r="O116" s="3" t="str">
        <f t="shared" si="20"/>
        <v>North</v>
      </c>
      <c r="P116" t="s">
        <v>27</v>
      </c>
      <c r="Q116" t="s">
        <v>28</v>
      </c>
      <c r="R116" t="s">
        <v>85</v>
      </c>
      <c r="S116" s="3" t="str">
        <f t="shared" si="21"/>
        <v>Technology</v>
      </c>
      <c r="T116" t="s">
        <v>86</v>
      </c>
      <c r="U116" t="s">
        <v>664</v>
      </c>
      <c r="V116" t="s">
        <v>32</v>
      </c>
      <c r="W116" s="3" t="str">
        <f t="shared" si="22"/>
        <v>Second Class</v>
      </c>
      <c r="X116">
        <v>1</v>
      </c>
      <c r="Y116">
        <v>4388.3999999999996</v>
      </c>
      <c r="Z116">
        <v>0.1</v>
      </c>
      <c r="AA116">
        <f t="shared" si="26"/>
        <v>0.1</v>
      </c>
      <c r="AB116">
        <f t="shared" si="27"/>
        <v>3949.56</v>
      </c>
      <c r="AC116">
        <v>3949.56</v>
      </c>
      <c r="AD116">
        <v>3186.73</v>
      </c>
      <c r="AE116">
        <v>762.83</v>
      </c>
      <c r="AF116" t="s">
        <v>136</v>
      </c>
      <c r="AG116" t="s">
        <v>77</v>
      </c>
      <c r="AH116" t="str">
        <f t="shared" si="23"/>
        <v>Cancelled</v>
      </c>
      <c r="AI116" t="str">
        <f t="shared" si="24"/>
        <v>Valid</v>
      </c>
      <c r="AJ116">
        <f t="shared" si="25"/>
        <v>762.82999999999993</v>
      </c>
      <c r="AK116" s="12">
        <f t="shared" si="28"/>
        <v>0.19314303365438173</v>
      </c>
      <c r="AL116">
        <f t="shared" si="29"/>
        <v>9</v>
      </c>
      <c r="AM116">
        <f t="shared" si="30"/>
        <v>2024</v>
      </c>
      <c r="AN116" t="str">
        <f t="shared" si="31"/>
        <v>Clean</v>
      </c>
    </row>
    <row r="117" spans="1:40">
      <c r="A117" t="s">
        <v>665</v>
      </c>
      <c r="B117" s="3" t="s">
        <v>666</v>
      </c>
      <c r="C117" s="10">
        <v>45653</v>
      </c>
      <c r="D117" s="3" t="s">
        <v>667</v>
      </c>
      <c r="E117" s="10">
        <v>45658</v>
      </c>
      <c r="F117" s="6" t="str">
        <f t="shared" si="16"/>
        <v>Valid</v>
      </c>
      <c r="G117" s="8">
        <f t="shared" si="17"/>
        <v>5</v>
      </c>
      <c r="H117" s="8" t="str">
        <f t="shared" si="18"/>
        <v>Valid</v>
      </c>
      <c r="I117" t="s">
        <v>668</v>
      </c>
      <c r="J117" t="s">
        <v>365</v>
      </c>
      <c r="K117" t="s">
        <v>365</v>
      </c>
      <c r="L117" t="s">
        <v>107</v>
      </c>
      <c r="M117" s="3" t="str">
        <f t="shared" si="19"/>
        <v>Corporate</v>
      </c>
      <c r="N117" t="s">
        <v>61</v>
      </c>
      <c r="O117" s="3" t="str">
        <f t="shared" si="20"/>
        <v>South</v>
      </c>
      <c r="P117" t="s">
        <v>338</v>
      </c>
      <c r="Q117" t="s">
        <v>339</v>
      </c>
      <c r="R117" t="s">
        <v>29</v>
      </c>
      <c r="S117" s="3" t="str">
        <f t="shared" si="21"/>
        <v>Office Supplies</v>
      </c>
      <c r="T117" t="s">
        <v>197</v>
      </c>
      <c r="U117" t="s">
        <v>669</v>
      </c>
      <c r="V117" t="s">
        <v>47</v>
      </c>
      <c r="W117" s="3" t="str">
        <f t="shared" si="22"/>
        <v>Same Day</v>
      </c>
      <c r="X117">
        <v>2</v>
      </c>
      <c r="Y117">
        <v>446.34</v>
      </c>
      <c r="Z117">
        <v>0.15</v>
      </c>
      <c r="AA117">
        <f t="shared" si="26"/>
        <v>0.15</v>
      </c>
      <c r="AB117">
        <f t="shared" si="27"/>
        <v>758.77799999999991</v>
      </c>
      <c r="AC117">
        <v>758.78</v>
      </c>
      <c r="AD117">
        <v>490.74</v>
      </c>
      <c r="AE117">
        <v>268.04000000000002</v>
      </c>
      <c r="AF117" t="s">
        <v>33</v>
      </c>
      <c r="AG117" t="s">
        <v>77</v>
      </c>
      <c r="AH117" t="str">
        <f t="shared" si="23"/>
        <v>Cancelled</v>
      </c>
      <c r="AI117" t="str">
        <f t="shared" si="24"/>
        <v>Valid</v>
      </c>
      <c r="AJ117">
        <f t="shared" si="25"/>
        <v>268.03999999999996</v>
      </c>
      <c r="AK117" s="12">
        <f t="shared" si="28"/>
        <v>0.35325220288411102</v>
      </c>
      <c r="AL117">
        <f t="shared" si="29"/>
        <v>12</v>
      </c>
      <c r="AM117">
        <f t="shared" si="30"/>
        <v>2024</v>
      </c>
      <c r="AN117" t="str">
        <f t="shared" si="31"/>
        <v>Clean</v>
      </c>
    </row>
    <row r="118" spans="1:40">
      <c r="A118" t="s">
        <v>670</v>
      </c>
      <c r="B118" s="3" t="s">
        <v>671</v>
      </c>
      <c r="C118" s="10">
        <v>45703</v>
      </c>
      <c r="D118" s="3" t="s">
        <v>672</v>
      </c>
      <c r="E118" s="10">
        <v>45707</v>
      </c>
      <c r="F118" s="6" t="str">
        <f t="shared" si="16"/>
        <v>Valid</v>
      </c>
      <c r="G118" s="8">
        <f t="shared" si="17"/>
        <v>4</v>
      </c>
      <c r="H118" s="8" t="str">
        <f t="shared" si="18"/>
        <v>Valid</v>
      </c>
      <c r="I118" t="s">
        <v>673</v>
      </c>
      <c r="J118" t="s">
        <v>71</v>
      </c>
      <c r="K118" t="s">
        <v>71</v>
      </c>
      <c r="L118" t="s">
        <v>40</v>
      </c>
      <c r="M118" s="3" t="str">
        <f t="shared" si="19"/>
        <v>Small Business</v>
      </c>
      <c r="O118" s="3" t="str">
        <f t="shared" si="20"/>
        <v>Unknown</v>
      </c>
      <c r="P118" t="s">
        <v>83</v>
      </c>
      <c r="Q118" t="s">
        <v>84</v>
      </c>
      <c r="R118" t="s">
        <v>29</v>
      </c>
      <c r="S118" s="3" t="str">
        <f t="shared" si="21"/>
        <v>Office Supplies</v>
      </c>
      <c r="T118" t="s">
        <v>197</v>
      </c>
      <c r="U118" t="s">
        <v>674</v>
      </c>
      <c r="V118" t="s">
        <v>55</v>
      </c>
      <c r="W118" s="3" t="str">
        <f t="shared" si="22"/>
        <v>First Class</v>
      </c>
      <c r="X118">
        <v>9</v>
      </c>
      <c r="Y118">
        <v>531.99</v>
      </c>
      <c r="Z118">
        <v>0.25</v>
      </c>
      <c r="AA118">
        <f t="shared" si="26"/>
        <v>0.25</v>
      </c>
      <c r="AB118">
        <f t="shared" si="27"/>
        <v>3590.9324999999999</v>
      </c>
      <c r="AC118">
        <v>3590.93</v>
      </c>
      <c r="AD118">
        <v>3061.39</v>
      </c>
      <c r="AE118">
        <v>529.54</v>
      </c>
      <c r="AF118" t="s">
        <v>199</v>
      </c>
      <c r="AG118" t="s">
        <v>77</v>
      </c>
      <c r="AH118" t="str">
        <f t="shared" si="23"/>
        <v>Cancelled</v>
      </c>
      <c r="AI118" t="str">
        <f t="shared" si="24"/>
        <v>Valid</v>
      </c>
      <c r="AJ118">
        <f t="shared" si="25"/>
        <v>529.54</v>
      </c>
      <c r="AK118" s="12">
        <f t="shared" si="28"/>
        <v>0.14746587411487128</v>
      </c>
      <c r="AL118">
        <f t="shared" si="29"/>
        <v>2</v>
      </c>
      <c r="AM118">
        <f t="shared" si="30"/>
        <v>2025</v>
      </c>
      <c r="AN118" t="str">
        <f t="shared" si="31"/>
        <v>Clean</v>
      </c>
    </row>
    <row r="119" spans="1:40">
      <c r="A119" t="s">
        <v>675</v>
      </c>
      <c r="B119" s="3" t="s">
        <v>676</v>
      </c>
      <c r="C119" s="10">
        <v>45337</v>
      </c>
      <c r="D119" s="3" t="s">
        <v>677</v>
      </c>
      <c r="E119" s="10">
        <v>45339</v>
      </c>
      <c r="F119" s="6" t="str">
        <f t="shared" si="16"/>
        <v>Valid</v>
      </c>
      <c r="G119" s="8">
        <f t="shared" si="17"/>
        <v>2</v>
      </c>
      <c r="H119" s="8" t="str">
        <f t="shared" si="18"/>
        <v>Valid</v>
      </c>
      <c r="I119" t="s">
        <v>678</v>
      </c>
      <c r="J119" t="s">
        <v>39</v>
      </c>
      <c r="K119" t="s">
        <v>39</v>
      </c>
      <c r="L119" t="s">
        <v>114</v>
      </c>
      <c r="M119" s="3" t="str">
        <f t="shared" si="19"/>
        <v>Home Office</v>
      </c>
      <c r="N119" t="s">
        <v>61</v>
      </c>
      <c r="O119" s="3" t="str">
        <f t="shared" si="20"/>
        <v>South</v>
      </c>
      <c r="P119" t="s">
        <v>338</v>
      </c>
      <c r="Q119" t="s">
        <v>339</v>
      </c>
      <c r="R119" t="s">
        <v>85</v>
      </c>
      <c r="S119" s="3" t="str">
        <f t="shared" si="21"/>
        <v>Technology</v>
      </c>
      <c r="T119" t="s">
        <v>381</v>
      </c>
      <c r="U119" t="s">
        <v>679</v>
      </c>
      <c r="V119" t="s">
        <v>66</v>
      </c>
      <c r="W119" s="3" t="str">
        <f t="shared" si="22"/>
        <v>Standard Class</v>
      </c>
      <c r="X119">
        <v>9</v>
      </c>
      <c r="Y119">
        <v>3324.55</v>
      </c>
      <c r="Z119" t="s">
        <v>680</v>
      </c>
      <c r="AA119" t="str">
        <f t="shared" si="26"/>
        <v>70%</v>
      </c>
      <c r="AB119">
        <f t="shared" si="27"/>
        <v>8976.2850000000017</v>
      </c>
      <c r="AC119">
        <v>25432.81</v>
      </c>
      <c r="AD119">
        <v>20370.16</v>
      </c>
      <c r="AE119">
        <v>5062.6499999999996</v>
      </c>
      <c r="AF119" t="s">
        <v>33</v>
      </c>
      <c r="AG119" t="s">
        <v>34</v>
      </c>
      <c r="AH119" t="str">
        <f t="shared" si="23"/>
        <v>Completed</v>
      </c>
      <c r="AI119" t="str">
        <f t="shared" si="24"/>
        <v>Invalid - Discount Above Range</v>
      </c>
      <c r="AJ119">
        <f t="shared" si="25"/>
        <v>5062.6500000000015</v>
      </c>
      <c r="AK119" s="12">
        <f t="shared" si="28"/>
        <v>0.56400281408177222</v>
      </c>
      <c r="AL119">
        <f t="shared" si="29"/>
        <v>2</v>
      </c>
      <c r="AM119">
        <f t="shared" si="30"/>
        <v>2024</v>
      </c>
      <c r="AN119" t="str">
        <f t="shared" si="31"/>
        <v>Clean</v>
      </c>
    </row>
    <row r="120" spans="1:40">
      <c r="A120" t="s">
        <v>681</v>
      </c>
      <c r="B120" s="3" t="s">
        <v>682</v>
      </c>
      <c r="C120" s="10">
        <v>45453</v>
      </c>
      <c r="D120" s="3" t="s">
        <v>683</v>
      </c>
      <c r="E120" s="10">
        <v>45461</v>
      </c>
      <c r="F120" s="6" t="str">
        <f t="shared" si="16"/>
        <v>Valid</v>
      </c>
      <c r="G120" s="8">
        <f t="shared" si="17"/>
        <v>8</v>
      </c>
      <c r="H120" s="8" t="str">
        <f t="shared" si="18"/>
        <v>Valid</v>
      </c>
      <c r="I120" t="s">
        <v>684</v>
      </c>
      <c r="J120" t="s">
        <v>685</v>
      </c>
      <c r="K120" t="s">
        <v>82</v>
      </c>
      <c r="L120" t="s">
        <v>114</v>
      </c>
      <c r="M120" s="3" t="str">
        <f t="shared" si="19"/>
        <v>Home Office</v>
      </c>
      <c r="N120" t="s">
        <v>61</v>
      </c>
      <c r="O120" s="3" t="str">
        <f t="shared" si="20"/>
        <v>South</v>
      </c>
      <c r="P120" t="s">
        <v>99</v>
      </c>
      <c r="Q120" t="s">
        <v>100</v>
      </c>
      <c r="R120" t="s">
        <v>85</v>
      </c>
      <c r="S120" s="3" t="str">
        <f t="shared" si="21"/>
        <v>Technology</v>
      </c>
      <c r="T120" t="s">
        <v>93</v>
      </c>
      <c r="U120" t="s">
        <v>686</v>
      </c>
      <c r="V120" t="s">
        <v>47</v>
      </c>
      <c r="W120" s="3" t="str">
        <f t="shared" si="22"/>
        <v>Same Day</v>
      </c>
      <c r="X120">
        <v>5</v>
      </c>
      <c r="Y120">
        <v>1580.27</v>
      </c>
      <c r="Z120">
        <v>0.2</v>
      </c>
      <c r="AA120">
        <f t="shared" si="26"/>
        <v>0.2</v>
      </c>
      <c r="AB120">
        <f t="shared" si="27"/>
        <v>6321.0800000000008</v>
      </c>
      <c r="AC120">
        <v>6321.08</v>
      </c>
      <c r="AD120">
        <v>4407.22</v>
      </c>
      <c r="AE120">
        <v>1913.86</v>
      </c>
      <c r="AF120" t="s">
        <v>33</v>
      </c>
      <c r="AG120" t="s">
        <v>34</v>
      </c>
      <c r="AH120" t="str">
        <f t="shared" si="23"/>
        <v>Completed</v>
      </c>
      <c r="AI120" t="str">
        <f t="shared" si="24"/>
        <v>Valid</v>
      </c>
      <c r="AJ120">
        <f t="shared" si="25"/>
        <v>1913.8599999999997</v>
      </c>
      <c r="AK120" s="12">
        <f t="shared" si="28"/>
        <v>0.30277420947053341</v>
      </c>
      <c r="AL120">
        <f t="shared" si="29"/>
        <v>6</v>
      </c>
      <c r="AM120">
        <f t="shared" si="30"/>
        <v>2024</v>
      </c>
      <c r="AN120" t="str">
        <f t="shared" si="31"/>
        <v>Clean</v>
      </c>
    </row>
    <row r="121" spans="1:40">
      <c r="A121" t="s">
        <v>687</v>
      </c>
      <c r="B121" s="3" t="s">
        <v>688</v>
      </c>
      <c r="C121" s="10">
        <v>45455</v>
      </c>
      <c r="D121" s="3" t="s">
        <v>689</v>
      </c>
      <c r="E121" s="10">
        <v>45462</v>
      </c>
      <c r="F121" s="6" t="str">
        <f t="shared" si="16"/>
        <v>Valid</v>
      </c>
      <c r="G121" s="8">
        <f t="shared" si="17"/>
        <v>7</v>
      </c>
      <c r="H121" s="8" t="str">
        <f t="shared" si="18"/>
        <v>Valid</v>
      </c>
      <c r="I121" t="s">
        <v>690</v>
      </c>
      <c r="J121" t="s">
        <v>106</v>
      </c>
      <c r="K121" t="s">
        <v>106</v>
      </c>
      <c r="L121" t="s">
        <v>40</v>
      </c>
      <c r="M121" s="3" t="str">
        <f t="shared" si="19"/>
        <v>Small Business</v>
      </c>
      <c r="N121" t="s">
        <v>61</v>
      </c>
      <c r="O121" s="3" t="str">
        <f t="shared" si="20"/>
        <v>South</v>
      </c>
      <c r="P121" t="s">
        <v>241</v>
      </c>
      <c r="Q121" t="s">
        <v>242</v>
      </c>
      <c r="R121" t="s">
        <v>44</v>
      </c>
      <c r="S121" s="3" t="str">
        <f t="shared" si="21"/>
        <v>Furniture</v>
      </c>
      <c r="T121" t="s">
        <v>75</v>
      </c>
      <c r="U121" t="s">
        <v>691</v>
      </c>
      <c r="V121" t="s">
        <v>66</v>
      </c>
      <c r="W121" s="3" t="str">
        <f t="shared" si="22"/>
        <v>Standard Class</v>
      </c>
      <c r="X121">
        <v>8</v>
      </c>
      <c r="Y121">
        <v>314.05</v>
      </c>
      <c r="Z121">
        <v>0.25</v>
      </c>
      <c r="AA121">
        <f t="shared" si="26"/>
        <v>0.25</v>
      </c>
      <c r="AB121">
        <f t="shared" si="27"/>
        <v>1884.3000000000002</v>
      </c>
      <c r="AC121">
        <v>1884.3</v>
      </c>
      <c r="AD121">
        <v>1517.69</v>
      </c>
      <c r="AE121">
        <v>366.61</v>
      </c>
      <c r="AF121" t="s">
        <v>123</v>
      </c>
      <c r="AG121" t="s">
        <v>124</v>
      </c>
      <c r="AH121" t="str">
        <f t="shared" si="23"/>
        <v>Returned</v>
      </c>
      <c r="AI121" t="str">
        <f t="shared" si="24"/>
        <v>Valid</v>
      </c>
      <c r="AJ121">
        <f t="shared" si="25"/>
        <v>366.6099999999999</v>
      </c>
      <c r="AK121" s="12">
        <f t="shared" si="28"/>
        <v>0.19456031417502515</v>
      </c>
      <c r="AL121">
        <f t="shared" si="29"/>
        <v>6</v>
      </c>
      <c r="AM121">
        <f t="shared" si="30"/>
        <v>2024</v>
      </c>
      <c r="AN121" t="str">
        <f t="shared" si="31"/>
        <v>Clean</v>
      </c>
    </row>
    <row r="122" spans="1:40">
      <c r="A122" t="s">
        <v>692</v>
      </c>
      <c r="B122" s="3" t="s">
        <v>502</v>
      </c>
      <c r="C122" s="10">
        <v>45514</v>
      </c>
      <c r="D122" s="3" t="s">
        <v>693</v>
      </c>
      <c r="E122" s="10">
        <v>45522</v>
      </c>
      <c r="F122" s="6" t="str">
        <f t="shared" si="16"/>
        <v>Valid</v>
      </c>
      <c r="G122" s="8">
        <f t="shared" si="17"/>
        <v>8</v>
      </c>
      <c r="H122" s="8" t="str">
        <f t="shared" si="18"/>
        <v>Valid</v>
      </c>
      <c r="I122" t="s">
        <v>694</v>
      </c>
      <c r="J122" t="s">
        <v>167</v>
      </c>
      <c r="K122" t="s">
        <v>167</v>
      </c>
      <c r="L122" t="s">
        <v>40</v>
      </c>
      <c r="M122" s="3" t="str">
        <f t="shared" si="19"/>
        <v>Small Business</v>
      </c>
      <c r="N122" t="s">
        <v>41</v>
      </c>
      <c r="O122" s="3" t="str">
        <f t="shared" si="20"/>
        <v>East</v>
      </c>
      <c r="P122" t="s">
        <v>185</v>
      </c>
      <c r="Q122" t="s">
        <v>186</v>
      </c>
      <c r="R122" t="s">
        <v>85</v>
      </c>
      <c r="S122" s="3" t="str">
        <f t="shared" si="21"/>
        <v>Technology</v>
      </c>
      <c r="T122" t="s">
        <v>222</v>
      </c>
      <c r="U122" t="s">
        <v>695</v>
      </c>
      <c r="V122" t="s">
        <v>66</v>
      </c>
      <c r="W122" s="3" t="str">
        <f t="shared" si="22"/>
        <v>Standard Class</v>
      </c>
      <c r="X122">
        <v>1</v>
      </c>
      <c r="Y122">
        <v>1823.67</v>
      </c>
      <c r="Z122">
        <v>0.2</v>
      </c>
      <c r="AA122">
        <f t="shared" si="26"/>
        <v>0.2</v>
      </c>
      <c r="AB122">
        <f t="shared" si="27"/>
        <v>1458.9360000000001</v>
      </c>
      <c r="AC122">
        <v>1458.94</v>
      </c>
      <c r="AD122">
        <v>893.2</v>
      </c>
      <c r="AE122">
        <v>565.74</v>
      </c>
      <c r="AF122" t="s">
        <v>33</v>
      </c>
      <c r="AG122" t="s">
        <v>124</v>
      </c>
      <c r="AH122" t="str">
        <f t="shared" si="23"/>
        <v>Returned</v>
      </c>
      <c r="AI122" t="str">
        <f t="shared" si="24"/>
        <v>Valid</v>
      </c>
      <c r="AJ122">
        <f t="shared" si="25"/>
        <v>565.74</v>
      </c>
      <c r="AK122" s="12">
        <f t="shared" si="28"/>
        <v>0.38777574890193944</v>
      </c>
      <c r="AL122">
        <f t="shared" si="29"/>
        <v>8</v>
      </c>
      <c r="AM122">
        <f t="shared" si="30"/>
        <v>2024</v>
      </c>
      <c r="AN122" t="str">
        <f t="shared" si="31"/>
        <v>Clean</v>
      </c>
    </row>
    <row r="123" spans="1:40">
      <c r="A123" t="s">
        <v>696</v>
      </c>
      <c r="B123" s="3" t="s">
        <v>697</v>
      </c>
      <c r="C123" s="10">
        <v>45891</v>
      </c>
      <c r="D123" s="3" t="s">
        <v>698</v>
      </c>
      <c r="E123" s="10">
        <v>45895</v>
      </c>
      <c r="F123" s="6" t="str">
        <f t="shared" si="16"/>
        <v>Valid</v>
      </c>
      <c r="G123" s="8">
        <f t="shared" si="17"/>
        <v>4</v>
      </c>
      <c r="H123" s="8" t="str">
        <f t="shared" si="18"/>
        <v>Valid</v>
      </c>
      <c r="I123" t="s">
        <v>699</v>
      </c>
      <c r="J123" t="s">
        <v>365</v>
      </c>
      <c r="K123" t="s">
        <v>365</v>
      </c>
      <c r="L123" t="s">
        <v>700</v>
      </c>
      <c r="M123" s="3" t="str">
        <f t="shared" si="19"/>
        <v>Small Business</v>
      </c>
      <c r="N123" t="s">
        <v>61</v>
      </c>
      <c r="O123" s="3" t="str">
        <f t="shared" si="20"/>
        <v>South</v>
      </c>
      <c r="P123" t="s">
        <v>99</v>
      </c>
      <c r="Q123" t="s">
        <v>100</v>
      </c>
      <c r="R123" t="s">
        <v>85</v>
      </c>
      <c r="S123" s="3" t="str">
        <f t="shared" si="21"/>
        <v>Technology</v>
      </c>
      <c r="T123" t="s">
        <v>381</v>
      </c>
      <c r="U123" t="s">
        <v>701</v>
      </c>
      <c r="V123" t="s">
        <v>32</v>
      </c>
      <c r="W123" s="3" t="str">
        <f t="shared" si="22"/>
        <v>Second Class</v>
      </c>
      <c r="X123">
        <v>5</v>
      </c>
      <c r="Y123">
        <v>3482.92</v>
      </c>
      <c r="Z123">
        <v>0</v>
      </c>
      <c r="AA123">
        <f t="shared" si="26"/>
        <v>0</v>
      </c>
      <c r="AB123">
        <f t="shared" si="27"/>
        <v>17414.599999999999</v>
      </c>
      <c r="AC123">
        <v>17414.599999999999</v>
      </c>
      <c r="AD123">
        <v>11760.91</v>
      </c>
      <c r="AE123">
        <v>5653.69</v>
      </c>
      <c r="AF123" t="s">
        <v>123</v>
      </c>
      <c r="AG123" t="s">
        <v>77</v>
      </c>
      <c r="AH123" t="str">
        <f t="shared" si="23"/>
        <v>Cancelled</v>
      </c>
      <c r="AI123" t="str">
        <f t="shared" si="24"/>
        <v>Valid</v>
      </c>
      <c r="AJ123">
        <f t="shared" si="25"/>
        <v>5653.6899999999987</v>
      </c>
      <c r="AK123" s="12">
        <f t="shared" si="28"/>
        <v>0.3246523032398102</v>
      </c>
      <c r="AL123">
        <f t="shared" si="29"/>
        <v>8</v>
      </c>
      <c r="AM123">
        <f t="shared" si="30"/>
        <v>2025</v>
      </c>
      <c r="AN123" t="str">
        <f t="shared" si="31"/>
        <v>Clean</v>
      </c>
    </row>
    <row r="124" spans="1:40">
      <c r="A124" t="s">
        <v>702</v>
      </c>
      <c r="B124" s="3" t="s">
        <v>703</v>
      </c>
      <c r="C124" s="10">
        <v>45626</v>
      </c>
      <c r="D124" s="3" t="s">
        <v>704</v>
      </c>
      <c r="E124" s="10">
        <v>45630</v>
      </c>
      <c r="F124" s="6" t="str">
        <f t="shared" si="16"/>
        <v>Valid</v>
      </c>
      <c r="G124" s="8">
        <f t="shared" si="17"/>
        <v>4</v>
      </c>
      <c r="H124" s="8" t="str">
        <f t="shared" si="18"/>
        <v>Valid</v>
      </c>
      <c r="I124" t="s">
        <v>705</v>
      </c>
      <c r="J124" t="s">
        <v>71</v>
      </c>
      <c r="K124" t="s">
        <v>71</v>
      </c>
      <c r="L124" t="s">
        <v>40</v>
      </c>
      <c r="M124" s="3" t="str">
        <f t="shared" si="19"/>
        <v>Small Business</v>
      </c>
      <c r="N124" t="s">
        <v>41</v>
      </c>
      <c r="O124" s="3" t="str">
        <f t="shared" si="20"/>
        <v>East</v>
      </c>
      <c r="P124" t="s">
        <v>215</v>
      </c>
      <c r="Q124" t="s">
        <v>216</v>
      </c>
      <c r="R124" t="s">
        <v>44</v>
      </c>
      <c r="S124" s="3" t="str">
        <f t="shared" si="21"/>
        <v>Furniture</v>
      </c>
      <c r="T124" t="s">
        <v>75</v>
      </c>
      <c r="U124" t="s">
        <v>706</v>
      </c>
      <c r="V124" t="s">
        <v>32</v>
      </c>
      <c r="W124" s="3" t="str">
        <f t="shared" si="22"/>
        <v>Second Class</v>
      </c>
      <c r="X124">
        <v>3</v>
      </c>
      <c r="Y124">
        <v>170.35</v>
      </c>
      <c r="Z124">
        <v>0</v>
      </c>
      <c r="AA124">
        <f t="shared" si="26"/>
        <v>0</v>
      </c>
      <c r="AB124">
        <f t="shared" si="27"/>
        <v>511.04999999999995</v>
      </c>
      <c r="AC124">
        <v>511.05</v>
      </c>
      <c r="AD124">
        <v>367.18</v>
      </c>
      <c r="AE124">
        <v>143.87</v>
      </c>
      <c r="AF124" t="s">
        <v>33</v>
      </c>
      <c r="AG124" t="s">
        <v>34</v>
      </c>
      <c r="AH124" t="str">
        <f t="shared" si="23"/>
        <v>Completed</v>
      </c>
      <c r="AI124" t="str">
        <f t="shared" si="24"/>
        <v>Valid</v>
      </c>
      <c r="AJ124">
        <f t="shared" si="25"/>
        <v>143.87</v>
      </c>
      <c r="AK124" s="12">
        <f t="shared" si="28"/>
        <v>0.2815184424224636</v>
      </c>
      <c r="AL124">
        <f t="shared" si="29"/>
        <v>11</v>
      </c>
      <c r="AM124">
        <f t="shared" si="30"/>
        <v>2024</v>
      </c>
      <c r="AN124" t="str">
        <f t="shared" si="31"/>
        <v>Clean</v>
      </c>
    </row>
    <row r="125" spans="1:40">
      <c r="A125" t="s">
        <v>707</v>
      </c>
      <c r="B125" s="3" t="s">
        <v>708</v>
      </c>
      <c r="C125" s="10">
        <v>45436</v>
      </c>
      <c r="D125" s="3" t="s">
        <v>709</v>
      </c>
      <c r="E125" s="10">
        <v>45437</v>
      </c>
      <c r="F125" s="6" t="str">
        <f t="shared" si="16"/>
        <v>Valid</v>
      </c>
      <c r="G125" s="8">
        <f t="shared" si="17"/>
        <v>1</v>
      </c>
      <c r="H125" s="8" t="str">
        <f t="shared" si="18"/>
        <v>Valid</v>
      </c>
      <c r="I125" t="s">
        <v>710</v>
      </c>
      <c r="J125" t="s">
        <v>167</v>
      </c>
      <c r="K125" t="s">
        <v>167</v>
      </c>
      <c r="L125" t="s">
        <v>40</v>
      </c>
      <c r="M125" s="3" t="str">
        <f t="shared" si="19"/>
        <v>Small Business</v>
      </c>
      <c r="N125" t="s">
        <v>711</v>
      </c>
      <c r="O125" s="3" t="str">
        <f t="shared" si="20"/>
        <v>North</v>
      </c>
      <c r="P125" t="s">
        <v>153</v>
      </c>
      <c r="Q125" t="s">
        <v>154</v>
      </c>
      <c r="R125" t="s">
        <v>85</v>
      </c>
      <c r="S125" s="3" t="str">
        <f t="shared" si="21"/>
        <v>Technology</v>
      </c>
      <c r="T125" t="s">
        <v>93</v>
      </c>
      <c r="U125" t="s">
        <v>712</v>
      </c>
      <c r="V125" t="s">
        <v>47</v>
      </c>
      <c r="W125" s="3" t="str">
        <f t="shared" si="22"/>
        <v>Same Day</v>
      </c>
      <c r="X125">
        <v>1</v>
      </c>
      <c r="Y125">
        <v>634.13</v>
      </c>
      <c r="Z125">
        <v>0</v>
      </c>
      <c r="AA125">
        <f t="shared" si="26"/>
        <v>0</v>
      </c>
      <c r="AB125">
        <f t="shared" si="27"/>
        <v>634.13</v>
      </c>
      <c r="AC125">
        <v>634.13</v>
      </c>
      <c r="AD125">
        <v>453.35</v>
      </c>
      <c r="AE125">
        <v>180.78</v>
      </c>
      <c r="AF125" t="s">
        <v>123</v>
      </c>
      <c r="AG125" t="s">
        <v>77</v>
      </c>
      <c r="AH125" t="str">
        <f t="shared" si="23"/>
        <v>Cancelled</v>
      </c>
      <c r="AI125" t="str">
        <f t="shared" si="24"/>
        <v>Valid</v>
      </c>
      <c r="AJ125">
        <f t="shared" si="25"/>
        <v>180.77999999999997</v>
      </c>
      <c r="AK125" s="12">
        <f t="shared" si="28"/>
        <v>0.28508350022865969</v>
      </c>
      <c r="AL125">
        <f t="shared" si="29"/>
        <v>5</v>
      </c>
      <c r="AM125">
        <f t="shared" si="30"/>
        <v>2024</v>
      </c>
      <c r="AN125" t="str">
        <f t="shared" si="31"/>
        <v>Clean</v>
      </c>
    </row>
    <row r="126" spans="1:40">
      <c r="A126" t="s">
        <v>713</v>
      </c>
      <c r="B126" s="3" t="s">
        <v>21</v>
      </c>
      <c r="C126" s="10">
        <v>45494</v>
      </c>
      <c r="D126" s="3" t="s">
        <v>714</v>
      </c>
      <c r="E126" s="10">
        <v>45497</v>
      </c>
      <c r="F126" s="6" t="str">
        <f t="shared" si="16"/>
        <v>Valid</v>
      </c>
      <c r="G126" s="8">
        <f t="shared" si="17"/>
        <v>3</v>
      </c>
      <c r="H126" s="8" t="str">
        <f t="shared" si="18"/>
        <v>Valid</v>
      </c>
      <c r="I126" t="s">
        <v>715</v>
      </c>
      <c r="J126" t="s">
        <v>52</v>
      </c>
      <c r="K126" t="s">
        <v>52</v>
      </c>
      <c r="L126" t="s">
        <v>107</v>
      </c>
      <c r="M126" s="3" t="str">
        <f t="shared" si="19"/>
        <v>Corporate</v>
      </c>
      <c r="N126" t="s">
        <v>61</v>
      </c>
      <c r="O126" s="3" t="str">
        <f t="shared" si="20"/>
        <v>South</v>
      </c>
      <c r="P126" t="s">
        <v>228</v>
      </c>
      <c r="Q126" t="s">
        <v>229</v>
      </c>
      <c r="R126" t="s">
        <v>85</v>
      </c>
      <c r="S126" s="3" t="str">
        <f t="shared" si="21"/>
        <v>Technology</v>
      </c>
      <c r="T126" t="s">
        <v>93</v>
      </c>
      <c r="U126" t="s">
        <v>716</v>
      </c>
      <c r="V126" t="s">
        <v>66</v>
      </c>
      <c r="W126" s="3" t="str">
        <f t="shared" si="22"/>
        <v>Standard Class</v>
      </c>
      <c r="X126">
        <v>9</v>
      </c>
      <c r="Y126">
        <v>465.06</v>
      </c>
      <c r="Z126">
        <v>-0.15</v>
      </c>
      <c r="AA126">
        <f t="shared" si="26"/>
        <v>-0.15</v>
      </c>
      <c r="AB126">
        <f t="shared" si="27"/>
        <v>4813.3709999999992</v>
      </c>
      <c r="AC126">
        <v>4185.54</v>
      </c>
      <c r="AD126">
        <v>3443.74</v>
      </c>
      <c r="AE126">
        <v>741.8</v>
      </c>
      <c r="AF126" t="s">
        <v>33</v>
      </c>
      <c r="AG126" t="s">
        <v>34</v>
      </c>
      <c r="AH126" t="str">
        <f t="shared" si="23"/>
        <v>Completed</v>
      </c>
      <c r="AI126" t="str">
        <f t="shared" si="24"/>
        <v>Invalid - Negative Discount</v>
      </c>
      <c r="AJ126">
        <f t="shared" si="25"/>
        <v>741.80000000000018</v>
      </c>
      <c r="AK126" s="12">
        <f t="shared" si="28"/>
        <v>0.15411236740321912</v>
      </c>
      <c r="AL126">
        <f t="shared" si="29"/>
        <v>7</v>
      </c>
      <c r="AM126">
        <f t="shared" si="30"/>
        <v>2024</v>
      </c>
      <c r="AN126" t="str">
        <f t="shared" si="31"/>
        <v>Clean</v>
      </c>
    </row>
    <row r="127" spans="1:40">
      <c r="A127" t="s">
        <v>717</v>
      </c>
      <c r="B127" s="3" t="s">
        <v>718</v>
      </c>
      <c r="C127" s="10">
        <v>45855</v>
      </c>
      <c r="D127" s="3" t="s">
        <v>719</v>
      </c>
      <c r="E127" s="10">
        <v>45856</v>
      </c>
      <c r="F127" s="6" t="str">
        <f t="shared" si="16"/>
        <v>Valid</v>
      </c>
      <c r="G127" s="8">
        <f t="shared" si="17"/>
        <v>1</v>
      </c>
      <c r="H127" s="8" t="str">
        <f t="shared" si="18"/>
        <v>Valid</v>
      </c>
      <c r="I127" t="s">
        <v>720</v>
      </c>
      <c r="J127" t="s">
        <v>92</v>
      </c>
      <c r="K127" t="s">
        <v>92</v>
      </c>
      <c r="L127" t="s">
        <v>40</v>
      </c>
      <c r="M127" s="3" t="str">
        <f t="shared" si="19"/>
        <v>Small Business</v>
      </c>
      <c r="N127" t="s">
        <v>72</v>
      </c>
      <c r="O127" s="3" t="str">
        <f t="shared" si="20"/>
        <v>West</v>
      </c>
      <c r="P127" t="s">
        <v>27</v>
      </c>
      <c r="Q127" t="s">
        <v>134</v>
      </c>
      <c r="R127" t="s">
        <v>44</v>
      </c>
      <c r="S127" s="3" t="str">
        <f t="shared" si="21"/>
        <v>Furniture</v>
      </c>
      <c r="T127" t="s">
        <v>45</v>
      </c>
      <c r="U127" t="s">
        <v>721</v>
      </c>
      <c r="V127" t="s">
        <v>47</v>
      </c>
      <c r="W127" s="3" t="str">
        <f t="shared" si="22"/>
        <v>Same Day</v>
      </c>
      <c r="X127">
        <v>6</v>
      </c>
      <c r="Y127">
        <v>3235.27</v>
      </c>
      <c r="Z127">
        <v>0.25</v>
      </c>
      <c r="AA127">
        <f t="shared" si="26"/>
        <v>0.25</v>
      </c>
      <c r="AB127">
        <f t="shared" si="27"/>
        <v>14558.715</v>
      </c>
      <c r="AC127">
        <v>14558.72</v>
      </c>
      <c r="AD127">
        <v>9591.48</v>
      </c>
      <c r="AE127">
        <v>4967.24</v>
      </c>
      <c r="AF127" t="s">
        <v>123</v>
      </c>
      <c r="AG127" t="s">
        <v>124</v>
      </c>
      <c r="AH127" t="str">
        <f t="shared" si="23"/>
        <v>Returned</v>
      </c>
      <c r="AI127" t="str">
        <f t="shared" si="24"/>
        <v>Valid</v>
      </c>
      <c r="AJ127">
        <f t="shared" si="25"/>
        <v>4967.24</v>
      </c>
      <c r="AK127" s="12">
        <f t="shared" si="28"/>
        <v>0.34118670500796255</v>
      </c>
      <c r="AL127">
        <f t="shared" si="29"/>
        <v>7</v>
      </c>
      <c r="AM127">
        <f t="shared" si="30"/>
        <v>2025</v>
      </c>
      <c r="AN127" t="str">
        <f t="shared" si="31"/>
        <v>Clean</v>
      </c>
    </row>
    <row r="128" spans="1:40">
      <c r="A128" t="s">
        <v>722</v>
      </c>
      <c r="B128" s="3" t="s">
        <v>723</v>
      </c>
      <c r="C128" s="10">
        <v>45924</v>
      </c>
      <c r="D128" s="3" t="s">
        <v>724</v>
      </c>
      <c r="E128" s="10">
        <v>45926</v>
      </c>
      <c r="F128" s="6" t="str">
        <f t="shared" si="16"/>
        <v>Valid</v>
      </c>
      <c r="G128" s="8">
        <f t="shared" si="17"/>
        <v>2</v>
      </c>
      <c r="H128" s="8" t="str">
        <f t="shared" si="18"/>
        <v>Valid</v>
      </c>
      <c r="I128" t="s">
        <v>725</v>
      </c>
      <c r="J128" t="s">
        <v>141</v>
      </c>
      <c r="K128" t="s">
        <v>141</v>
      </c>
      <c r="L128" t="s">
        <v>107</v>
      </c>
      <c r="M128" s="3" t="str">
        <f t="shared" si="19"/>
        <v>Corporate</v>
      </c>
      <c r="N128" t="s">
        <v>26</v>
      </c>
      <c r="O128" s="3" t="str">
        <f t="shared" si="20"/>
        <v>North</v>
      </c>
      <c r="P128" t="s">
        <v>505</v>
      </c>
      <c r="Q128" t="s">
        <v>506</v>
      </c>
      <c r="R128" t="s">
        <v>85</v>
      </c>
      <c r="S128" s="3" t="str">
        <f t="shared" si="21"/>
        <v>Technology</v>
      </c>
      <c r="T128" t="s">
        <v>93</v>
      </c>
      <c r="U128" t="s">
        <v>726</v>
      </c>
      <c r="V128" t="s">
        <v>66</v>
      </c>
      <c r="W128" s="3" t="str">
        <f t="shared" si="22"/>
        <v>Standard Class</v>
      </c>
      <c r="X128">
        <v>3</v>
      </c>
      <c r="Y128">
        <v>1593.86</v>
      </c>
      <c r="Z128">
        <v>0.1</v>
      </c>
      <c r="AA128">
        <f t="shared" si="26"/>
        <v>0.1</v>
      </c>
      <c r="AB128">
        <f t="shared" si="27"/>
        <v>4303.4220000000005</v>
      </c>
      <c r="AC128">
        <v>4303.42</v>
      </c>
      <c r="AD128">
        <v>2568.5700000000002</v>
      </c>
      <c r="AE128">
        <v>1734.85</v>
      </c>
      <c r="AF128" t="s">
        <v>33</v>
      </c>
      <c r="AG128" t="s">
        <v>34</v>
      </c>
      <c r="AH128" t="str">
        <f t="shared" si="23"/>
        <v>Completed</v>
      </c>
      <c r="AI128" t="str">
        <f t="shared" si="24"/>
        <v>Valid</v>
      </c>
      <c r="AJ128">
        <f t="shared" si="25"/>
        <v>1734.85</v>
      </c>
      <c r="AK128" s="12">
        <f t="shared" si="28"/>
        <v>0.40313266976838424</v>
      </c>
      <c r="AL128">
        <f t="shared" si="29"/>
        <v>9</v>
      </c>
      <c r="AM128">
        <f t="shared" si="30"/>
        <v>2025</v>
      </c>
      <c r="AN128" t="str">
        <f t="shared" si="31"/>
        <v>Clean</v>
      </c>
    </row>
    <row r="129" spans="1:40">
      <c r="A129" t="s">
        <v>727</v>
      </c>
      <c r="B129" s="3" t="s">
        <v>190</v>
      </c>
      <c r="C129" s="10">
        <v>45687</v>
      </c>
      <c r="D129" s="3" t="s">
        <v>728</v>
      </c>
      <c r="E129" s="10">
        <v>45683</v>
      </c>
      <c r="F129" s="6" t="str">
        <f t="shared" si="16"/>
        <v>Invalid Shipping Record</v>
      </c>
      <c r="G129" s="8">
        <f t="shared" si="17"/>
        <v>-4</v>
      </c>
      <c r="H129" s="8" t="str">
        <f t="shared" si="18"/>
        <v>Invalid Shipping Record</v>
      </c>
      <c r="I129" t="s">
        <v>729</v>
      </c>
      <c r="J129" t="s">
        <v>141</v>
      </c>
      <c r="K129" t="s">
        <v>141</v>
      </c>
      <c r="L129" t="s">
        <v>107</v>
      </c>
      <c r="M129" s="3" t="str">
        <f t="shared" si="19"/>
        <v>Corporate</v>
      </c>
      <c r="N129" t="s">
        <v>72</v>
      </c>
      <c r="O129" s="3" t="str">
        <f t="shared" si="20"/>
        <v>West</v>
      </c>
      <c r="P129" t="s">
        <v>83</v>
      </c>
      <c r="Q129" t="s">
        <v>84</v>
      </c>
      <c r="R129" t="s">
        <v>29</v>
      </c>
      <c r="S129" s="3" t="str">
        <f t="shared" si="21"/>
        <v>Office Supplies</v>
      </c>
      <c r="T129" t="s">
        <v>155</v>
      </c>
      <c r="U129" t="s">
        <v>730</v>
      </c>
      <c r="V129" t="s">
        <v>32</v>
      </c>
      <c r="W129" s="3" t="str">
        <f t="shared" si="22"/>
        <v>Second Class</v>
      </c>
      <c r="X129">
        <v>2</v>
      </c>
      <c r="Y129">
        <v>3039.3</v>
      </c>
      <c r="Z129">
        <v>0.05</v>
      </c>
      <c r="AA129">
        <f t="shared" si="26"/>
        <v>0.05</v>
      </c>
      <c r="AB129">
        <f t="shared" si="27"/>
        <v>5774.67</v>
      </c>
      <c r="AC129">
        <v>5774.67</v>
      </c>
      <c r="AD129">
        <v>3518.36</v>
      </c>
      <c r="AE129">
        <v>2256.31</v>
      </c>
      <c r="AF129" t="s">
        <v>33</v>
      </c>
      <c r="AG129" t="s">
        <v>34</v>
      </c>
      <c r="AH129" t="str">
        <f t="shared" si="23"/>
        <v>Completed</v>
      </c>
      <c r="AI129" t="str">
        <f t="shared" si="24"/>
        <v>Valid</v>
      </c>
      <c r="AJ129">
        <f t="shared" si="25"/>
        <v>2256.31</v>
      </c>
      <c r="AK129" s="12">
        <f t="shared" si="28"/>
        <v>0.39072535746631409</v>
      </c>
      <c r="AL129">
        <f t="shared" si="29"/>
        <v>1</v>
      </c>
      <c r="AM129">
        <f t="shared" si="30"/>
        <v>2025</v>
      </c>
      <c r="AN129" t="str">
        <f t="shared" si="31"/>
        <v>Invalid</v>
      </c>
    </row>
    <row r="130" spans="1:40">
      <c r="A130" t="s">
        <v>731</v>
      </c>
      <c r="B130" s="3" t="s">
        <v>732</v>
      </c>
      <c r="C130" s="10">
        <v>45639</v>
      </c>
      <c r="D130" s="3" t="s">
        <v>733</v>
      </c>
      <c r="E130" s="10">
        <v>45642</v>
      </c>
      <c r="F130" s="6" t="str">
        <f t="shared" ref="F130:F193" si="32">IF(E130&lt;C130,"Invalid Shipping Record","Valid")</f>
        <v>Valid</v>
      </c>
      <c r="G130" s="8">
        <f t="shared" ref="G130:G193" si="33">E130-C130</f>
        <v>3</v>
      </c>
      <c r="H130" s="8" t="str">
        <f t="shared" ref="H130:H193" si="34">IF(OR(C130="",E130=""),"Missing Date",IF(OR(NOT(ISNUMBER(C130)),NOT(ISNUMBER(E130))),"Invalid Date",IF(E130&lt;C130,"Invalid Shipping Record","Valid")))</f>
        <v>Valid</v>
      </c>
      <c r="I130" t="s">
        <v>734</v>
      </c>
      <c r="J130" t="s">
        <v>92</v>
      </c>
      <c r="K130" t="s">
        <v>92</v>
      </c>
      <c r="L130" t="s">
        <v>40</v>
      </c>
      <c r="M130" s="3" t="str">
        <f t="shared" ref="M130:M193" si="35">PROPER(TRIM(L130))</f>
        <v>Small Business</v>
      </c>
      <c r="N130" t="s">
        <v>41</v>
      </c>
      <c r="O130" s="3" t="str">
        <f t="shared" ref="O130:O193" si="36">IF(TRIM(N130)="","Unknown",PROPER(TRIM(N130)))</f>
        <v>East</v>
      </c>
      <c r="P130" t="s">
        <v>42</v>
      </c>
      <c r="Q130" t="s">
        <v>43</v>
      </c>
      <c r="R130" t="s">
        <v>44</v>
      </c>
      <c r="S130" s="3" t="str">
        <f t="shared" ref="S130:S193" si="37">PROPER(TRIM(R130))</f>
        <v>Furniture</v>
      </c>
      <c r="T130" t="s">
        <v>64</v>
      </c>
      <c r="U130" t="s">
        <v>735</v>
      </c>
      <c r="V130" t="s">
        <v>66</v>
      </c>
      <c r="W130" s="3" t="str">
        <f t="shared" ref="W130:W193" si="38">IF(TRIM(V130)="","Unknown",PROPER(TRIM(V130)))</f>
        <v>Standard Class</v>
      </c>
      <c r="X130">
        <v>5</v>
      </c>
      <c r="Y130">
        <v>923.45</v>
      </c>
      <c r="Z130">
        <v>0.05</v>
      </c>
      <c r="AA130">
        <f t="shared" si="26"/>
        <v>0.05</v>
      </c>
      <c r="AB130">
        <f t="shared" si="27"/>
        <v>4386.3874999999998</v>
      </c>
      <c r="AC130">
        <v>4386.3900000000003</v>
      </c>
      <c r="AD130">
        <v>3366.88</v>
      </c>
      <c r="AE130">
        <v>1019.51</v>
      </c>
      <c r="AF130" t="s">
        <v>33</v>
      </c>
      <c r="AG130" t="s">
        <v>124</v>
      </c>
      <c r="AH130" t="str">
        <f t="shared" ref="AH130:AH193" si="39">PROPER(TRIM(AG130))</f>
        <v>Returned</v>
      </c>
      <c r="AI130" t="str">
        <f t="shared" ref="AI130:AI193" si="40">IF(Z130&lt;0,"Invalid - Negative Discount",IF(Z130&gt;1,"Invalid - Discount Above Range","Valid"))</f>
        <v>Valid</v>
      </c>
      <c r="AJ130">
        <f t="shared" ref="AJ130:AJ193" si="41">AC130-AD130</f>
        <v>1019.5100000000002</v>
      </c>
      <c r="AK130" s="12">
        <f t="shared" si="28"/>
        <v>0.2324258857659065</v>
      </c>
      <c r="AL130">
        <f t="shared" si="29"/>
        <v>12</v>
      </c>
      <c r="AM130">
        <f t="shared" si="30"/>
        <v>2024</v>
      </c>
      <c r="AN130" t="str">
        <f t="shared" si="31"/>
        <v>Clean</v>
      </c>
    </row>
    <row r="131" spans="1:40">
      <c r="A131" t="s">
        <v>736</v>
      </c>
      <c r="B131" s="3" t="s">
        <v>405</v>
      </c>
      <c r="C131" s="10">
        <v>45492</v>
      </c>
      <c r="D131" s="3" t="s">
        <v>737</v>
      </c>
      <c r="E131" s="10">
        <v>45498</v>
      </c>
      <c r="F131" s="6" t="str">
        <f t="shared" si="32"/>
        <v>Valid</v>
      </c>
      <c r="G131" s="8">
        <f t="shared" si="33"/>
        <v>6</v>
      </c>
      <c r="H131" s="8" t="str">
        <f t="shared" si="34"/>
        <v>Valid</v>
      </c>
      <c r="I131" t="s">
        <v>738</v>
      </c>
      <c r="J131" t="s">
        <v>52</v>
      </c>
      <c r="K131" t="s">
        <v>52</v>
      </c>
      <c r="L131" t="s">
        <v>40</v>
      </c>
      <c r="M131" s="3" t="str">
        <f t="shared" si="35"/>
        <v>Small Business</v>
      </c>
      <c r="N131" t="s">
        <v>72</v>
      </c>
      <c r="O131" s="3" t="str">
        <f t="shared" si="36"/>
        <v>West</v>
      </c>
      <c r="P131" t="s">
        <v>248</v>
      </c>
      <c r="Q131" t="s">
        <v>249</v>
      </c>
      <c r="R131" t="s">
        <v>29</v>
      </c>
      <c r="S131" s="3" t="str">
        <f t="shared" si="37"/>
        <v>Office Supplies</v>
      </c>
      <c r="T131" t="s">
        <v>197</v>
      </c>
      <c r="U131" t="s">
        <v>739</v>
      </c>
      <c r="V131" t="s">
        <v>66</v>
      </c>
      <c r="W131" s="3" t="str">
        <f t="shared" si="38"/>
        <v>Standard Class</v>
      </c>
      <c r="X131">
        <v>7</v>
      </c>
      <c r="Y131">
        <v>2741.29</v>
      </c>
      <c r="Z131">
        <v>0.05</v>
      </c>
      <c r="AA131">
        <f t="shared" ref="AA131:AA194" si="42">IF(Z131="",0,Z131)</f>
        <v>0.05</v>
      </c>
      <c r="AB131">
        <f t="shared" ref="AB131:AB194" si="43">X131*Y131*(1-Z131)</f>
        <v>18229.5785</v>
      </c>
      <c r="AC131">
        <v>18229.580000000002</v>
      </c>
      <c r="AD131">
        <v>15139.15</v>
      </c>
      <c r="AE131">
        <v>3090.43</v>
      </c>
      <c r="AF131" t="s">
        <v>33</v>
      </c>
      <c r="AG131" t="s">
        <v>34</v>
      </c>
      <c r="AH131" t="str">
        <f t="shared" si="39"/>
        <v>Completed</v>
      </c>
      <c r="AI131" t="str">
        <f t="shared" si="40"/>
        <v>Valid</v>
      </c>
      <c r="AJ131">
        <f t="shared" si="41"/>
        <v>3090.4300000000021</v>
      </c>
      <c r="AK131" s="12">
        <f t="shared" ref="AK131:AK194" si="44">IF(AB131=0,"",AJ131/AB131)</f>
        <v>0.1695283300159684</v>
      </c>
      <c r="AL131">
        <f t="shared" ref="AL131:AL194" si="45">MONTH(C131)</f>
        <v>7</v>
      </c>
      <c r="AM131">
        <f t="shared" ref="AM131:AM194" si="46">YEAR(C131)</f>
        <v>2024</v>
      </c>
      <c r="AN131" t="str">
        <f t="shared" ref="AN131:AN194" si="47">IF(H131="Invalid Shipping Record","Invalid","Clean")</f>
        <v>Clean</v>
      </c>
    </row>
    <row r="132" spans="1:40">
      <c r="A132" t="s">
        <v>740</v>
      </c>
      <c r="B132" s="3" t="s">
        <v>741</v>
      </c>
      <c r="C132" s="10">
        <v>45318</v>
      </c>
      <c r="D132" s="3" t="s">
        <v>742</v>
      </c>
      <c r="E132" s="10">
        <v>45324</v>
      </c>
      <c r="F132" s="6" t="str">
        <f t="shared" si="32"/>
        <v>Valid</v>
      </c>
      <c r="G132" s="8">
        <f t="shared" si="33"/>
        <v>6</v>
      </c>
      <c r="H132" s="8" t="str">
        <f t="shared" si="34"/>
        <v>Valid</v>
      </c>
      <c r="I132" t="s">
        <v>743</v>
      </c>
      <c r="J132" t="s">
        <v>60</v>
      </c>
      <c r="K132" t="s">
        <v>60</v>
      </c>
      <c r="L132" t="s">
        <v>25</v>
      </c>
      <c r="M132" s="3" t="str">
        <f t="shared" si="35"/>
        <v>Consumer</v>
      </c>
      <c r="N132" t="s">
        <v>72</v>
      </c>
      <c r="O132" s="3" t="str">
        <f t="shared" si="36"/>
        <v>West</v>
      </c>
      <c r="P132" t="s">
        <v>234</v>
      </c>
      <c r="Q132" t="s">
        <v>235</v>
      </c>
      <c r="R132" t="s">
        <v>29</v>
      </c>
      <c r="S132" s="3" t="str">
        <f t="shared" si="37"/>
        <v>Office Supplies</v>
      </c>
      <c r="T132" t="s">
        <v>108</v>
      </c>
      <c r="U132" t="s">
        <v>744</v>
      </c>
      <c r="V132" t="s">
        <v>47</v>
      </c>
      <c r="W132" s="3" t="str">
        <f t="shared" si="38"/>
        <v>Same Day</v>
      </c>
      <c r="X132">
        <v>5</v>
      </c>
      <c r="Y132">
        <v>218.42</v>
      </c>
      <c r="Z132">
        <v>0.2</v>
      </c>
      <c r="AA132">
        <f t="shared" si="42"/>
        <v>0.2</v>
      </c>
      <c r="AB132">
        <f t="shared" si="43"/>
        <v>873.68</v>
      </c>
      <c r="AC132">
        <v>873.68</v>
      </c>
      <c r="AD132">
        <v>661.72</v>
      </c>
      <c r="AE132">
        <v>211.96</v>
      </c>
      <c r="AF132" t="s">
        <v>136</v>
      </c>
      <c r="AG132" t="s">
        <v>77</v>
      </c>
      <c r="AH132" t="str">
        <f t="shared" si="39"/>
        <v>Cancelled</v>
      </c>
      <c r="AI132" t="str">
        <f t="shared" si="40"/>
        <v>Valid</v>
      </c>
      <c r="AJ132">
        <f t="shared" si="41"/>
        <v>211.95999999999992</v>
      </c>
      <c r="AK132" s="12">
        <f t="shared" si="44"/>
        <v>0.24260598846259493</v>
      </c>
      <c r="AL132">
        <f t="shared" si="45"/>
        <v>1</v>
      </c>
      <c r="AM132">
        <f t="shared" si="46"/>
        <v>2024</v>
      </c>
      <c r="AN132" t="str">
        <f t="shared" si="47"/>
        <v>Clean</v>
      </c>
    </row>
    <row r="133" spans="1:40">
      <c r="A133" t="s">
        <v>745</v>
      </c>
      <c r="B133" s="3" t="s">
        <v>746</v>
      </c>
      <c r="C133" s="10">
        <v>45929</v>
      </c>
      <c r="D133" s="3" t="s">
        <v>747</v>
      </c>
      <c r="E133" s="10">
        <v>45934</v>
      </c>
      <c r="F133" s="6" t="str">
        <f t="shared" si="32"/>
        <v>Valid</v>
      </c>
      <c r="G133" s="8">
        <f t="shared" si="33"/>
        <v>5</v>
      </c>
      <c r="H133" s="8" t="str">
        <f t="shared" si="34"/>
        <v>Valid</v>
      </c>
      <c r="I133" t="s">
        <v>748</v>
      </c>
      <c r="J133" t="s">
        <v>71</v>
      </c>
      <c r="K133" t="s">
        <v>71</v>
      </c>
      <c r="L133" t="s">
        <v>114</v>
      </c>
      <c r="M133" s="3" t="str">
        <f t="shared" si="35"/>
        <v>Home Office</v>
      </c>
      <c r="N133" t="s">
        <v>41</v>
      </c>
      <c r="O133" s="3" t="str">
        <f t="shared" si="36"/>
        <v>East</v>
      </c>
      <c r="P133" t="s">
        <v>310</v>
      </c>
      <c r="Q133" t="s">
        <v>311</v>
      </c>
      <c r="R133" t="s">
        <v>29</v>
      </c>
      <c r="S133" s="3" t="str">
        <f t="shared" si="37"/>
        <v>Office Supplies</v>
      </c>
      <c r="T133" t="s">
        <v>30</v>
      </c>
      <c r="U133" t="s">
        <v>749</v>
      </c>
      <c r="V133" t="s">
        <v>47</v>
      </c>
      <c r="W133" s="3" t="str">
        <f t="shared" si="38"/>
        <v>Same Day</v>
      </c>
      <c r="X133">
        <v>9</v>
      </c>
      <c r="Y133">
        <v>373.91</v>
      </c>
      <c r="Z133">
        <v>0.2</v>
      </c>
      <c r="AA133">
        <f t="shared" si="42"/>
        <v>0.2</v>
      </c>
      <c r="AB133">
        <f t="shared" si="43"/>
        <v>2692.152</v>
      </c>
      <c r="AC133">
        <v>2692.15</v>
      </c>
      <c r="AD133">
        <v>2044.49</v>
      </c>
      <c r="AE133">
        <v>647.66</v>
      </c>
      <c r="AF133" t="s">
        <v>33</v>
      </c>
      <c r="AG133" t="s">
        <v>34</v>
      </c>
      <c r="AH133" t="str">
        <f t="shared" si="39"/>
        <v>Completed</v>
      </c>
      <c r="AI133" t="str">
        <f t="shared" si="40"/>
        <v>Valid</v>
      </c>
      <c r="AJ133">
        <f t="shared" si="41"/>
        <v>647.66000000000008</v>
      </c>
      <c r="AK133" s="12">
        <f t="shared" si="44"/>
        <v>0.24057334058403837</v>
      </c>
      <c r="AL133">
        <f t="shared" si="45"/>
        <v>9</v>
      </c>
      <c r="AM133">
        <f t="shared" si="46"/>
        <v>2025</v>
      </c>
      <c r="AN133" t="str">
        <f t="shared" si="47"/>
        <v>Clean</v>
      </c>
    </row>
    <row r="134" spans="1:40">
      <c r="A134" t="s">
        <v>750</v>
      </c>
      <c r="B134" s="3" t="s">
        <v>751</v>
      </c>
      <c r="C134" s="10">
        <v>45600</v>
      </c>
      <c r="D134" s="3" t="s">
        <v>751</v>
      </c>
      <c r="E134" s="10">
        <v>45600</v>
      </c>
      <c r="F134" s="6" t="str">
        <f t="shared" si="32"/>
        <v>Valid</v>
      </c>
      <c r="G134" s="8">
        <f t="shared" si="33"/>
        <v>0</v>
      </c>
      <c r="H134" s="8" t="str">
        <f t="shared" si="34"/>
        <v>Valid</v>
      </c>
      <c r="I134" t="s">
        <v>752</v>
      </c>
      <c r="J134" t="s">
        <v>365</v>
      </c>
      <c r="K134" t="s">
        <v>365</v>
      </c>
      <c r="L134" t="s">
        <v>107</v>
      </c>
      <c r="M134" s="3" t="str">
        <f t="shared" si="35"/>
        <v>Corporate</v>
      </c>
      <c r="N134" t="s">
        <v>41</v>
      </c>
      <c r="O134" s="3" t="str">
        <f t="shared" si="36"/>
        <v>East</v>
      </c>
      <c r="P134" t="s">
        <v>215</v>
      </c>
      <c r="Q134" t="s">
        <v>216</v>
      </c>
      <c r="R134" t="s">
        <v>85</v>
      </c>
      <c r="S134" s="3" t="str">
        <f t="shared" si="37"/>
        <v>Technology</v>
      </c>
      <c r="T134" t="s">
        <v>381</v>
      </c>
      <c r="U134" t="s">
        <v>753</v>
      </c>
      <c r="V134" t="s">
        <v>55</v>
      </c>
      <c r="W134" s="3" t="str">
        <f t="shared" si="38"/>
        <v>First Class</v>
      </c>
      <c r="X134">
        <v>2</v>
      </c>
      <c r="Y134">
        <v>533.08000000000004</v>
      </c>
      <c r="Z134">
        <v>0</v>
      </c>
      <c r="AA134">
        <f t="shared" si="42"/>
        <v>0</v>
      </c>
      <c r="AB134">
        <f t="shared" si="43"/>
        <v>1066.1600000000001</v>
      </c>
      <c r="AC134">
        <v>1066.1600000000001</v>
      </c>
      <c r="AD134">
        <v>656.3</v>
      </c>
      <c r="AE134">
        <v>409.86</v>
      </c>
      <c r="AF134" t="s">
        <v>199</v>
      </c>
      <c r="AG134" t="s">
        <v>77</v>
      </c>
      <c r="AH134" t="str">
        <f t="shared" si="39"/>
        <v>Cancelled</v>
      </c>
      <c r="AI134" t="str">
        <f t="shared" si="40"/>
        <v>Valid</v>
      </c>
      <c r="AJ134">
        <f t="shared" si="41"/>
        <v>409.86000000000013</v>
      </c>
      <c r="AK134" s="12">
        <f t="shared" si="44"/>
        <v>0.38442635251744589</v>
      </c>
      <c r="AL134">
        <f t="shared" si="45"/>
        <v>11</v>
      </c>
      <c r="AM134">
        <f t="shared" si="46"/>
        <v>2024</v>
      </c>
      <c r="AN134" t="str">
        <f t="shared" si="47"/>
        <v>Clean</v>
      </c>
    </row>
    <row r="135" spans="1:40">
      <c r="A135" t="s">
        <v>754</v>
      </c>
      <c r="B135" s="3" t="s">
        <v>755</v>
      </c>
      <c r="C135" s="10">
        <v>45639</v>
      </c>
      <c r="D135" s="3" t="s">
        <v>756</v>
      </c>
      <c r="E135" s="10">
        <v>45644</v>
      </c>
      <c r="F135" s="6" t="str">
        <f t="shared" si="32"/>
        <v>Valid</v>
      </c>
      <c r="G135" s="8">
        <f t="shared" si="33"/>
        <v>5</v>
      </c>
      <c r="H135" s="8" t="str">
        <f t="shared" si="34"/>
        <v>Valid</v>
      </c>
      <c r="I135" t="s">
        <v>757</v>
      </c>
      <c r="J135" t="s">
        <v>24</v>
      </c>
      <c r="K135" t="s">
        <v>24</v>
      </c>
      <c r="L135" t="s">
        <v>25</v>
      </c>
      <c r="M135" s="3" t="str">
        <f t="shared" si="35"/>
        <v>Consumer</v>
      </c>
      <c r="N135" t="s">
        <v>72</v>
      </c>
      <c r="O135" s="3" t="str">
        <f t="shared" si="36"/>
        <v>West</v>
      </c>
      <c r="P135" t="s">
        <v>248</v>
      </c>
      <c r="Q135" t="s">
        <v>249</v>
      </c>
      <c r="R135" t="s">
        <v>85</v>
      </c>
      <c r="S135" s="3" t="str">
        <f t="shared" si="37"/>
        <v>Technology</v>
      </c>
      <c r="T135" t="s">
        <v>222</v>
      </c>
      <c r="U135" t="s">
        <v>758</v>
      </c>
      <c r="V135" t="s">
        <v>32</v>
      </c>
      <c r="W135" s="3" t="str">
        <f t="shared" si="38"/>
        <v>Second Class</v>
      </c>
      <c r="X135">
        <v>8</v>
      </c>
      <c r="Y135">
        <v>3372.15</v>
      </c>
      <c r="Z135">
        <v>0.15</v>
      </c>
      <c r="AA135">
        <f t="shared" si="42"/>
        <v>0.15</v>
      </c>
      <c r="AB135">
        <f t="shared" si="43"/>
        <v>22930.62</v>
      </c>
      <c r="AC135">
        <v>22930.62</v>
      </c>
      <c r="AD135">
        <v>16875.55</v>
      </c>
      <c r="AE135">
        <v>6055.07</v>
      </c>
      <c r="AF135" t="s">
        <v>33</v>
      </c>
      <c r="AG135" t="s">
        <v>34</v>
      </c>
      <c r="AH135" t="str">
        <f t="shared" si="39"/>
        <v>Completed</v>
      </c>
      <c r="AI135" t="str">
        <f t="shared" si="40"/>
        <v>Valid</v>
      </c>
      <c r="AJ135">
        <f t="shared" si="41"/>
        <v>6055.07</v>
      </c>
      <c r="AK135" s="12">
        <f t="shared" si="44"/>
        <v>0.26406045715292475</v>
      </c>
      <c r="AL135">
        <f t="shared" si="45"/>
        <v>12</v>
      </c>
      <c r="AM135">
        <f t="shared" si="46"/>
        <v>2024</v>
      </c>
      <c r="AN135" t="str">
        <f t="shared" si="47"/>
        <v>Clean</v>
      </c>
    </row>
    <row r="136" spans="1:40">
      <c r="A136" t="s">
        <v>759</v>
      </c>
      <c r="B136" s="3" t="s">
        <v>760</v>
      </c>
      <c r="C136" s="10">
        <v>45852</v>
      </c>
      <c r="D136" s="3" t="s">
        <v>761</v>
      </c>
      <c r="E136" s="10">
        <v>45852</v>
      </c>
      <c r="F136" s="6" t="str">
        <f t="shared" si="32"/>
        <v>Valid</v>
      </c>
      <c r="G136" s="8">
        <f t="shared" si="33"/>
        <v>0</v>
      </c>
      <c r="H136" s="8" t="str">
        <f t="shared" si="34"/>
        <v>Valid</v>
      </c>
      <c r="I136" t="s">
        <v>762</v>
      </c>
      <c r="J136" t="s">
        <v>82</v>
      </c>
      <c r="K136" t="s">
        <v>82</v>
      </c>
      <c r="L136" t="s">
        <v>114</v>
      </c>
      <c r="M136" s="3" t="str">
        <f t="shared" si="35"/>
        <v>Home Office</v>
      </c>
      <c r="N136" t="s">
        <v>41</v>
      </c>
      <c r="O136" s="3" t="str">
        <f t="shared" si="36"/>
        <v>East</v>
      </c>
      <c r="P136" t="s">
        <v>120</v>
      </c>
      <c r="Q136" t="s">
        <v>121</v>
      </c>
      <c r="R136" t="s">
        <v>44</v>
      </c>
      <c r="S136" s="3" t="str">
        <f t="shared" si="37"/>
        <v>Furniture</v>
      </c>
      <c r="T136" t="s">
        <v>203</v>
      </c>
      <c r="U136" t="s">
        <v>763</v>
      </c>
      <c r="W136" s="3" t="str">
        <f t="shared" si="38"/>
        <v>Unknown</v>
      </c>
      <c r="X136">
        <v>5</v>
      </c>
      <c r="Y136">
        <v>383.1</v>
      </c>
      <c r="Z136">
        <v>0.25</v>
      </c>
      <c r="AA136">
        <f t="shared" si="42"/>
        <v>0.25</v>
      </c>
      <c r="AB136">
        <f t="shared" si="43"/>
        <v>1436.625</v>
      </c>
      <c r="AC136">
        <v>1436.62</v>
      </c>
      <c r="AD136">
        <v>912.52</v>
      </c>
      <c r="AE136">
        <v>524.1</v>
      </c>
      <c r="AF136" t="s">
        <v>136</v>
      </c>
      <c r="AG136" t="s">
        <v>77</v>
      </c>
      <c r="AH136" t="str">
        <f t="shared" si="39"/>
        <v>Cancelled</v>
      </c>
      <c r="AI136" t="str">
        <f t="shared" si="40"/>
        <v>Valid</v>
      </c>
      <c r="AJ136">
        <f t="shared" si="41"/>
        <v>524.09999999999991</v>
      </c>
      <c r="AK136" s="12">
        <f t="shared" si="44"/>
        <v>0.36481336465674752</v>
      </c>
      <c r="AL136">
        <f t="shared" si="45"/>
        <v>7</v>
      </c>
      <c r="AM136">
        <f t="shared" si="46"/>
        <v>2025</v>
      </c>
      <c r="AN136" t="str">
        <f t="shared" si="47"/>
        <v>Clean</v>
      </c>
    </row>
    <row r="137" spans="1:40">
      <c r="A137" t="s">
        <v>764</v>
      </c>
      <c r="B137" s="3" t="s">
        <v>765</v>
      </c>
      <c r="C137" s="10">
        <v>45893</v>
      </c>
      <c r="D137" s="3" t="s">
        <v>765</v>
      </c>
      <c r="E137" s="10">
        <v>45893</v>
      </c>
      <c r="F137" s="6" t="str">
        <f t="shared" si="32"/>
        <v>Valid</v>
      </c>
      <c r="G137" s="8">
        <f t="shared" si="33"/>
        <v>0</v>
      </c>
      <c r="H137" s="8" t="str">
        <f t="shared" si="34"/>
        <v>Valid</v>
      </c>
      <c r="I137" t="s">
        <v>766</v>
      </c>
      <c r="J137" t="s">
        <v>209</v>
      </c>
      <c r="K137" t="s">
        <v>209</v>
      </c>
      <c r="L137" t="s">
        <v>40</v>
      </c>
      <c r="M137" s="3" t="str">
        <f t="shared" si="35"/>
        <v>Small Business</v>
      </c>
      <c r="N137" t="s">
        <v>61</v>
      </c>
      <c r="O137" s="3" t="str">
        <f t="shared" si="36"/>
        <v>South</v>
      </c>
      <c r="P137" t="s">
        <v>241</v>
      </c>
      <c r="Q137" t="s">
        <v>242</v>
      </c>
      <c r="R137" t="s">
        <v>44</v>
      </c>
      <c r="S137" s="3" t="str">
        <f t="shared" si="37"/>
        <v>Furniture</v>
      </c>
      <c r="T137" t="s">
        <v>203</v>
      </c>
      <c r="U137" t="s">
        <v>767</v>
      </c>
      <c r="V137" t="s">
        <v>66</v>
      </c>
      <c r="W137" s="3" t="str">
        <f t="shared" si="38"/>
        <v>Standard Class</v>
      </c>
      <c r="X137">
        <v>1</v>
      </c>
      <c r="Y137">
        <v>3424.78</v>
      </c>
      <c r="Z137">
        <v>0</v>
      </c>
      <c r="AA137">
        <f t="shared" si="42"/>
        <v>0</v>
      </c>
      <c r="AB137">
        <f t="shared" si="43"/>
        <v>3424.78</v>
      </c>
      <c r="AC137">
        <v>3424.78</v>
      </c>
      <c r="AD137">
        <v>1951.45</v>
      </c>
      <c r="AE137">
        <v>1473.33</v>
      </c>
      <c r="AF137" t="s">
        <v>33</v>
      </c>
      <c r="AG137" t="s">
        <v>34</v>
      </c>
      <c r="AH137" t="str">
        <f t="shared" si="39"/>
        <v>Completed</v>
      </c>
      <c r="AI137" t="str">
        <f t="shared" si="40"/>
        <v>Valid</v>
      </c>
      <c r="AJ137">
        <f t="shared" si="41"/>
        <v>1473.3300000000002</v>
      </c>
      <c r="AK137" s="12">
        <f t="shared" si="44"/>
        <v>0.43019697615613267</v>
      </c>
      <c r="AL137">
        <f t="shared" si="45"/>
        <v>8</v>
      </c>
      <c r="AM137">
        <f t="shared" si="46"/>
        <v>2025</v>
      </c>
      <c r="AN137" t="str">
        <f t="shared" si="47"/>
        <v>Clean</v>
      </c>
    </row>
    <row r="138" spans="1:40">
      <c r="A138" t="s">
        <v>768</v>
      </c>
      <c r="B138" s="3" t="s">
        <v>769</v>
      </c>
      <c r="C138" s="10">
        <v>45697</v>
      </c>
      <c r="D138" s="3" t="s">
        <v>770</v>
      </c>
      <c r="E138" s="10">
        <v>45703</v>
      </c>
      <c r="F138" s="6" t="str">
        <f t="shared" si="32"/>
        <v>Valid</v>
      </c>
      <c r="G138" s="8">
        <f t="shared" si="33"/>
        <v>6</v>
      </c>
      <c r="H138" s="8" t="str">
        <f t="shared" si="34"/>
        <v>Valid</v>
      </c>
      <c r="I138" t="s">
        <v>771</v>
      </c>
      <c r="J138" t="s">
        <v>39</v>
      </c>
      <c r="K138" t="s">
        <v>39</v>
      </c>
      <c r="L138" t="s">
        <v>114</v>
      </c>
      <c r="M138" s="3" t="str">
        <f t="shared" si="35"/>
        <v>Home Office</v>
      </c>
      <c r="N138" t="s">
        <v>41</v>
      </c>
      <c r="O138" s="3" t="str">
        <f t="shared" si="36"/>
        <v>East</v>
      </c>
      <c r="P138" t="s">
        <v>310</v>
      </c>
      <c r="Q138" t="s">
        <v>311</v>
      </c>
      <c r="R138" t="s">
        <v>29</v>
      </c>
      <c r="S138" s="3" t="str">
        <f t="shared" si="37"/>
        <v>Office Supplies</v>
      </c>
      <c r="T138" t="s">
        <v>197</v>
      </c>
      <c r="U138" t="s">
        <v>772</v>
      </c>
      <c r="V138" t="s">
        <v>773</v>
      </c>
      <c r="W138" s="3" t="str">
        <f t="shared" si="38"/>
        <v>Standard Class</v>
      </c>
      <c r="X138">
        <v>9</v>
      </c>
      <c r="Y138">
        <v>4330.33</v>
      </c>
      <c r="Z138">
        <v>0.2</v>
      </c>
      <c r="AA138">
        <f t="shared" si="42"/>
        <v>0.2</v>
      </c>
      <c r="AB138">
        <f t="shared" si="43"/>
        <v>31178.376000000004</v>
      </c>
      <c r="AC138">
        <v>31178.38</v>
      </c>
      <c r="AD138">
        <v>21421.09</v>
      </c>
      <c r="AE138">
        <v>9757.2900000000009</v>
      </c>
      <c r="AF138" t="s">
        <v>33</v>
      </c>
      <c r="AG138" t="s">
        <v>34</v>
      </c>
      <c r="AH138" t="str">
        <f t="shared" si="39"/>
        <v>Completed</v>
      </c>
      <c r="AI138" t="str">
        <f t="shared" si="40"/>
        <v>Valid</v>
      </c>
      <c r="AJ138">
        <f t="shared" si="41"/>
        <v>9757.2900000000009</v>
      </c>
      <c r="AK138" s="12">
        <f t="shared" si="44"/>
        <v>0.31295055265226129</v>
      </c>
      <c r="AL138">
        <f t="shared" si="45"/>
        <v>2</v>
      </c>
      <c r="AM138">
        <f t="shared" si="46"/>
        <v>2025</v>
      </c>
      <c r="AN138" t="str">
        <f t="shared" si="47"/>
        <v>Clean</v>
      </c>
    </row>
    <row r="139" spans="1:40">
      <c r="A139" t="s">
        <v>774</v>
      </c>
      <c r="B139" s="3" t="s">
        <v>775</v>
      </c>
      <c r="C139" s="10">
        <v>45666</v>
      </c>
      <c r="D139" s="3" t="s">
        <v>776</v>
      </c>
      <c r="E139" s="10">
        <v>45666</v>
      </c>
      <c r="F139" s="6" t="str">
        <f t="shared" si="32"/>
        <v>Valid</v>
      </c>
      <c r="G139" s="8">
        <f t="shared" si="33"/>
        <v>0</v>
      </c>
      <c r="H139" s="8" t="str">
        <f t="shared" si="34"/>
        <v>Valid</v>
      </c>
      <c r="I139" t="s">
        <v>777</v>
      </c>
      <c r="J139" t="s">
        <v>167</v>
      </c>
      <c r="K139" t="s">
        <v>167</v>
      </c>
      <c r="L139" t="s">
        <v>40</v>
      </c>
      <c r="M139" s="3" t="str">
        <f t="shared" si="35"/>
        <v>Small Business</v>
      </c>
      <c r="N139" t="s">
        <v>26</v>
      </c>
      <c r="O139" s="3" t="str">
        <f t="shared" si="36"/>
        <v>North</v>
      </c>
      <c r="P139" t="s">
        <v>27</v>
      </c>
      <c r="Q139" t="s">
        <v>28</v>
      </c>
      <c r="R139" t="s">
        <v>44</v>
      </c>
      <c r="S139" s="3" t="str">
        <f t="shared" si="37"/>
        <v>Furniture</v>
      </c>
      <c r="T139" t="s">
        <v>75</v>
      </c>
      <c r="U139" t="s">
        <v>778</v>
      </c>
      <c r="V139" t="s">
        <v>47</v>
      </c>
      <c r="W139" s="3" t="str">
        <f t="shared" si="38"/>
        <v>Same Day</v>
      </c>
      <c r="X139">
        <v>8</v>
      </c>
      <c r="Y139">
        <v>2667.07</v>
      </c>
      <c r="Z139">
        <v>0.1</v>
      </c>
      <c r="AA139">
        <f t="shared" si="42"/>
        <v>0.1</v>
      </c>
      <c r="AB139">
        <f t="shared" si="43"/>
        <v>19202.904000000002</v>
      </c>
      <c r="AC139">
        <v>19202.900000000001</v>
      </c>
      <c r="AD139">
        <v>15526.62</v>
      </c>
      <c r="AE139">
        <v>3676.28</v>
      </c>
      <c r="AF139" t="s">
        <v>33</v>
      </c>
      <c r="AG139" t="s">
        <v>34</v>
      </c>
      <c r="AH139" t="str">
        <f t="shared" si="39"/>
        <v>Completed</v>
      </c>
      <c r="AI139" t="str">
        <f t="shared" si="40"/>
        <v>Valid</v>
      </c>
      <c r="AJ139">
        <f t="shared" si="41"/>
        <v>3676.2800000000007</v>
      </c>
      <c r="AK139" s="12">
        <f t="shared" si="44"/>
        <v>0.19144396076760059</v>
      </c>
      <c r="AL139">
        <f t="shared" si="45"/>
        <v>1</v>
      </c>
      <c r="AM139">
        <f t="shared" si="46"/>
        <v>2025</v>
      </c>
      <c r="AN139" t="str">
        <f t="shared" si="47"/>
        <v>Clean</v>
      </c>
    </row>
    <row r="140" spans="1:40">
      <c r="A140" t="s">
        <v>779</v>
      </c>
      <c r="B140" s="3" t="s">
        <v>780</v>
      </c>
      <c r="C140" s="10">
        <v>45311</v>
      </c>
      <c r="D140" s="3" t="s">
        <v>781</v>
      </c>
      <c r="E140" s="10">
        <v>45317</v>
      </c>
      <c r="F140" s="6" t="str">
        <f t="shared" si="32"/>
        <v>Valid</v>
      </c>
      <c r="G140" s="8">
        <f t="shared" si="33"/>
        <v>6</v>
      </c>
      <c r="H140" s="8" t="str">
        <f t="shared" si="34"/>
        <v>Valid</v>
      </c>
      <c r="I140" t="s">
        <v>782</v>
      </c>
      <c r="J140" t="s">
        <v>209</v>
      </c>
      <c r="K140" t="s">
        <v>209</v>
      </c>
      <c r="L140" t="s">
        <v>114</v>
      </c>
      <c r="M140" s="3" t="str">
        <f t="shared" si="35"/>
        <v>Home Office</v>
      </c>
      <c r="N140" t="s">
        <v>41</v>
      </c>
      <c r="O140" s="3" t="str">
        <f t="shared" si="36"/>
        <v>East</v>
      </c>
      <c r="P140" t="s">
        <v>310</v>
      </c>
      <c r="Q140" t="s">
        <v>311</v>
      </c>
      <c r="R140" t="s">
        <v>85</v>
      </c>
      <c r="S140" s="3" t="str">
        <f t="shared" si="37"/>
        <v>Technology</v>
      </c>
      <c r="T140" t="s">
        <v>381</v>
      </c>
      <c r="U140" t="s">
        <v>783</v>
      </c>
      <c r="V140" t="s">
        <v>66</v>
      </c>
      <c r="W140" s="3" t="str">
        <f t="shared" si="38"/>
        <v>Standard Class</v>
      </c>
      <c r="X140">
        <v>8</v>
      </c>
      <c r="Y140">
        <v>4003.05</v>
      </c>
      <c r="Z140">
        <v>0.25</v>
      </c>
      <c r="AA140">
        <f t="shared" si="42"/>
        <v>0.25</v>
      </c>
      <c r="AB140">
        <f t="shared" si="43"/>
        <v>24018.300000000003</v>
      </c>
      <c r="AC140">
        <v>24018.3</v>
      </c>
      <c r="AD140">
        <v>14070.78</v>
      </c>
      <c r="AE140">
        <v>9947.52</v>
      </c>
      <c r="AF140" t="s">
        <v>33</v>
      </c>
      <c r="AG140" t="s">
        <v>34</v>
      </c>
      <c r="AH140" t="str">
        <f t="shared" si="39"/>
        <v>Completed</v>
      </c>
      <c r="AI140" t="str">
        <f t="shared" si="40"/>
        <v>Valid</v>
      </c>
      <c r="AJ140">
        <f t="shared" si="41"/>
        <v>9947.5199999999986</v>
      </c>
      <c r="AK140" s="12">
        <f t="shared" si="44"/>
        <v>0.41416419979765418</v>
      </c>
      <c r="AL140">
        <f t="shared" si="45"/>
        <v>1</v>
      </c>
      <c r="AM140">
        <f t="shared" si="46"/>
        <v>2024</v>
      </c>
      <c r="AN140" t="str">
        <f t="shared" si="47"/>
        <v>Clean</v>
      </c>
    </row>
    <row r="141" spans="1:40">
      <c r="A141" t="s">
        <v>784</v>
      </c>
      <c r="B141" s="3" t="s">
        <v>785</v>
      </c>
      <c r="C141" s="10">
        <v>45718</v>
      </c>
      <c r="D141" s="3" t="s">
        <v>786</v>
      </c>
      <c r="E141" s="10">
        <v>45723</v>
      </c>
      <c r="F141" s="6" t="str">
        <f t="shared" si="32"/>
        <v>Valid</v>
      </c>
      <c r="G141" s="8">
        <f t="shared" si="33"/>
        <v>5</v>
      </c>
      <c r="H141" s="8" t="str">
        <f t="shared" si="34"/>
        <v>Valid</v>
      </c>
      <c r="I141" t="s">
        <v>787</v>
      </c>
      <c r="J141" t="s">
        <v>92</v>
      </c>
      <c r="K141" t="s">
        <v>92</v>
      </c>
      <c r="L141" t="s">
        <v>114</v>
      </c>
      <c r="M141" s="3" t="str">
        <f t="shared" si="35"/>
        <v>Home Office</v>
      </c>
      <c r="N141" t="s">
        <v>61</v>
      </c>
      <c r="O141" s="3" t="str">
        <f t="shared" si="36"/>
        <v>South</v>
      </c>
      <c r="P141" t="s">
        <v>228</v>
      </c>
      <c r="Q141" t="s">
        <v>229</v>
      </c>
      <c r="R141" t="s">
        <v>29</v>
      </c>
      <c r="S141" s="3" t="str">
        <f t="shared" si="37"/>
        <v>Office Supplies</v>
      </c>
      <c r="T141" t="s">
        <v>108</v>
      </c>
      <c r="U141" t="s">
        <v>788</v>
      </c>
      <c r="V141" t="s">
        <v>66</v>
      </c>
      <c r="W141" s="3" t="str">
        <f t="shared" si="38"/>
        <v>Standard Class</v>
      </c>
      <c r="X141">
        <v>8</v>
      </c>
      <c r="Y141">
        <v>1287.6300000000001</v>
      </c>
      <c r="Z141">
        <v>0</v>
      </c>
      <c r="AA141">
        <f t="shared" si="42"/>
        <v>0</v>
      </c>
      <c r="AB141">
        <f t="shared" si="43"/>
        <v>10301.040000000001</v>
      </c>
      <c r="AC141">
        <v>10301.040000000001</v>
      </c>
      <c r="AD141">
        <v>6564.06</v>
      </c>
      <c r="AE141">
        <v>3736.98</v>
      </c>
      <c r="AF141" t="s">
        <v>33</v>
      </c>
      <c r="AG141" t="s">
        <v>34</v>
      </c>
      <c r="AH141" t="str">
        <f t="shared" si="39"/>
        <v>Completed</v>
      </c>
      <c r="AI141" t="str">
        <f t="shared" si="40"/>
        <v>Valid</v>
      </c>
      <c r="AJ141">
        <f t="shared" si="41"/>
        <v>3736.9800000000005</v>
      </c>
      <c r="AK141" s="12">
        <f t="shared" si="44"/>
        <v>0.3627769623261341</v>
      </c>
      <c r="AL141">
        <f t="shared" si="45"/>
        <v>3</v>
      </c>
      <c r="AM141">
        <f t="shared" si="46"/>
        <v>2025</v>
      </c>
      <c r="AN141" t="str">
        <f t="shared" si="47"/>
        <v>Clean</v>
      </c>
    </row>
    <row r="142" spans="1:40">
      <c r="A142" t="s">
        <v>789</v>
      </c>
      <c r="B142" s="3" t="s">
        <v>790</v>
      </c>
      <c r="C142" s="10">
        <v>45443</v>
      </c>
      <c r="D142" s="3" t="s">
        <v>791</v>
      </c>
      <c r="E142" s="10">
        <v>45444</v>
      </c>
      <c r="F142" s="6" t="str">
        <f t="shared" si="32"/>
        <v>Valid</v>
      </c>
      <c r="G142" s="8">
        <f t="shared" si="33"/>
        <v>1</v>
      </c>
      <c r="H142" s="8" t="str">
        <f t="shared" si="34"/>
        <v>Valid</v>
      </c>
      <c r="I142" t="s">
        <v>792</v>
      </c>
      <c r="J142" t="s">
        <v>39</v>
      </c>
      <c r="K142" t="s">
        <v>39</v>
      </c>
      <c r="L142" t="s">
        <v>107</v>
      </c>
      <c r="M142" s="3" t="str">
        <f t="shared" si="35"/>
        <v>Corporate</v>
      </c>
      <c r="N142" t="s">
        <v>61</v>
      </c>
      <c r="O142" s="3" t="str">
        <f t="shared" si="36"/>
        <v>South</v>
      </c>
      <c r="P142" t="s">
        <v>228</v>
      </c>
      <c r="Q142" t="s">
        <v>229</v>
      </c>
      <c r="R142" t="s">
        <v>44</v>
      </c>
      <c r="S142" s="3" t="str">
        <f t="shared" si="37"/>
        <v>Furniture</v>
      </c>
      <c r="T142" t="s">
        <v>203</v>
      </c>
      <c r="U142" t="s">
        <v>793</v>
      </c>
      <c r="V142" t="s">
        <v>47</v>
      </c>
      <c r="W142" s="3" t="str">
        <f t="shared" si="38"/>
        <v>Same Day</v>
      </c>
      <c r="X142">
        <v>3</v>
      </c>
      <c r="Y142">
        <v>2914.55</v>
      </c>
      <c r="Z142">
        <v>0</v>
      </c>
      <c r="AA142">
        <f t="shared" si="42"/>
        <v>0</v>
      </c>
      <c r="AB142">
        <f t="shared" si="43"/>
        <v>8743.6500000000015</v>
      </c>
      <c r="AC142">
        <v>8743.65</v>
      </c>
      <c r="AD142">
        <v>6603.76</v>
      </c>
      <c r="AE142">
        <v>2139.89</v>
      </c>
      <c r="AF142" t="s">
        <v>33</v>
      </c>
      <c r="AG142" t="s">
        <v>34</v>
      </c>
      <c r="AH142" t="str">
        <f t="shared" si="39"/>
        <v>Completed</v>
      </c>
      <c r="AI142" t="str">
        <f t="shared" si="40"/>
        <v>Valid</v>
      </c>
      <c r="AJ142">
        <f t="shared" si="41"/>
        <v>2139.8899999999994</v>
      </c>
      <c r="AK142" s="12">
        <f t="shared" si="44"/>
        <v>0.24473646589239037</v>
      </c>
      <c r="AL142">
        <f t="shared" si="45"/>
        <v>5</v>
      </c>
      <c r="AM142">
        <f t="shared" si="46"/>
        <v>2024</v>
      </c>
      <c r="AN142" t="str">
        <f t="shared" si="47"/>
        <v>Clean</v>
      </c>
    </row>
    <row r="143" spans="1:40">
      <c r="A143" t="s">
        <v>794</v>
      </c>
      <c r="B143" s="3" t="s">
        <v>795</v>
      </c>
      <c r="C143" s="10">
        <v>45374</v>
      </c>
      <c r="D143" s="3" t="s">
        <v>796</v>
      </c>
      <c r="E143" s="10">
        <v>45380</v>
      </c>
      <c r="F143" s="6" t="str">
        <f t="shared" si="32"/>
        <v>Valid</v>
      </c>
      <c r="G143" s="8">
        <f t="shared" si="33"/>
        <v>6</v>
      </c>
      <c r="H143" s="8" t="str">
        <f t="shared" si="34"/>
        <v>Valid</v>
      </c>
      <c r="I143" t="s">
        <v>797</v>
      </c>
      <c r="J143" t="s">
        <v>141</v>
      </c>
      <c r="K143" t="s">
        <v>141</v>
      </c>
      <c r="L143" t="s">
        <v>107</v>
      </c>
      <c r="M143" s="3" t="str">
        <f t="shared" si="35"/>
        <v>Corporate</v>
      </c>
      <c r="N143" t="s">
        <v>26</v>
      </c>
      <c r="O143" s="3" t="str">
        <f t="shared" si="36"/>
        <v>North</v>
      </c>
      <c r="P143" t="s">
        <v>505</v>
      </c>
      <c r="Q143" t="s">
        <v>506</v>
      </c>
      <c r="R143" t="s">
        <v>44</v>
      </c>
      <c r="S143" s="3" t="str">
        <f t="shared" si="37"/>
        <v>Furniture</v>
      </c>
      <c r="T143" t="s">
        <v>203</v>
      </c>
      <c r="U143" t="s">
        <v>798</v>
      </c>
      <c r="V143" t="s">
        <v>47</v>
      </c>
      <c r="W143" s="3" t="str">
        <f t="shared" si="38"/>
        <v>Same Day</v>
      </c>
      <c r="X143">
        <v>7</v>
      </c>
      <c r="Y143">
        <v>634.29</v>
      </c>
      <c r="Z143">
        <v>0.1</v>
      </c>
      <c r="AA143">
        <f t="shared" si="42"/>
        <v>0.1</v>
      </c>
      <c r="AB143">
        <f t="shared" si="43"/>
        <v>3996.027</v>
      </c>
      <c r="AC143">
        <v>3996.03</v>
      </c>
      <c r="AD143">
        <v>2859.51</v>
      </c>
      <c r="AE143">
        <v>1136.52</v>
      </c>
      <c r="AF143" t="s">
        <v>33</v>
      </c>
      <c r="AG143" t="s">
        <v>124</v>
      </c>
      <c r="AH143" t="str">
        <f t="shared" si="39"/>
        <v>Returned</v>
      </c>
      <c r="AI143" t="str">
        <f t="shared" si="40"/>
        <v>Valid</v>
      </c>
      <c r="AJ143">
        <f t="shared" si="41"/>
        <v>1136.52</v>
      </c>
      <c r="AK143" s="12">
        <f t="shared" si="44"/>
        <v>0.28441249270838259</v>
      </c>
      <c r="AL143">
        <f t="shared" si="45"/>
        <v>3</v>
      </c>
      <c r="AM143">
        <f t="shared" si="46"/>
        <v>2024</v>
      </c>
      <c r="AN143" t="str">
        <f t="shared" si="47"/>
        <v>Clean</v>
      </c>
    </row>
    <row r="144" spans="1:40">
      <c r="A144" t="s">
        <v>799</v>
      </c>
      <c r="B144" s="3" t="s">
        <v>800</v>
      </c>
      <c r="C144" s="10">
        <v>45381</v>
      </c>
      <c r="D144" s="3" t="s">
        <v>801</v>
      </c>
      <c r="E144" s="10">
        <v>45377</v>
      </c>
      <c r="F144" s="6" t="str">
        <f t="shared" si="32"/>
        <v>Invalid Shipping Record</v>
      </c>
      <c r="G144" s="8">
        <f t="shared" si="33"/>
        <v>-4</v>
      </c>
      <c r="H144" s="8" t="str">
        <f t="shared" si="34"/>
        <v>Invalid Shipping Record</v>
      </c>
      <c r="I144" t="s">
        <v>802</v>
      </c>
      <c r="J144" t="s">
        <v>106</v>
      </c>
      <c r="K144" t="s">
        <v>106</v>
      </c>
      <c r="L144" t="s">
        <v>114</v>
      </c>
      <c r="M144" s="3" t="str">
        <f t="shared" si="35"/>
        <v>Home Office</v>
      </c>
      <c r="N144" t="s">
        <v>26</v>
      </c>
      <c r="O144" s="3" t="str">
        <f t="shared" si="36"/>
        <v>North</v>
      </c>
      <c r="P144" t="s">
        <v>27</v>
      </c>
      <c r="Q144" t="s">
        <v>28</v>
      </c>
      <c r="R144" t="s">
        <v>85</v>
      </c>
      <c r="S144" s="3" t="str">
        <f t="shared" si="37"/>
        <v>Technology</v>
      </c>
      <c r="T144" t="s">
        <v>222</v>
      </c>
      <c r="U144" t="s">
        <v>803</v>
      </c>
      <c r="V144" t="s">
        <v>32</v>
      </c>
      <c r="W144" s="3" t="str">
        <f t="shared" si="38"/>
        <v>Second Class</v>
      </c>
      <c r="X144">
        <v>5</v>
      </c>
      <c r="Y144">
        <v>907.54</v>
      </c>
      <c r="Z144">
        <v>0.15</v>
      </c>
      <c r="AA144">
        <f t="shared" si="42"/>
        <v>0.15</v>
      </c>
      <c r="AB144">
        <f t="shared" si="43"/>
        <v>3857.0449999999996</v>
      </c>
      <c r="AC144">
        <v>3857.04</v>
      </c>
      <c r="AD144">
        <v>2769.26</v>
      </c>
      <c r="AE144">
        <v>1087.78</v>
      </c>
      <c r="AF144" t="s">
        <v>33</v>
      </c>
      <c r="AG144" t="s">
        <v>34</v>
      </c>
      <c r="AH144" t="str">
        <f t="shared" si="39"/>
        <v>Completed</v>
      </c>
      <c r="AI144" t="str">
        <f t="shared" si="40"/>
        <v>Valid</v>
      </c>
      <c r="AJ144">
        <f t="shared" si="41"/>
        <v>1087.7799999999997</v>
      </c>
      <c r="AK144" s="12">
        <f t="shared" si="44"/>
        <v>0.28202419209524388</v>
      </c>
      <c r="AL144">
        <f t="shared" si="45"/>
        <v>3</v>
      </c>
      <c r="AM144">
        <f t="shared" si="46"/>
        <v>2024</v>
      </c>
      <c r="AN144" t="str">
        <f t="shared" si="47"/>
        <v>Invalid</v>
      </c>
    </row>
    <row r="145" spans="1:40">
      <c r="A145" t="s">
        <v>804</v>
      </c>
      <c r="B145" s="3" t="s">
        <v>541</v>
      </c>
      <c r="C145" s="10">
        <v>45375</v>
      </c>
      <c r="D145" s="3" t="s">
        <v>805</v>
      </c>
      <c r="E145" s="10">
        <v>45377</v>
      </c>
      <c r="F145" s="6" t="str">
        <f t="shared" si="32"/>
        <v>Valid</v>
      </c>
      <c r="G145" s="8">
        <f t="shared" si="33"/>
        <v>2</v>
      </c>
      <c r="H145" s="8" t="str">
        <f t="shared" si="34"/>
        <v>Valid</v>
      </c>
      <c r="I145" t="s">
        <v>806</v>
      </c>
      <c r="J145" t="s">
        <v>141</v>
      </c>
      <c r="K145" t="s">
        <v>141</v>
      </c>
      <c r="L145" t="s">
        <v>25</v>
      </c>
      <c r="M145" s="3" t="str">
        <f t="shared" si="35"/>
        <v>Consumer</v>
      </c>
      <c r="N145" t="s">
        <v>72</v>
      </c>
      <c r="O145" s="3" t="str">
        <f t="shared" si="36"/>
        <v>West</v>
      </c>
      <c r="P145" t="s">
        <v>234</v>
      </c>
      <c r="Q145" t="s">
        <v>235</v>
      </c>
      <c r="R145" t="s">
        <v>29</v>
      </c>
      <c r="S145" s="3" t="str">
        <f t="shared" si="37"/>
        <v>Office Supplies</v>
      </c>
      <c r="T145" t="s">
        <v>30</v>
      </c>
      <c r="U145" t="s">
        <v>807</v>
      </c>
      <c r="V145" t="s">
        <v>32</v>
      </c>
      <c r="W145" s="3" t="str">
        <f t="shared" si="38"/>
        <v>Second Class</v>
      </c>
      <c r="X145">
        <v>1</v>
      </c>
      <c r="Y145">
        <v>3409.5</v>
      </c>
      <c r="Z145">
        <v>0.1</v>
      </c>
      <c r="AA145">
        <f t="shared" si="42"/>
        <v>0.1</v>
      </c>
      <c r="AB145">
        <f t="shared" si="43"/>
        <v>3068.55</v>
      </c>
      <c r="AC145">
        <v>3068.55</v>
      </c>
      <c r="AD145">
        <v>1916.16</v>
      </c>
      <c r="AE145">
        <v>1152.3900000000001</v>
      </c>
      <c r="AF145" t="s">
        <v>33</v>
      </c>
      <c r="AG145" t="s">
        <v>124</v>
      </c>
      <c r="AH145" t="str">
        <f t="shared" si="39"/>
        <v>Returned</v>
      </c>
      <c r="AI145" t="str">
        <f t="shared" si="40"/>
        <v>Valid</v>
      </c>
      <c r="AJ145">
        <f t="shared" si="41"/>
        <v>1152.3900000000001</v>
      </c>
      <c r="AK145" s="12">
        <f t="shared" si="44"/>
        <v>0.3755487119323459</v>
      </c>
      <c r="AL145">
        <f t="shared" si="45"/>
        <v>3</v>
      </c>
      <c r="AM145">
        <f t="shared" si="46"/>
        <v>2024</v>
      </c>
      <c r="AN145" t="str">
        <f t="shared" si="47"/>
        <v>Clean</v>
      </c>
    </row>
    <row r="146" spans="1:40">
      <c r="A146" t="s">
        <v>808</v>
      </c>
      <c r="B146" s="3" t="s">
        <v>577</v>
      </c>
      <c r="C146" s="10">
        <v>45450</v>
      </c>
      <c r="D146" s="3" t="s">
        <v>809</v>
      </c>
      <c r="E146" s="10">
        <v>45458</v>
      </c>
      <c r="F146" s="6" t="str">
        <f t="shared" si="32"/>
        <v>Valid</v>
      </c>
      <c r="G146" s="8">
        <f t="shared" si="33"/>
        <v>8</v>
      </c>
      <c r="H146" s="8" t="str">
        <f t="shared" si="34"/>
        <v>Valid</v>
      </c>
      <c r="I146" t="s">
        <v>810</v>
      </c>
      <c r="J146" t="s">
        <v>365</v>
      </c>
      <c r="K146" t="s">
        <v>365</v>
      </c>
      <c r="L146" t="s">
        <v>40</v>
      </c>
      <c r="M146" s="3" t="str">
        <f t="shared" si="35"/>
        <v>Small Business</v>
      </c>
      <c r="N146" t="s">
        <v>61</v>
      </c>
      <c r="O146" s="3" t="str">
        <f t="shared" si="36"/>
        <v>South</v>
      </c>
      <c r="P146" t="s">
        <v>62</v>
      </c>
      <c r="Q146" t="s">
        <v>63</v>
      </c>
      <c r="R146" t="s">
        <v>85</v>
      </c>
      <c r="S146" s="3" t="str">
        <f t="shared" si="37"/>
        <v>Technology</v>
      </c>
      <c r="T146" t="s">
        <v>86</v>
      </c>
      <c r="U146" t="s">
        <v>811</v>
      </c>
      <c r="V146" t="s">
        <v>55</v>
      </c>
      <c r="W146" s="3" t="str">
        <f t="shared" si="38"/>
        <v>First Class</v>
      </c>
      <c r="X146">
        <v>7</v>
      </c>
      <c r="Y146">
        <v>2147.9899999999998</v>
      </c>
      <c r="Z146">
        <v>0.25</v>
      </c>
      <c r="AA146">
        <f t="shared" si="42"/>
        <v>0.25</v>
      </c>
      <c r="AB146">
        <f t="shared" si="43"/>
        <v>11276.947499999998</v>
      </c>
      <c r="AC146">
        <v>11276.95</v>
      </c>
      <c r="AD146">
        <v>6908.76</v>
      </c>
      <c r="AE146">
        <v>4368.1899999999996</v>
      </c>
      <c r="AF146" t="s">
        <v>123</v>
      </c>
      <c r="AG146" t="s">
        <v>124</v>
      </c>
      <c r="AH146" t="str">
        <f t="shared" si="39"/>
        <v>Returned</v>
      </c>
      <c r="AI146" t="str">
        <f t="shared" si="40"/>
        <v>Valid</v>
      </c>
      <c r="AJ146">
        <f t="shared" si="41"/>
        <v>4368.1900000000005</v>
      </c>
      <c r="AK146" s="12">
        <f t="shared" si="44"/>
        <v>0.38735570951270287</v>
      </c>
      <c r="AL146">
        <f t="shared" si="45"/>
        <v>6</v>
      </c>
      <c r="AM146">
        <f t="shared" si="46"/>
        <v>2024</v>
      </c>
      <c r="AN146" t="str">
        <f t="shared" si="47"/>
        <v>Clean</v>
      </c>
    </row>
    <row r="147" spans="1:40">
      <c r="A147" t="s">
        <v>812</v>
      </c>
      <c r="B147" s="3" t="s">
        <v>813</v>
      </c>
      <c r="C147" s="10">
        <v>45758</v>
      </c>
      <c r="D147" s="3" t="s">
        <v>814</v>
      </c>
      <c r="E147" s="10">
        <v>45760</v>
      </c>
      <c r="F147" s="6" t="str">
        <f t="shared" si="32"/>
        <v>Valid</v>
      </c>
      <c r="G147" s="8">
        <f t="shared" si="33"/>
        <v>2</v>
      </c>
      <c r="H147" s="8" t="str">
        <f t="shared" si="34"/>
        <v>Valid</v>
      </c>
      <c r="I147" t="s">
        <v>815</v>
      </c>
      <c r="J147" t="s">
        <v>39</v>
      </c>
      <c r="K147" t="s">
        <v>39</v>
      </c>
      <c r="L147" t="s">
        <v>40</v>
      </c>
      <c r="M147" s="3" t="str">
        <f t="shared" si="35"/>
        <v>Small Business</v>
      </c>
      <c r="N147" t="s">
        <v>72</v>
      </c>
      <c r="O147" s="3" t="str">
        <f t="shared" si="36"/>
        <v>West</v>
      </c>
      <c r="P147" t="s">
        <v>248</v>
      </c>
      <c r="Q147" t="s">
        <v>249</v>
      </c>
      <c r="R147" t="s">
        <v>29</v>
      </c>
      <c r="S147" s="3" t="str">
        <f t="shared" si="37"/>
        <v>Office Supplies</v>
      </c>
      <c r="T147" t="s">
        <v>30</v>
      </c>
      <c r="U147" t="s">
        <v>816</v>
      </c>
      <c r="V147" t="s">
        <v>66</v>
      </c>
      <c r="W147" s="3" t="str">
        <f t="shared" si="38"/>
        <v>Standard Class</v>
      </c>
      <c r="X147">
        <v>4</v>
      </c>
      <c r="Y147">
        <v>4182.1499999999996</v>
      </c>
      <c r="Z147">
        <v>0.1</v>
      </c>
      <c r="AA147">
        <f t="shared" si="42"/>
        <v>0.1</v>
      </c>
      <c r="AB147">
        <f t="shared" si="43"/>
        <v>15055.74</v>
      </c>
      <c r="AC147">
        <v>15055.74</v>
      </c>
      <c r="AD147">
        <v>9808.83</v>
      </c>
      <c r="AE147">
        <v>5246.91</v>
      </c>
      <c r="AF147" t="s">
        <v>33</v>
      </c>
      <c r="AG147" t="s">
        <v>34</v>
      </c>
      <c r="AH147" t="str">
        <f t="shared" si="39"/>
        <v>Completed</v>
      </c>
      <c r="AI147" t="str">
        <f t="shared" si="40"/>
        <v>Valid</v>
      </c>
      <c r="AJ147">
        <f t="shared" si="41"/>
        <v>5246.91</v>
      </c>
      <c r="AK147" s="12">
        <f t="shared" si="44"/>
        <v>0.34849897779850075</v>
      </c>
      <c r="AL147">
        <f t="shared" si="45"/>
        <v>4</v>
      </c>
      <c r="AM147">
        <f t="shared" si="46"/>
        <v>2025</v>
      </c>
      <c r="AN147" t="str">
        <f t="shared" si="47"/>
        <v>Clean</v>
      </c>
    </row>
    <row r="148" spans="1:40">
      <c r="A148" t="s">
        <v>817</v>
      </c>
      <c r="B148" s="3" t="s">
        <v>818</v>
      </c>
      <c r="C148" s="10">
        <v>45868</v>
      </c>
      <c r="D148" s="3" t="s">
        <v>819</v>
      </c>
      <c r="E148" s="10">
        <v>45870</v>
      </c>
      <c r="F148" s="6" t="str">
        <f t="shared" si="32"/>
        <v>Valid</v>
      </c>
      <c r="G148" s="8">
        <f t="shared" si="33"/>
        <v>2</v>
      </c>
      <c r="H148" s="8" t="str">
        <f t="shared" si="34"/>
        <v>Valid</v>
      </c>
      <c r="I148" t="s">
        <v>820</v>
      </c>
      <c r="J148" t="s">
        <v>167</v>
      </c>
      <c r="K148" t="s">
        <v>167</v>
      </c>
      <c r="L148" t="s">
        <v>40</v>
      </c>
      <c r="M148" s="3" t="str">
        <f t="shared" si="35"/>
        <v>Small Business</v>
      </c>
      <c r="N148" t="s">
        <v>61</v>
      </c>
      <c r="O148" s="3" t="str">
        <f t="shared" si="36"/>
        <v>South</v>
      </c>
      <c r="P148" t="s">
        <v>338</v>
      </c>
      <c r="Q148" t="s">
        <v>339</v>
      </c>
      <c r="R148" t="s">
        <v>29</v>
      </c>
      <c r="S148" s="3" t="str">
        <f t="shared" si="37"/>
        <v>Office Supplies</v>
      </c>
      <c r="T148" t="s">
        <v>155</v>
      </c>
      <c r="U148" t="s">
        <v>821</v>
      </c>
      <c r="V148" t="s">
        <v>47</v>
      </c>
      <c r="W148" s="3" t="str">
        <f t="shared" si="38"/>
        <v>Same Day</v>
      </c>
      <c r="X148">
        <v>9</v>
      </c>
      <c r="Y148">
        <v>3165.43</v>
      </c>
      <c r="Z148">
        <v>0.1</v>
      </c>
      <c r="AA148">
        <f t="shared" si="42"/>
        <v>0.1</v>
      </c>
      <c r="AB148">
        <f t="shared" si="43"/>
        <v>25639.983</v>
      </c>
      <c r="AC148">
        <v>25639.98</v>
      </c>
      <c r="AD148">
        <v>21635.08</v>
      </c>
      <c r="AE148">
        <v>4004.9</v>
      </c>
      <c r="AF148" t="s">
        <v>33</v>
      </c>
      <c r="AG148" t="s">
        <v>34</v>
      </c>
      <c r="AH148" t="str">
        <f t="shared" si="39"/>
        <v>Completed</v>
      </c>
      <c r="AI148" t="str">
        <f t="shared" si="40"/>
        <v>Valid</v>
      </c>
      <c r="AJ148">
        <f t="shared" si="41"/>
        <v>4004.8999999999978</v>
      </c>
      <c r="AK148" s="12">
        <f t="shared" si="44"/>
        <v>0.15619745145696851</v>
      </c>
      <c r="AL148">
        <f t="shared" si="45"/>
        <v>7</v>
      </c>
      <c r="AM148">
        <f t="shared" si="46"/>
        <v>2025</v>
      </c>
      <c r="AN148" t="str">
        <f t="shared" si="47"/>
        <v>Clean</v>
      </c>
    </row>
    <row r="149" spans="1:40">
      <c r="A149" t="s">
        <v>822</v>
      </c>
      <c r="B149" s="3" t="s">
        <v>823</v>
      </c>
      <c r="C149" s="10">
        <v>45649</v>
      </c>
      <c r="D149" s="3" t="s">
        <v>824</v>
      </c>
      <c r="E149" s="10">
        <v>45656</v>
      </c>
      <c r="F149" s="6" t="str">
        <f t="shared" si="32"/>
        <v>Valid</v>
      </c>
      <c r="G149" s="8">
        <f t="shared" si="33"/>
        <v>7</v>
      </c>
      <c r="H149" s="8" t="str">
        <f t="shared" si="34"/>
        <v>Valid</v>
      </c>
      <c r="I149" t="s">
        <v>825</v>
      </c>
      <c r="J149" t="s">
        <v>141</v>
      </c>
      <c r="K149" t="s">
        <v>141</v>
      </c>
      <c r="L149" t="s">
        <v>114</v>
      </c>
      <c r="M149" s="3" t="str">
        <f t="shared" si="35"/>
        <v>Home Office</v>
      </c>
      <c r="N149" t="s">
        <v>72</v>
      </c>
      <c r="O149" s="3" t="str">
        <f t="shared" si="36"/>
        <v>West</v>
      </c>
      <c r="P149" t="s">
        <v>248</v>
      </c>
      <c r="Q149" t="s">
        <v>249</v>
      </c>
      <c r="R149" t="s">
        <v>44</v>
      </c>
      <c r="S149" s="3" t="str">
        <f t="shared" si="37"/>
        <v>Furniture</v>
      </c>
      <c r="T149" t="s">
        <v>64</v>
      </c>
      <c r="U149" t="s">
        <v>826</v>
      </c>
      <c r="V149" t="s">
        <v>55</v>
      </c>
      <c r="W149" s="3" t="str">
        <f t="shared" si="38"/>
        <v>First Class</v>
      </c>
      <c r="X149">
        <v>8</v>
      </c>
      <c r="Y149">
        <v>386.1</v>
      </c>
      <c r="Z149">
        <v>0.1</v>
      </c>
      <c r="AA149">
        <f t="shared" si="42"/>
        <v>0.1</v>
      </c>
      <c r="AB149">
        <f t="shared" si="43"/>
        <v>2779.92</v>
      </c>
      <c r="AC149">
        <v>2779.92</v>
      </c>
      <c r="AD149">
        <v>1744.05</v>
      </c>
      <c r="AE149">
        <v>1035.8699999999999</v>
      </c>
      <c r="AF149" t="s">
        <v>33</v>
      </c>
      <c r="AG149" t="s">
        <v>34</v>
      </c>
      <c r="AH149" t="str">
        <f t="shared" si="39"/>
        <v>Completed</v>
      </c>
      <c r="AI149" t="str">
        <f t="shared" si="40"/>
        <v>Valid</v>
      </c>
      <c r="AJ149">
        <f t="shared" si="41"/>
        <v>1035.8700000000001</v>
      </c>
      <c r="AK149" s="12">
        <f t="shared" si="44"/>
        <v>0.37262583095916435</v>
      </c>
      <c r="AL149">
        <f t="shared" si="45"/>
        <v>12</v>
      </c>
      <c r="AM149">
        <f t="shared" si="46"/>
        <v>2024</v>
      </c>
      <c r="AN149" t="str">
        <f t="shared" si="47"/>
        <v>Clean</v>
      </c>
    </row>
    <row r="150" spans="1:40">
      <c r="A150" t="s">
        <v>827</v>
      </c>
      <c r="B150" s="3" t="s">
        <v>828</v>
      </c>
      <c r="C150" s="10">
        <v>45697</v>
      </c>
      <c r="D150" s="3" t="s">
        <v>829</v>
      </c>
      <c r="E150" s="10">
        <v>45701</v>
      </c>
      <c r="F150" s="6" t="str">
        <f t="shared" si="32"/>
        <v>Valid</v>
      </c>
      <c r="G150" s="8">
        <f t="shared" si="33"/>
        <v>4</v>
      </c>
      <c r="H150" s="8" t="str">
        <f t="shared" si="34"/>
        <v>Valid</v>
      </c>
      <c r="I150" t="s">
        <v>830</v>
      </c>
      <c r="J150" t="s">
        <v>39</v>
      </c>
      <c r="K150" t="s">
        <v>39</v>
      </c>
      <c r="L150" t="s">
        <v>114</v>
      </c>
      <c r="M150" s="3" t="str">
        <f t="shared" si="35"/>
        <v>Home Office</v>
      </c>
      <c r="N150" t="s">
        <v>72</v>
      </c>
      <c r="O150" s="3" t="str">
        <f t="shared" si="36"/>
        <v>West</v>
      </c>
      <c r="P150" t="s">
        <v>83</v>
      </c>
      <c r="Q150" t="s">
        <v>84</v>
      </c>
      <c r="R150" t="s">
        <v>85</v>
      </c>
      <c r="S150" s="3" t="str">
        <f t="shared" si="37"/>
        <v>Technology</v>
      </c>
      <c r="T150" t="s">
        <v>222</v>
      </c>
      <c r="U150" t="s">
        <v>831</v>
      </c>
      <c r="W150" s="3" t="str">
        <f t="shared" si="38"/>
        <v>Unknown</v>
      </c>
      <c r="X150">
        <v>8</v>
      </c>
      <c r="Y150">
        <v>1696.07</v>
      </c>
      <c r="Z150">
        <v>0.25</v>
      </c>
      <c r="AA150">
        <f t="shared" si="42"/>
        <v>0.25</v>
      </c>
      <c r="AB150">
        <f t="shared" si="43"/>
        <v>10176.42</v>
      </c>
      <c r="AC150">
        <v>10176.42</v>
      </c>
      <c r="AD150">
        <v>7604.47</v>
      </c>
      <c r="AE150">
        <v>2571.9499999999998</v>
      </c>
      <c r="AF150" t="s">
        <v>33</v>
      </c>
      <c r="AG150" t="s">
        <v>34</v>
      </c>
      <c r="AH150" t="str">
        <f t="shared" si="39"/>
        <v>Completed</v>
      </c>
      <c r="AI150" t="str">
        <f t="shared" si="40"/>
        <v>Valid</v>
      </c>
      <c r="AJ150">
        <f t="shared" si="41"/>
        <v>2571.9499999999998</v>
      </c>
      <c r="AK150" s="12">
        <f t="shared" si="44"/>
        <v>0.252736227474888</v>
      </c>
      <c r="AL150">
        <f t="shared" si="45"/>
        <v>2</v>
      </c>
      <c r="AM150">
        <f t="shared" si="46"/>
        <v>2025</v>
      </c>
      <c r="AN150" t="str">
        <f t="shared" si="47"/>
        <v>Clean</v>
      </c>
    </row>
    <row r="151" spans="1:40">
      <c r="A151" t="s">
        <v>832</v>
      </c>
      <c r="B151" s="3" t="s">
        <v>833</v>
      </c>
      <c r="C151" s="10">
        <v>45321</v>
      </c>
      <c r="D151" s="3" t="s">
        <v>833</v>
      </c>
      <c r="E151" s="10">
        <v>45321</v>
      </c>
      <c r="F151" s="6" t="str">
        <f t="shared" si="32"/>
        <v>Valid</v>
      </c>
      <c r="G151" s="8">
        <f t="shared" si="33"/>
        <v>0</v>
      </c>
      <c r="H151" s="8" t="str">
        <f t="shared" si="34"/>
        <v>Valid</v>
      </c>
      <c r="I151" t="s">
        <v>834</v>
      </c>
      <c r="J151" t="s">
        <v>161</v>
      </c>
      <c r="K151" t="s">
        <v>161</v>
      </c>
      <c r="L151" t="s">
        <v>40</v>
      </c>
      <c r="M151" s="3" t="str">
        <f t="shared" si="35"/>
        <v>Small Business</v>
      </c>
      <c r="N151" t="s">
        <v>835</v>
      </c>
      <c r="O151" s="3" t="str">
        <f t="shared" si="36"/>
        <v>West</v>
      </c>
      <c r="P151" t="s">
        <v>27</v>
      </c>
      <c r="Q151" t="s">
        <v>134</v>
      </c>
      <c r="R151" t="s">
        <v>85</v>
      </c>
      <c r="S151" s="3" t="str">
        <f t="shared" si="37"/>
        <v>Technology</v>
      </c>
      <c r="T151" t="s">
        <v>93</v>
      </c>
      <c r="U151" t="s">
        <v>836</v>
      </c>
      <c r="V151" t="s">
        <v>47</v>
      </c>
      <c r="W151" s="3" t="str">
        <f t="shared" si="38"/>
        <v>Same Day</v>
      </c>
      <c r="X151">
        <v>7</v>
      </c>
      <c r="Y151">
        <v>2527.61</v>
      </c>
      <c r="Z151">
        <v>0.25</v>
      </c>
      <c r="AA151">
        <f t="shared" si="42"/>
        <v>0.25</v>
      </c>
      <c r="AB151">
        <f t="shared" si="43"/>
        <v>13269.952499999999</v>
      </c>
      <c r="AC151">
        <v>13269.95</v>
      </c>
      <c r="AD151">
        <v>8977.1</v>
      </c>
      <c r="AE151">
        <v>4292.8500000000004</v>
      </c>
      <c r="AF151" t="s">
        <v>33</v>
      </c>
      <c r="AG151" t="s">
        <v>34</v>
      </c>
      <c r="AH151" t="str">
        <f t="shared" si="39"/>
        <v>Completed</v>
      </c>
      <c r="AI151" t="str">
        <f t="shared" si="40"/>
        <v>Valid</v>
      </c>
      <c r="AJ151">
        <f t="shared" si="41"/>
        <v>4292.8500000000004</v>
      </c>
      <c r="AK151" s="12">
        <f t="shared" si="44"/>
        <v>0.32350153476434829</v>
      </c>
      <c r="AL151">
        <f t="shared" si="45"/>
        <v>1</v>
      </c>
      <c r="AM151">
        <f t="shared" si="46"/>
        <v>2024</v>
      </c>
      <c r="AN151" t="str">
        <f t="shared" si="47"/>
        <v>Clean</v>
      </c>
    </row>
    <row r="152" spans="1:40">
      <c r="A152" t="s">
        <v>837</v>
      </c>
      <c r="B152" s="3" t="s">
        <v>838</v>
      </c>
      <c r="C152" s="10">
        <v>45355</v>
      </c>
      <c r="D152" s="3" t="s">
        <v>839</v>
      </c>
      <c r="E152" s="10">
        <v>45363</v>
      </c>
      <c r="F152" s="6" t="str">
        <f t="shared" si="32"/>
        <v>Valid</v>
      </c>
      <c r="G152" s="8">
        <f t="shared" si="33"/>
        <v>8</v>
      </c>
      <c r="H152" s="8" t="str">
        <f t="shared" si="34"/>
        <v>Valid</v>
      </c>
      <c r="I152" t="s">
        <v>840</v>
      </c>
      <c r="J152" t="s">
        <v>60</v>
      </c>
      <c r="K152" t="s">
        <v>60</v>
      </c>
      <c r="L152" t="s">
        <v>25</v>
      </c>
      <c r="M152" s="3" t="str">
        <f t="shared" si="35"/>
        <v>Consumer</v>
      </c>
      <c r="O152" s="3" t="str">
        <f t="shared" si="36"/>
        <v>Unknown</v>
      </c>
      <c r="P152" t="s">
        <v>234</v>
      </c>
      <c r="Q152" t="s">
        <v>235</v>
      </c>
      <c r="R152" t="s">
        <v>44</v>
      </c>
      <c r="S152" s="3" t="str">
        <f t="shared" si="37"/>
        <v>Furniture</v>
      </c>
      <c r="T152" t="s">
        <v>203</v>
      </c>
      <c r="U152" t="s">
        <v>841</v>
      </c>
      <c r="V152" t="s">
        <v>55</v>
      </c>
      <c r="W152" s="3" t="str">
        <f t="shared" si="38"/>
        <v>First Class</v>
      </c>
      <c r="X152">
        <v>1</v>
      </c>
      <c r="Y152">
        <v>1554.12</v>
      </c>
      <c r="Z152">
        <v>0.1</v>
      </c>
      <c r="AA152">
        <f t="shared" si="42"/>
        <v>0.1</v>
      </c>
      <c r="AB152">
        <f t="shared" si="43"/>
        <v>1398.7079999999999</v>
      </c>
      <c r="AC152">
        <v>1398.71</v>
      </c>
      <c r="AD152">
        <v>1056.92</v>
      </c>
      <c r="AE152">
        <v>341.79</v>
      </c>
      <c r="AF152" t="s">
        <v>33</v>
      </c>
      <c r="AG152" t="s">
        <v>34</v>
      </c>
      <c r="AH152" t="str">
        <f t="shared" si="39"/>
        <v>Completed</v>
      </c>
      <c r="AI152" t="str">
        <f t="shared" si="40"/>
        <v>Valid</v>
      </c>
      <c r="AJ152">
        <f t="shared" si="41"/>
        <v>341.78999999999996</v>
      </c>
      <c r="AK152" s="12">
        <f t="shared" si="44"/>
        <v>0.24436122478744671</v>
      </c>
      <c r="AL152">
        <f t="shared" si="45"/>
        <v>3</v>
      </c>
      <c r="AM152">
        <f t="shared" si="46"/>
        <v>2024</v>
      </c>
      <c r="AN152" t="str">
        <f t="shared" si="47"/>
        <v>Clean</v>
      </c>
    </row>
    <row r="153" spans="1:40">
      <c r="A153" t="s">
        <v>842</v>
      </c>
      <c r="B153" s="3" t="s">
        <v>843</v>
      </c>
      <c r="C153" s="10">
        <v>45470</v>
      </c>
      <c r="D153" s="3" t="s">
        <v>844</v>
      </c>
      <c r="E153" s="10">
        <v>45470</v>
      </c>
      <c r="F153" s="6" t="str">
        <f t="shared" si="32"/>
        <v>Valid</v>
      </c>
      <c r="G153" s="8">
        <f t="shared" si="33"/>
        <v>0</v>
      </c>
      <c r="H153" s="8" t="str">
        <f t="shared" si="34"/>
        <v>Valid</v>
      </c>
      <c r="I153" t="s">
        <v>845</v>
      </c>
      <c r="J153" t="s">
        <v>92</v>
      </c>
      <c r="K153" t="s">
        <v>92</v>
      </c>
      <c r="L153" t="s">
        <v>114</v>
      </c>
      <c r="M153" s="3" t="str">
        <f t="shared" si="35"/>
        <v>Home Office</v>
      </c>
      <c r="O153" s="3" t="str">
        <f t="shared" si="36"/>
        <v>Unknown</v>
      </c>
      <c r="P153" t="s">
        <v>83</v>
      </c>
      <c r="Q153" t="s">
        <v>84</v>
      </c>
      <c r="R153" t="s">
        <v>85</v>
      </c>
      <c r="S153" s="3" t="str">
        <f t="shared" si="37"/>
        <v>Technology</v>
      </c>
      <c r="T153" t="s">
        <v>93</v>
      </c>
      <c r="U153" t="s">
        <v>846</v>
      </c>
      <c r="V153" t="s">
        <v>66</v>
      </c>
      <c r="W153" s="3" t="str">
        <f t="shared" si="38"/>
        <v>Standard Class</v>
      </c>
      <c r="X153">
        <v>2</v>
      </c>
      <c r="Y153">
        <v>3859.11</v>
      </c>
      <c r="Z153">
        <v>0</v>
      </c>
      <c r="AA153">
        <f t="shared" si="42"/>
        <v>0</v>
      </c>
      <c r="AB153">
        <f t="shared" si="43"/>
        <v>7718.22</v>
      </c>
      <c r="AC153">
        <v>7718.22</v>
      </c>
      <c r="AD153">
        <v>5355.93</v>
      </c>
      <c r="AE153">
        <v>2362.29</v>
      </c>
      <c r="AF153" t="s">
        <v>136</v>
      </c>
      <c r="AG153" t="s">
        <v>124</v>
      </c>
      <c r="AH153" t="str">
        <f t="shared" si="39"/>
        <v>Returned</v>
      </c>
      <c r="AI153" t="str">
        <f t="shared" si="40"/>
        <v>Valid</v>
      </c>
      <c r="AJ153">
        <f t="shared" si="41"/>
        <v>2362.29</v>
      </c>
      <c r="AK153" s="12">
        <f t="shared" si="44"/>
        <v>0.30606668376905555</v>
      </c>
      <c r="AL153">
        <f t="shared" si="45"/>
        <v>6</v>
      </c>
      <c r="AM153">
        <f t="shared" si="46"/>
        <v>2024</v>
      </c>
      <c r="AN153" t="str">
        <f t="shared" si="47"/>
        <v>Clean</v>
      </c>
    </row>
    <row r="154" spans="1:40">
      <c r="A154" t="s">
        <v>847</v>
      </c>
      <c r="B154" s="3" t="s">
        <v>848</v>
      </c>
      <c r="C154" s="10">
        <v>45457</v>
      </c>
      <c r="D154" s="3" t="s">
        <v>849</v>
      </c>
      <c r="E154" s="10">
        <v>45460</v>
      </c>
      <c r="F154" s="6" t="str">
        <f t="shared" si="32"/>
        <v>Valid</v>
      </c>
      <c r="G154" s="8">
        <f t="shared" si="33"/>
        <v>3</v>
      </c>
      <c r="H154" s="8" t="str">
        <f t="shared" si="34"/>
        <v>Valid</v>
      </c>
      <c r="I154" t="s">
        <v>850</v>
      </c>
      <c r="J154" t="s">
        <v>365</v>
      </c>
      <c r="K154" t="s">
        <v>365</v>
      </c>
      <c r="L154" t="s">
        <v>40</v>
      </c>
      <c r="M154" s="3" t="str">
        <f t="shared" si="35"/>
        <v>Small Business</v>
      </c>
      <c r="N154" t="s">
        <v>61</v>
      </c>
      <c r="O154" s="3" t="str">
        <f t="shared" si="36"/>
        <v>South</v>
      </c>
      <c r="P154" t="s">
        <v>241</v>
      </c>
      <c r="Q154" t="s">
        <v>242</v>
      </c>
      <c r="R154" t="s">
        <v>44</v>
      </c>
      <c r="S154" s="3" t="str">
        <f t="shared" si="37"/>
        <v>Furniture</v>
      </c>
      <c r="T154" t="s">
        <v>45</v>
      </c>
      <c r="U154" t="s">
        <v>851</v>
      </c>
      <c r="V154" t="s">
        <v>32</v>
      </c>
      <c r="W154" s="3" t="str">
        <f t="shared" si="38"/>
        <v>Second Class</v>
      </c>
      <c r="X154">
        <v>6</v>
      </c>
      <c r="Y154">
        <v>1088.04</v>
      </c>
      <c r="Z154">
        <v>0.1</v>
      </c>
      <c r="AA154">
        <f t="shared" si="42"/>
        <v>0.1</v>
      </c>
      <c r="AB154">
        <f t="shared" si="43"/>
        <v>5875.4160000000002</v>
      </c>
      <c r="AC154">
        <v>5875.42</v>
      </c>
      <c r="AD154">
        <v>4380.55</v>
      </c>
      <c r="AE154">
        <v>1494.87</v>
      </c>
      <c r="AF154" t="s">
        <v>136</v>
      </c>
      <c r="AG154" t="s">
        <v>124</v>
      </c>
      <c r="AH154" t="str">
        <f t="shared" si="39"/>
        <v>Returned</v>
      </c>
      <c r="AI154" t="str">
        <f t="shared" si="40"/>
        <v>Valid</v>
      </c>
      <c r="AJ154">
        <f t="shared" si="41"/>
        <v>1494.87</v>
      </c>
      <c r="AK154" s="12">
        <f t="shared" si="44"/>
        <v>0.25442794178318606</v>
      </c>
      <c r="AL154">
        <f t="shared" si="45"/>
        <v>6</v>
      </c>
      <c r="AM154">
        <f t="shared" si="46"/>
        <v>2024</v>
      </c>
      <c r="AN154" t="str">
        <f t="shared" si="47"/>
        <v>Clean</v>
      </c>
    </row>
    <row r="155" spans="1:40">
      <c r="A155" t="s">
        <v>852</v>
      </c>
      <c r="B155" s="3" t="s">
        <v>853</v>
      </c>
      <c r="C155" s="10">
        <v>45923</v>
      </c>
      <c r="D155" s="3" t="s">
        <v>854</v>
      </c>
      <c r="E155" s="10">
        <v>45925</v>
      </c>
      <c r="F155" s="6" t="str">
        <f t="shared" si="32"/>
        <v>Valid</v>
      </c>
      <c r="G155" s="8">
        <f t="shared" si="33"/>
        <v>2</v>
      </c>
      <c r="H155" s="8" t="str">
        <f t="shared" si="34"/>
        <v>Valid</v>
      </c>
      <c r="I155" t="s">
        <v>855</v>
      </c>
      <c r="J155" t="s">
        <v>106</v>
      </c>
      <c r="K155" t="s">
        <v>106</v>
      </c>
      <c r="L155" t="s">
        <v>25</v>
      </c>
      <c r="M155" s="3" t="str">
        <f t="shared" si="35"/>
        <v>Consumer</v>
      </c>
      <c r="N155" t="s">
        <v>41</v>
      </c>
      <c r="O155" s="3" t="str">
        <f t="shared" si="36"/>
        <v>East</v>
      </c>
      <c r="P155" t="s">
        <v>42</v>
      </c>
      <c r="Q155" t="s">
        <v>43</v>
      </c>
      <c r="R155" t="s">
        <v>29</v>
      </c>
      <c r="S155" s="3" t="str">
        <f t="shared" si="37"/>
        <v>Office Supplies</v>
      </c>
      <c r="T155" t="s">
        <v>108</v>
      </c>
      <c r="U155" t="s">
        <v>856</v>
      </c>
      <c r="V155" t="s">
        <v>66</v>
      </c>
      <c r="W155" s="3" t="str">
        <f t="shared" si="38"/>
        <v>Standard Class</v>
      </c>
      <c r="X155">
        <v>7</v>
      </c>
      <c r="Y155">
        <v>3280.31</v>
      </c>
      <c r="Z155">
        <v>0</v>
      </c>
      <c r="AA155">
        <f t="shared" si="42"/>
        <v>0</v>
      </c>
      <c r="AB155">
        <f t="shared" si="43"/>
        <v>22962.17</v>
      </c>
      <c r="AC155">
        <v>22962.17</v>
      </c>
      <c r="AD155">
        <v>15716.5</v>
      </c>
      <c r="AE155">
        <v>7245.67</v>
      </c>
      <c r="AF155" t="s">
        <v>123</v>
      </c>
      <c r="AG155" t="s">
        <v>124</v>
      </c>
      <c r="AH155" t="str">
        <f t="shared" si="39"/>
        <v>Returned</v>
      </c>
      <c r="AI155" t="str">
        <f t="shared" si="40"/>
        <v>Valid</v>
      </c>
      <c r="AJ155">
        <f t="shared" si="41"/>
        <v>7245.6699999999983</v>
      </c>
      <c r="AK155" s="12">
        <f t="shared" si="44"/>
        <v>0.31554813852523517</v>
      </c>
      <c r="AL155">
        <f t="shared" si="45"/>
        <v>9</v>
      </c>
      <c r="AM155">
        <f t="shared" si="46"/>
        <v>2025</v>
      </c>
      <c r="AN155" t="str">
        <f t="shared" si="47"/>
        <v>Clean</v>
      </c>
    </row>
    <row r="156" spans="1:40">
      <c r="A156" t="s">
        <v>857</v>
      </c>
      <c r="B156" s="3" t="s">
        <v>858</v>
      </c>
      <c r="C156" s="10">
        <v>45334</v>
      </c>
      <c r="D156" s="3" t="s">
        <v>859</v>
      </c>
      <c r="E156" s="10">
        <v>45333</v>
      </c>
      <c r="F156" s="6" t="str">
        <f t="shared" si="32"/>
        <v>Invalid Shipping Record</v>
      </c>
      <c r="G156" s="8">
        <f t="shared" si="33"/>
        <v>-1</v>
      </c>
      <c r="H156" s="8" t="str">
        <f t="shared" si="34"/>
        <v>Invalid Shipping Record</v>
      </c>
      <c r="I156" t="s">
        <v>668</v>
      </c>
      <c r="J156" t="s">
        <v>141</v>
      </c>
      <c r="K156" t="s">
        <v>141</v>
      </c>
      <c r="L156" t="s">
        <v>25</v>
      </c>
      <c r="M156" s="3" t="str">
        <f t="shared" si="35"/>
        <v>Consumer</v>
      </c>
      <c r="N156" t="s">
        <v>61</v>
      </c>
      <c r="O156" s="3" t="str">
        <f t="shared" si="36"/>
        <v>South</v>
      </c>
      <c r="P156" t="s">
        <v>338</v>
      </c>
      <c r="Q156" t="s">
        <v>339</v>
      </c>
      <c r="R156" t="s">
        <v>44</v>
      </c>
      <c r="S156" s="3" t="str">
        <f t="shared" si="37"/>
        <v>Furniture</v>
      </c>
      <c r="T156" t="s">
        <v>203</v>
      </c>
      <c r="U156" t="s">
        <v>860</v>
      </c>
      <c r="V156" t="s">
        <v>47</v>
      </c>
      <c r="W156" s="3" t="str">
        <f t="shared" si="38"/>
        <v>Same Day</v>
      </c>
      <c r="X156">
        <v>1</v>
      </c>
      <c r="Y156">
        <v>2599.12</v>
      </c>
      <c r="Z156">
        <v>0.15</v>
      </c>
      <c r="AA156">
        <f t="shared" si="42"/>
        <v>0.15</v>
      </c>
      <c r="AB156">
        <f t="shared" si="43"/>
        <v>2209.252</v>
      </c>
      <c r="AC156">
        <v>2209.25</v>
      </c>
      <c r="AD156">
        <v>1523.78</v>
      </c>
      <c r="AE156">
        <v>685.47</v>
      </c>
      <c r="AF156" t="s">
        <v>33</v>
      </c>
      <c r="AG156" t="s">
        <v>34</v>
      </c>
      <c r="AH156" t="str">
        <f t="shared" si="39"/>
        <v>Completed</v>
      </c>
      <c r="AI156" t="str">
        <f t="shared" si="40"/>
        <v>Valid</v>
      </c>
      <c r="AJ156">
        <f t="shared" si="41"/>
        <v>685.47</v>
      </c>
      <c r="AK156" s="12">
        <f t="shared" si="44"/>
        <v>0.31027243610054445</v>
      </c>
      <c r="AL156">
        <f t="shared" si="45"/>
        <v>2</v>
      </c>
      <c r="AM156">
        <f t="shared" si="46"/>
        <v>2024</v>
      </c>
      <c r="AN156" t="str">
        <f t="shared" si="47"/>
        <v>Invalid</v>
      </c>
    </row>
    <row r="157" spans="1:40">
      <c r="A157" t="s">
        <v>861</v>
      </c>
      <c r="B157" s="3" t="s">
        <v>558</v>
      </c>
      <c r="C157" s="10">
        <v>45683</v>
      </c>
      <c r="D157" s="3" t="s">
        <v>439</v>
      </c>
      <c r="E157" s="10">
        <v>45691</v>
      </c>
      <c r="F157" s="6" t="str">
        <f t="shared" si="32"/>
        <v>Valid</v>
      </c>
      <c r="G157" s="8">
        <f t="shared" si="33"/>
        <v>8</v>
      </c>
      <c r="H157" s="8" t="str">
        <f t="shared" si="34"/>
        <v>Valid</v>
      </c>
      <c r="I157" t="s">
        <v>862</v>
      </c>
      <c r="J157" t="s">
        <v>24</v>
      </c>
      <c r="K157" t="s">
        <v>24</v>
      </c>
      <c r="L157" t="s">
        <v>107</v>
      </c>
      <c r="M157" s="3" t="str">
        <f t="shared" si="35"/>
        <v>Corporate</v>
      </c>
      <c r="N157" t="s">
        <v>72</v>
      </c>
      <c r="O157" s="3" t="str">
        <f t="shared" si="36"/>
        <v>West</v>
      </c>
      <c r="P157" t="s">
        <v>27</v>
      </c>
      <c r="Q157" t="s">
        <v>134</v>
      </c>
      <c r="R157" t="s">
        <v>44</v>
      </c>
      <c r="S157" s="3" t="str">
        <f t="shared" si="37"/>
        <v>Furniture</v>
      </c>
      <c r="T157" t="s">
        <v>64</v>
      </c>
      <c r="U157" t="s">
        <v>863</v>
      </c>
      <c r="V157" t="s">
        <v>47</v>
      </c>
      <c r="W157" s="3" t="str">
        <f t="shared" si="38"/>
        <v>Same Day</v>
      </c>
      <c r="X157">
        <v>3</v>
      </c>
      <c r="Y157">
        <v>2859.32</v>
      </c>
      <c r="Z157">
        <v>0.1</v>
      </c>
      <c r="AA157">
        <f t="shared" si="42"/>
        <v>0.1</v>
      </c>
      <c r="AB157">
        <f t="shared" si="43"/>
        <v>7720.1640000000007</v>
      </c>
      <c r="AC157">
        <v>7720.16</v>
      </c>
      <c r="AD157">
        <v>5881</v>
      </c>
      <c r="AE157">
        <v>1839.16</v>
      </c>
      <c r="AF157" t="s">
        <v>123</v>
      </c>
      <c r="AG157" t="s">
        <v>124</v>
      </c>
      <c r="AH157" t="str">
        <f t="shared" si="39"/>
        <v>Returned</v>
      </c>
      <c r="AI157" t="str">
        <f t="shared" si="40"/>
        <v>Valid</v>
      </c>
      <c r="AJ157">
        <f t="shared" si="41"/>
        <v>1839.1599999999999</v>
      </c>
      <c r="AK157" s="12">
        <f t="shared" si="44"/>
        <v>0.23822809981756859</v>
      </c>
      <c r="AL157">
        <f t="shared" si="45"/>
        <v>1</v>
      </c>
      <c r="AM157">
        <f t="shared" si="46"/>
        <v>2025</v>
      </c>
      <c r="AN157" t="str">
        <f t="shared" si="47"/>
        <v>Clean</v>
      </c>
    </row>
    <row r="158" spans="1:40">
      <c r="A158" t="s">
        <v>864</v>
      </c>
      <c r="B158" s="3" t="s">
        <v>865</v>
      </c>
      <c r="C158" s="10">
        <v>45743</v>
      </c>
      <c r="D158" s="3" t="s">
        <v>866</v>
      </c>
      <c r="E158" s="10">
        <v>45743</v>
      </c>
      <c r="F158" s="6" t="str">
        <f t="shared" si="32"/>
        <v>Valid</v>
      </c>
      <c r="G158" s="8">
        <f t="shared" si="33"/>
        <v>0</v>
      </c>
      <c r="H158" s="8" t="str">
        <f t="shared" si="34"/>
        <v>Valid</v>
      </c>
      <c r="I158" t="s">
        <v>867</v>
      </c>
      <c r="J158" t="s">
        <v>82</v>
      </c>
      <c r="K158" t="s">
        <v>82</v>
      </c>
      <c r="L158" t="s">
        <v>40</v>
      </c>
      <c r="M158" s="3" t="str">
        <f t="shared" si="35"/>
        <v>Small Business</v>
      </c>
      <c r="N158" t="s">
        <v>41</v>
      </c>
      <c r="O158" s="3" t="str">
        <f t="shared" si="36"/>
        <v>East</v>
      </c>
      <c r="P158" t="s">
        <v>185</v>
      </c>
      <c r="Q158" t="s">
        <v>186</v>
      </c>
      <c r="R158" t="s">
        <v>85</v>
      </c>
      <c r="S158" s="3" t="str">
        <f t="shared" si="37"/>
        <v>Technology</v>
      </c>
      <c r="T158" t="s">
        <v>381</v>
      </c>
      <c r="U158" t="s">
        <v>868</v>
      </c>
      <c r="V158" t="s">
        <v>32</v>
      </c>
      <c r="W158" s="3" t="str">
        <f t="shared" si="38"/>
        <v>Second Class</v>
      </c>
      <c r="X158">
        <v>7</v>
      </c>
      <c r="Y158">
        <v>2305.37</v>
      </c>
      <c r="Z158">
        <v>0.25</v>
      </c>
      <c r="AA158">
        <f t="shared" si="42"/>
        <v>0.25</v>
      </c>
      <c r="AB158">
        <f t="shared" si="43"/>
        <v>12103.192500000001</v>
      </c>
      <c r="AC158">
        <v>12103.19</v>
      </c>
      <c r="AD158">
        <v>6717.87</v>
      </c>
      <c r="AE158">
        <v>5385.32</v>
      </c>
      <c r="AF158" t="s">
        <v>33</v>
      </c>
      <c r="AG158" t="s">
        <v>34</v>
      </c>
      <c r="AH158" t="str">
        <f t="shared" si="39"/>
        <v>Completed</v>
      </c>
      <c r="AI158" t="str">
        <f t="shared" si="40"/>
        <v>Valid</v>
      </c>
      <c r="AJ158">
        <f t="shared" si="41"/>
        <v>5385.3200000000006</v>
      </c>
      <c r="AK158" s="12">
        <f t="shared" si="44"/>
        <v>0.4449503715651883</v>
      </c>
      <c r="AL158">
        <f t="shared" si="45"/>
        <v>3</v>
      </c>
      <c r="AM158">
        <f t="shared" si="46"/>
        <v>2025</v>
      </c>
      <c r="AN158" t="str">
        <f t="shared" si="47"/>
        <v>Clean</v>
      </c>
    </row>
    <row r="159" spans="1:40">
      <c r="A159" t="s">
        <v>869</v>
      </c>
      <c r="B159" s="3" t="s">
        <v>870</v>
      </c>
      <c r="C159" s="10">
        <v>45587</v>
      </c>
      <c r="D159" s="3" t="s">
        <v>871</v>
      </c>
      <c r="E159" s="10">
        <v>45589</v>
      </c>
      <c r="F159" s="6" t="str">
        <f t="shared" si="32"/>
        <v>Valid</v>
      </c>
      <c r="G159" s="8">
        <f t="shared" si="33"/>
        <v>2</v>
      </c>
      <c r="H159" s="8" t="str">
        <f t="shared" si="34"/>
        <v>Valid</v>
      </c>
      <c r="I159" t="s">
        <v>872</v>
      </c>
      <c r="J159" t="s">
        <v>179</v>
      </c>
      <c r="K159" t="s">
        <v>179</v>
      </c>
      <c r="L159" t="s">
        <v>40</v>
      </c>
      <c r="M159" s="3" t="str">
        <f t="shared" si="35"/>
        <v>Small Business</v>
      </c>
      <c r="N159" t="s">
        <v>61</v>
      </c>
      <c r="O159" s="3" t="str">
        <f t="shared" si="36"/>
        <v>South</v>
      </c>
      <c r="P159" t="s">
        <v>99</v>
      </c>
      <c r="Q159" t="s">
        <v>100</v>
      </c>
      <c r="R159" t="s">
        <v>44</v>
      </c>
      <c r="S159" s="3" t="str">
        <f t="shared" si="37"/>
        <v>Furniture</v>
      </c>
      <c r="T159" t="s">
        <v>203</v>
      </c>
      <c r="U159" t="s">
        <v>873</v>
      </c>
      <c r="V159" t="s">
        <v>66</v>
      </c>
      <c r="W159" s="3" t="str">
        <f t="shared" si="38"/>
        <v>Standard Class</v>
      </c>
      <c r="X159">
        <v>3</v>
      </c>
      <c r="Y159">
        <v>915.84</v>
      </c>
      <c r="Z159">
        <v>0.15</v>
      </c>
      <c r="AA159">
        <f t="shared" si="42"/>
        <v>0.15</v>
      </c>
      <c r="AB159">
        <f t="shared" si="43"/>
        <v>2335.3919999999998</v>
      </c>
      <c r="AC159">
        <v>2335.39</v>
      </c>
      <c r="AD159">
        <v>1466.15</v>
      </c>
      <c r="AE159">
        <v>869.24</v>
      </c>
      <c r="AF159" t="s">
        <v>33</v>
      </c>
      <c r="AG159" t="s">
        <v>34</v>
      </c>
      <c r="AH159" t="str">
        <f t="shared" si="39"/>
        <v>Completed</v>
      </c>
      <c r="AI159" t="str">
        <f t="shared" si="40"/>
        <v>Valid</v>
      </c>
      <c r="AJ159">
        <f t="shared" si="41"/>
        <v>869.23999999999978</v>
      </c>
      <c r="AK159" s="12">
        <f t="shared" si="44"/>
        <v>0.37220303914717523</v>
      </c>
      <c r="AL159">
        <f t="shared" si="45"/>
        <v>10</v>
      </c>
      <c r="AM159">
        <f t="shared" si="46"/>
        <v>2024</v>
      </c>
      <c r="AN159" t="str">
        <f t="shared" si="47"/>
        <v>Clean</v>
      </c>
    </row>
    <row r="160" spans="1:40">
      <c r="A160" t="s">
        <v>874</v>
      </c>
      <c r="B160" s="3" t="s">
        <v>875</v>
      </c>
      <c r="C160" s="10">
        <v>45544</v>
      </c>
      <c r="D160" s="3" t="s">
        <v>876</v>
      </c>
      <c r="E160" s="10">
        <v>45546</v>
      </c>
      <c r="F160" s="6" t="str">
        <f t="shared" si="32"/>
        <v>Valid</v>
      </c>
      <c r="G160" s="8">
        <f t="shared" si="33"/>
        <v>2</v>
      </c>
      <c r="H160" s="8" t="str">
        <f t="shared" si="34"/>
        <v>Valid</v>
      </c>
      <c r="I160" t="s">
        <v>877</v>
      </c>
      <c r="J160" t="s">
        <v>92</v>
      </c>
      <c r="K160" t="s">
        <v>92</v>
      </c>
      <c r="L160" t="s">
        <v>114</v>
      </c>
      <c r="M160" s="3" t="str">
        <f t="shared" si="35"/>
        <v>Home Office</v>
      </c>
      <c r="N160" t="s">
        <v>61</v>
      </c>
      <c r="O160" s="3" t="str">
        <f t="shared" si="36"/>
        <v>South</v>
      </c>
      <c r="P160" t="s">
        <v>62</v>
      </c>
      <c r="Q160" t="s">
        <v>63</v>
      </c>
      <c r="R160" t="s">
        <v>44</v>
      </c>
      <c r="S160" s="3" t="str">
        <f t="shared" si="37"/>
        <v>Furniture</v>
      </c>
      <c r="T160" t="s">
        <v>203</v>
      </c>
      <c r="U160" t="s">
        <v>878</v>
      </c>
      <c r="V160" t="s">
        <v>55</v>
      </c>
      <c r="W160" s="3" t="str">
        <f t="shared" si="38"/>
        <v>First Class</v>
      </c>
      <c r="X160">
        <v>1</v>
      </c>
      <c r="Y160">
        <v>4199.54</v>
      </c>
      <c r="Z160">
        <v>0.05</v>
      </c>
      <c r="AA160">
        <f t="shared" si="42"/>
        <v>0.05</v>
      </c>
      <c r="AB160">
        <f t="shared" si="43"/>
        <v>3989.5629999999996</v>
      </c>
      <c r="AC160">
        <v>3989.56</v>
      </c>
      <c r="AD160">
        <v>2381.38</v>
      </c>
      <c r="AE160">
        <v>1608.18</v>
      </c>
      <c r="AF160" t="s">
        <v>33</v>
      </c>
      <c r="AG160" t="s">
        <v>34</v>
      </c>
      <c r="AH160" t="str">
        <f t="shared" si="39"/>
        <v>Completed</v>
      </c>
      <c r="AI160" t="str">
        <f t="shared" si="40"/>
        <v>Valid</v>
      </c>
      <c r="AJ160">
        <f t="shared" si="41"/>
        <v>1608.1799999999998</v>
      </c>
      <c r="AK160" s="12">
        <f t="shared" si="44"/>
        <v>0.40309678027392976</v>
      </c>
      <c r="AL160">
        <f t="shared" si="45"/>
        <v>9</v>
      </c>
      <c r="AM160">
        <f t="shared" si="46"/>
        <v>2024</v>
      </c>
      <c r="AN160" t="str">
        <f t="shared" si="47"/>
        <v>Clean</v>
      </c>
    </row>
    <row r="161" spans="1:40">
      <c r="A161" t="s">
        <v>879</v>
      </c>
      <c r="B161" s="3" t="s">
        <v>880</v>
      </c>
      <c r="C161" s="10">
        <v>45687</v>
      </c>
      <c r="D161" s="3" t="s">
        <v>881</v>
      </c>
      <c r="E161" s="10">
        <v>45692</v>
      </c>
      <c r="F161" s="6" t="str">
        <f t="shared" si="32"/>
        <v>Valid</v>
      </c>
      <c r="G161" s="8">
        <f t="shared" si="33"/>
        <v>5</v>
      </c>
      <c r="H161" s="8" t="str">
        <f t="shared" si="34"/>
        <v>Valid</v>
      </c>
      <c r="I161" t="s">
        <v>882</v>
      </c>
      <c r="J161" t="s">
        <v>141</v>
      </c>
      <c r="K161" t="s">
        <v>141</v>
      </c>
      <c r="L161" t="s">
        <v>107</v>
      </c>
      <c r="M161" s="3" t="str">
        <f t="shared" si="35"/>
        <v>Corporate</v>
      </c>
      <c r="N161" t="s">
        <v>26</v>
      </c>
      <c r="O161" s="3" t="str">
        <f t="shared" si="36"/>
        <v>North</v>
      </c>
      <c r="P161" t="s">
        <v>322</v>
      </c>
      <c r="Q161" t="s">
        <v>323</v>
      </c>
      <c r="R161" t="s">
        <v>44</v>
      </c>
      <c r="S161" s="3" t="str">
        <f t="shared" si="37"/>
        <v>Furniture</v>
      </c>
      <c r="T161" t="s">
        <v>75</v>
      </c>
      <c r="U161" t="s">
        <v>883</v>
      </c>
      <c r="V161" t="s">
        <v>47</v>
      </c>
      <c r="W161" s="3" t="str">
        <f t="shared" si="38"/>
        <v>Same Day</v>
      </c>
      <c r="X161">
        <v>9</v>
      </c>
      <c r="Y161">
        <v>4430.5</v>
      </c>
      <c r="Z161">
        <v>0.15</v>
      </c>
      <c r="AA161">
        <f t="shared" si="42"/>
        <v>0.15</v>
      </c>
      <c r="AB161">
        <f t="shared" si="43"/>
        <v>33893.324999999997</v>
      </c>
      <c r="AC161">
        <v>33893.32</v>
      </c>
      <c r="AD161">
        <v>25750.35</v>
      </c>
      <c r="AE161">
        <v>8142.97</v>
      </c>
      <c r="AF161" t="s">
        <v>136</v>
      </c>
      <c r="AG161" t="s">
        <v>77</v>
      </c>
      <c r="AH161" t="str">
        <f t="shared" si="39"/>
        <v>Cancelled</v>
      </c>
      <c r="AI161" t="str">
        <f t="shared" si="40"/>
        <v>Valid</v>
      </c>
      <c r="AJ161">
        <f t="shared" si="41"/>
        <v>8142.9700000000012</v>
      </c>
      <c r="AK161" s="12">
        <f t="shared" si="44"/>
        <v>0.24025291115581024</v>
      </c>
      <c r="AL161">
        <f t="shared" si="45"/>
        <v>1</v>
      </c>
      <c r="AM161">
        <f t="shared" si="46"/>
        <v>2025</v>
      </c>
      <c r="AN161" t="str">
        <f t="shared" si="47"/>
        <v>Clean</v>
      </c>
    </row>
    <row r="162" spans="1:40">
      <c r="A162" t="s">
        <v>884</v>
      </c>
      <c r="B162" s="3" t="s">
        <v>885</v>
      </c>
      <c r="C162" s="10">
        <v>45938</v>
      </c>
      <c r="D162" s="3" t="s">
        <v>886</v>
      </c>
      <c r="E162" s="10">
        <v>45936</v>
      </c>
      <c r="F162" s="6" t="str">
        <f t="shared" si="32"/>
        <v>Invalid Shipping Record</v>
      </c>
      <c r="G162" s="8">
        <f t="shared" si="33"/>
        <v>-2</v>
      </c>
      <c r="H162" s="8" t="str">
        <f t="shared" si="34"/>
        <v>Invalid Shipping Record</v>
      </c>
      <c r="I162" t="s">
        <v>887</v>
      </c>
      <c r="J162" t="s">
        <v>82</v>
      </c>
      <c r="K162" t="s">
        <v>82</v>
      </c>
      <c r="L162" t="s">
        <v>40</v>
      </c>
      <c r="M162" s="3" t="str">
        <f t="shared" si="35"/>
        <v>Small Business</v>
      </c>
      <c r="N162" t="s">
        <v>72</v>
      </c>
      <c r="O162" s="3" t="str">
        <f t="shared" si="36"/>
        <v>West</v>
      </c>
      <c r="P162" t="s">
        <v>73</v>
      </c>
      <c r="Q162" t="s">
        <v>74</v>
      </c>
      <c r="R162" t="s">
        <v>29</v>
      </c>
      <c r="S162" s="3" t="str">
        <f t="shared" si="37"/>
        <v>Office Supplies</v>
      </c>
      <c r="T162" t="s">
        <v>30</v>
      </c>
      <c r="U162" t="s">
        <v>888</v>
      </c>
      <c r="V162" t="s">
        <v>32</v>
      </c>
      <c r="W162" s="3" t="str">
        <f t="shared" si="38"/>
        <v>Second Class</v>
      </c>
      <c r="X162">
        <v>4</v>
      </c>
      <c r="Y162">
        <v>1260.42</v>
      </c>
      <c r="Z162">
        <v>0.05</v>
      </c>
      <c r="AA162">
        <f t="shared" si="42"/>
        <v>0.05</v>
      </c>
      <c r="AB162">
        <f t="shared" si="43"/>
        <v>4789.5960000000005</v>
      </c>
      <c r="AC162">
        <v>4789.6000000000004</v>
      </c>
      <c r="AD162">
        <v>4037.64</v>
      </c>
      <c r="AE162">
        <v>751.96</v>
      </c>
      <c r="AF162" t="s">
        <v>136</v>
      </c>
      <c r="AG162" t="s">
        <v>77</v>
      </c>
      <c r="AH162" t="str">
        <f t="shared" si="39"/>
        <v>Cancelled</v>
      </c>
      <c r="AI162" t="str">
        <f t="shared" si="40"/>
        <v>Valid</v>
      </c>
      <c r="AJ162">
        <f t="shared" si="41"/>
        <v>751.96000000000049</v>
      </c>
      <c r="AK162" s="12">
        <f t="shared" si="44"/>
        <v>0.15699862785921828</v>
      </c>
      <c r="AL162">
        <f t="shared" si="45"/>
        <v>10</v>
      </c>
      <c r="AM162">
        <f t="shared" si="46"/>
        <v>2025</v>
      </c>
      <c r="AN162" t="str">
        <f t="shared" si="47"/>
        <v>Invalid</v>
      </c>
    </row>
    <row r="163" spans="1:40">
      <c r="A163" t="s">
        <v>889</v>
      </c>
      <c r="B163" s="3" t="s">
        <v>890</v>
      </c>
      <c r="C163" s="10">
        <v>45862</v>
      </c>
      <c r="D163" s="3" t="s">
        <v>891</v>
      </c>
      <c r="E163" s="10">
        <v>45868</v>
      </c>
      <c r="F163" s="6" t="str">
        <f t="shared" si="32"/>
        <v>Valid</v>
      </c>
      <c r="G163" s="8">
        <f t="shared" si="33"/>
        <v>6</v>
      </c>
      <c r="H163" s="8" t="str">
        <f t="shared" si="34"/>
        <v>Valid</v>
      </c>
      <c r="I163" t="s">
        <v>892</v>
      </c>
      <c r="J163" t="s">
        <v>60</v>
      </c>
      <c r="K163" t="s">
        <v>60</v>
      </c>
      <c r="L163" t="s">
        <v>893</v>
      </c>
      <c r="M163" s="3" t="str">
        <f t="shared" si="35"/>
        <v>Consumer</v>
      </c>
      <c r="N163" t="s">
        <v>72</v>
      </c>
      <c r="O163" s="3" t="str">
        <f t="shared" si="36"/>
        <v>West</v>
      </c>
      <c r="P163" t="s">
        <v>27</v>
      </c>
      <c r="Q163" t="s">
        <v>134</v>
      </c>
      <c r="R163" t="s">
        <v>29</v>
      </c>
      <c r="S163" s="3" t="str">
        <f t="shared" si="37"/>
        <v>Office Supplies</v>
      </c>
      <c r="T163" t="s">
        <v>197</v>
      </c>
      <c r="U163" t="s">
        <v>894</v>
      </c>
      <c r="V163" t="s">
        <v>66</v>
      </c>
      <c r="W163" s="3" t="str">
        <f t="shared" si="38"/>
        <v>Standard Class</v>
      </c>
      <c r="X163">
        <v>1</v>
      </c>
      <c r="Y163">
        <v>1643.41</v>
      </c>
      <c r="Z163">
        <v>0</v>
      </c>
      <c r="AA163">
        <f t="shared" si="42"/>
        <v>0</v>
      </c>
      <c r="AB163">
        <f t="shared" si="43"/>
        <v>1643.41</v>
      </c>
      <c r="AC163">
        <v>1643.41</v>
      </c>
      <c r="AD163">
        <v>907.4</v>
      </c>
      <c r="AE163">
        <v>736.01</v>
      </c>
      <c r="AF163" t="s">
        <v>136</v>
      </c>
      <c r="AG163" t="s">
        <v>77</v>
      </c>
      <c r="AH163" t="str">
        <f t="shared" si="39"/>
        <v>Cancelled</v>
      </c>
      <c r="AI163" t="str">
        <f t="shared" si="40"/>
        <v>Valid</v>
      </c>
      <c r="AJ163">
        <f t="shared" si="41"/>
        <v>736.0100000000001</v>
      </c>
      <c r="AK163" s="12">
        <f t="shared" si="44"/>
        <v>0.44785537388722235</v>
      </c>
      <c r="AL163">
        <f t="shared" si="45"/>
        <v>7</v>
      </c>
      <c r="AM163">
        <f t="shared" si="46"/>
        <v>2025</v>
      </c>
      <c r="AN163" t="str">
        <f t="shared" si="47"/>
        <v>Clean</v>
      </c>
    </row>
    <row r="164" spans="1:40">
      <c r="A164" t="s">
        <v>895</v>
      </c>
      <c r="B164" s="3" t="s">
        <v>896</v>
      </c>
      <c r="C164" s="10">
        <v>45360</v>
      </c>
      <c r="D164" s="3" t="s">
        <v>897</v>
      </c>
      <c r="E164" s="10">
        <v>45365</v>
      </c>
      <c r="F164" s="6" t="str">
        <f t="shared" si="32"/>
        <v>Valid</v>
      </c>
      <c r="G164" s="8">
        <f t="shared" si="33"/>
        <v>5</v>
      </c>
      <c r="H164" s="8" t="str">
        <f t="shared" si="34"/>
        <v>Valid</v>
      </c>
      <c r="I164" t="s">
        <v>898</v>
      </c>
      <c r="J164" t="s">
        <v>92</v>
      </c>
      <c r="K164" t="s">
        <v>92</v>
      </c>
      <c r="L164" t="s">
        <v>40</v>
      </c>
      <c r="M164" s="3" t="str">
        <f t="shared" si="35"/>
        <v>Small Business</v>
      </c>
      <c r="N164" t="s">
        <v>72</v>
      </c>
      <c r="O164" s="3" t="str">
        <f t="shared" si="36"/>
        <v>West</v>
      </c>
      <c r="P164" t="s">
        <v>248</v>
      </c>
      <c r="Q164" t="s">
        <v>249</v>
      </c>
      <c r="R164" t="s">
        <v>44</v>
      </c>
      <c r="S164" s="3" t="str">
        <f t="shared" si="37"/>
        <v>Furniture</v>
      </c>
      <c r="T164" t="s">
        <v>64</v>
      </c>
      <c r="U164" t="s">
        <v>899</v>
      </c>
      <c r="V164" t="s">
        <v>32</v>
      </c>
      <c r="W164" s="3" t="str">
        <f t="shared" si="38"/>
        <v>Second Class</v>
      </c>
      <c r="X164">
        <v>8</v>
      </c>
      <c r="Y164">
        <v>4472.84</v>
      </c>
      <c r="Z164">
        <v>0</v>
      </c>
      <c r="AA164">
        <f t="shared" si="42"/>
        <v>0</v>
      </c>
      <c r="AB164">
        <f t="shared" si="43"/>
        <v>35782.720000000001</v>
      </c>
      <c r="AC164">
        <v>35997.620000000003</v>
      </c>
      <c r="AD164">
        <v>26424.41</v>
      </c>
      <c r="AE164">
        <v>9358.31</v>
      </c>
      <c r="AF164" t="s">
        <v>136</v>
      </c>
      <c r="AG164" t="s">
        <v>124</v>
      </c>
      <c r="AH164" t="str">
        <f t="shared" si="39"/>
        <v>Returned</v>
      </c>
      <c r="AI164" t="str">
        <f t="shared" si="40"/>
        <v>Valid</v>
      </c>
      <c r="AJ164">
        <f t="shared" si="41"/>
        <v>9573.2100000000028</v>
      </c>
      <c r="AK164" s="12">
        <f t="shared" si="44"/>
        <v>0.26753723585015343</v>
      </c>
      <c r="AL164">
        <f t="shared" si="45"/>
        <v>3</v>
      </c>
      <c r="AM164">
        <f t="shared" si="46"/>
        <v>2024</v>
      </c>
      <c r="AN164" t="str">
        <f t="shared" si="47"/>
        <v>Clean</v>
      </c>
    </row>
    <row r="165" spans="1:40">
      <c r="A165" t="s">
        <v>900</v>
      </c>
      <c r="B165" s="3" t="s">
        <v>901</v>
      </c>
      <c r="C165" s="10">
        <v>45921</v>
      </c>
      <c r="D165" s="3" t="s">
        <v>724</v>
      </c>
      <c r="E165" s="10">
        <v>45926</v>
      </c>
      <c r="F165" s="6" t="str">
        <f t="shared" si="32"/>
        <v>Valid</v>
      </c>
      <c r="G165" s="8">
        <f t="shared" si="33"/>
        <v>5</v>
      </c>
      <c r="H165" s="8" t="str">
        <f t="shared" si="34"/>
        <v>Valid</v>
      </c>
      <c r="I165" t="s">
        <v>902</v>
      </c>
      <c r="J165" t="s">
        <v>179</v>
      </c>
      <c r="K165" t="s">
        <v>179</v>
      </c>
      <c r="L165" t="s">
        <v>114</v>
      </c>
      <c r="M165" s="3" t="str">
        <f t="shared" si="35"/>
        <v>Home Office</v>
      </c>
      <c r="N165" t="s">
        <v>72</v>
      </c>
      <c r="O165" s="3" t="str">
        <f t="shared" si="36"/>
        <v>West</v>
      </c>
      <c r="P165" t="s">
        <v>234</v>
      </c>
      <c r="Q165" t="s">
        <v>235</v>
      </c>
      <c r="R165" t="s">
        <v>44</v>
      </c>
      <c r="S165" s="3" t="str">
        <f t="shared" si="37"/>
        <v>Furniture</v>
      </c>
      <c r="T165" t="s">
        <v>45</v>
      </c>
      <c r="U165" t="s">
        <v>903</v>
      </c>
      <c r="W165" s="3" t="str">
        <f t="shared" si="38"/>
        <v>Unknown</v>
      </c>
      <c r="X165">
        <v>6</v>
      </c>
      <c r="Y165">
        <v>2903.58</v>
      </c>
      <c r="Z165">
        <v>0.1</v>
      </c>
      <c r="AA165">
        <f t="shared" si="42"/>
        <v>0.1</v>
      </c>
      <c r="AB165">
        <f t="shared" si="43"/>
        <v>15679.332</v>
      </c>
      <c r="AC165">
        <v>15679.33</v>
      </c>
      <c r="AD165">
        <v>12477.82</v>
      </c>
      <c r="AE165">
        <v>3201.51</v>
      </c>
      <c r="AF165" t="s">
        <v>136</v>
      </c>
      <c r="AG165" t="s">
        <v>124</v>
      </c>
      <c r="AH165" t="str">
        <f t="shared" si="39"/>
        <v>Returned</v>
      </c>
      <c r="AI165" t="str">
        <f t="shared" si="40"/>
        <v>Valid</v>
      </c>
      <c r="AJ165">
        <f t="shared" si="41"/>
        <v>3201.51</v>
      </c>
      <c r="AK165" s="12">
        <f t="shared" si="44"/>
        <v>0.20418663244071877</v>
      </c>
      <c r="AL165">
        <f t="shared" si="45"/>
        <v>9</v>
      </c>
      <c r="AM165">
        <f t="shared" si="46"/>
        <v>2025</v>
      </c>
      <c r="AN165" t="str">
        <f t="shared" si="47"/>
        <v>Clean</v>
      </c>
    </row>
    <row r="166" spans="1:40">
      <c r="A166" t="s">
        <v>904</v>
      </c>
      <c r="B166" s="3" t="s">
        <v>905</v>
      </c>
      <c r="C166" s="10">
        <v>45909</v>
      </c>
      <c r="D166" s="3" t="s">
        <v>906</v>
      </c>
      <c r="E166" s="10">
        <v>45914</v>
      </c>
      <c r="F166" s="6" t="str">
        <f t="shared" si="32"/>
        <v>Valid</v>
      </c>
      <c r="G166" s="8">
        <f t="shared" si="33"/>
        <v>5</v>
      </c>
      <c r="H166" s="8" t="str">
        <f t="shared" si="34"/>
        <v>Valid</v>
      </c>
      <c r="I166" t="s">
        <v>907</v>
      </c>
      <c r="J166" t="s">
        <v>147</v>
      </c>
      <c r="K166" t="s">
        <v>147</v>
      </c>
      <c r="L166" t="s">
        <v>40</v>
      </c>
      <c r="M166" s="3" t="str">
        <f t="shared" si="35"/>
        <v>Small Business</v>
      </c>
      <c r="N166" t="s">
        <v>41</v>
      </c>
      <c r="O166" s="3" t="str">
        <f t="shared" si="36"/>
        <v>East</v>
      </c>
      <c r="P166" t="s">
        <v>120</v>
      </c>
      <c r="Q166" t="s">
        <v>121</v>
      </c>
      <c r="R166" t="s">
        <v>44</v>
      </c>
      <c r="S166" s="3" t="str">
        <f t="shared" si="37"/>
        <v>Furniture</v>
      </c>
      <c r="T166" t="s">
        <v>203</v>
      </c>
      <c r="U166" t="s">
        <v>908</v>
      </c>
      <c r="V166" t="s">
        <v>32</v>
      </c>
      <c r="W166" s="3" t="str">
        <f t="shared" si="38"/>
        <v>Second Class</v>
      </c>
      <c r="X166">
        <v>1</v>
      </c>
      <c r="Y166">
        <v>3154.42</v>
      </c>
      <c r="Z166">
        <v>0.25</v>
      </c>
      <c r="AA166">
        <f t="shared" si="42"/>
        <v>0.25</v>
      </c>
      <c r="AB166">
        <f t="shared" si="43"/>
        <v>2365.8150000000001</v>
      </c>
      <c r="AC166">
        <v>2365.8200000000002</v>
      </c>
      <c r="AD166">
        <v>1547.99</v>
      </c>
      <c r="AE166">
        <v>817.83</v>
      </c>
      <c r="AF166" t="s">
        <v>33</v>
      </c>
      <c r="AG166" t="s">
        <v>34</v>
      </c>
      <c r="AH166" t="str">
        <f t="shared" si="39"/>
        <v>Completed</v>
      </c>
      <c r="AI166" t="str">
        <f t="shared" si="40"/>
        <v>Valid</v>
      </c>
      <c r="AJ166">
        <f t="shared" si="41"/>
        <v>817.83000000000015</v>
      </c>
      <c r="AK166" s="12">
        <f t="shared" si="44"/>
        <v>0.34568637023604981</v>
      </c>
      <c r="AL166">
        <f t="shared" si="45"/>
        <v>9</v>
      </c>
      <c r="AM166">
        <f t="shared" si="46"/>
        <v>2025</v>
      </c>
      <c r="AN166" t="str">
        <f t="shared" si="47"/>
        <v>Clean</v>
      </c>
    </row>
    <row r="167" spans="1:40">
      <c r="A167" t="s">
        <v>909</v>
      </c>
      <c r="B167" s="3" t="s">
        <v>910</v>
      </c>
      <c r="C167" s="10">
        <v>45618</v>
      </c>
      <c r="D167" s="3" t="s">
        <v>911</v>
      </c>
      <c r="E167" s="10">
        <v>45625</v>
      </c>
      <c r="F167" s="6" t="str">
        <f t="shared" si="32"/>
        <v>Valid</v>
      </c>
      <c r="G167" s="8">
        <f t="shared" si="33"/>
        <v>7</v>
      </c>
      <c r="H167" s="8" t="str">
        <f t="shared" si="34"/>
        <v>Valid</v>
      </c>
      <c r="I167" t="s">
        <v>912</v>
      </c>
      <c r="J167" t="s">
        <v>39</v>
      </c>
      <c r="K167" t="s">
        <v>39</v>
      </c>
      <c r="L167" t="s">
        <v>114</v>
      </c>
      <c r="M167" s="3" t="str">
        <f t="shared" si="35"/>
        <v>Home Office</v>
      </c>
      <c r="N167" t="s">
        <v>41</v>
      </c>
      <c r="O167" s="3" t="str">
        <f t="shared" si="36"/>
        <v>East</v>
      </c>
      <c r="P167" t="s">
        <v>185</v>
      </c>
      <c r="Q167" t="s">
        <v>186</v>
      </c>
      <c r="R167" t="s">
        <v>44</v>
      </c>
      <c r="S167" s="3" t="str">
        <f t="shared" si="37"/>
        <v>Furniture</v>
      </c>
      <c r="T167" t="s">
        <v>75</v>
      </c>
      <c r="U167" t="s">
        <v>913</v>
      </c>
      <c r="V167" t="s">
        <v>66</v>
      </c>
      <c r="W167" s="3" t="str">
        <f t="shared" si="38"/>
        <v>Standard Class</v>
      </c>
      <c r="X167">
        <v>4</v>
      </c>
      <c r="Y167">
        <v>3422.99</v>
      </c>
      <c r="Z167">
        <v>0.25</v>
      </c>
      <c r="AA167">
        <f t="shared" si="42"/>
        <v>0.25</v>
      </c>
      <c r="AB167">
        <f t="shared" si="43"/>
        <v>10268.969999999999</v>
      </c>
      <c r="AC167">
        <v>10268.969999999999</v>
      </c>
      <c r="AD167">
        <v>6470.92</v>
      </c>
      <c r="AE167">
        <v>3798.05</v>
      </c>
      <c r="AF167" t="s">
        <v>33</v>
      </c>
      <c r="AG167" t="s">
        <v>34</v>
      </c>
      <c r="AH167" t="str">
        <f t="shared" si="39"/>
        <v>Completed</v>
      </c>
      <c r="AI167" t="str">
        <f t="shared" si="40"/>
        <v>Valid</v>
      </c>
      <c r="AJ167">
        <f t="shared" si="41"/>
        <v>3798.0499999999993</v>
      </c>
      <c r="AK167" s="12">
        <f t="shared" si="44"/>
        <v>0.36985695741637181</v>
      </c>
      <c r="AL167">
        <f t="shared" si="45"/>
        <v>11</v>
      </c>
      <c r="AM167">
        <f t="shared" si="46"/>
        <v>2024</v>
      </c>
      <c r="AN167" t="str">
        <f t="shared" si="47"/>
        <v>Clean</v>
      </c>
    </row>
    <row r="168" spans="1:40">
      <c r="A168" t="s">
        <v>914</v>
      </c>
      <c r="B168" s="3" t="s">
        <v>915</v>
      </c>
      <c r="C168" s="10">
        <v>45708</v>
      </c>
      <c r="D168" s="3" t="s">
        <v>97</v>
      </c>
      <c r="E168" s="10">
        <v>45714</v>
      </c>
      <c r="F168" s="6" t="str">
        <f t="shared" si="32"/>
        <v>Valid</v>
      </c>
      <c r="G168" s="8">
        <f t="shared" si="33"/>
        <v>6</v>
      </c>
      <c r="H168" s="8" t="str">
        <f t="shared" si="34"/>
        <v>Valid</v>
      </c>
      <c r="I168" t="s">
        <v>916</v>
      </c>
      <c r="J168" t="s">
        <v>24</v>
      </c>
      <c r="K168" t="s">
        <v>24</v>
      </c>
      <c r="L168" t="s">
        <v>40</v>
      </c>
      <c r="M168" s="3" t="str">
        <f t="shared" si="35"/>
        <v>Small Business</v>
      </c>
      <c r="N168" t="s">
        <v>72</v>
      </c>
      <c r="O168" s="3" t="str">
        <f t="shared" si="36"/>
        <v>West</v>
      </c>
      <c r="P168" t="s">
        <v>234</v>
      </c>
      <c r="Q168" t="s">
        <v>235</v>
      </c>
      <c r="R168" t="s">
        <v>917</v>
      </c>
      <c r="S168" s="3" t="str">
        <f t="shared" si="37"/>
        <v>Office Supplies</v>
      </c>
      <c r="T168" t="s">
        <v>108</v>
      </c>
      <c r="U168" t="s">
        <v>918</v>
      </c>
      <c r="V168" t="s">
        <v>55</v>
      </c>
      <c r="W168" s="3" t="str">
        <f t="shared" si="38"/>
        <v>First Class</v>
      </c>
      <c r="X168">
        <v>1</v>
      </c>
      <c r="Y168">
        <v>2557.85</v>
      </c>
      <c r="Z168">
        <v>0.2</v>
      </c>
      <c r="AA168">
        <f t="shared" si="42"/>
        <v>0.2</v>
      </c>
      <c r="AB168">
        <f t="shared" si="43"/>
        <v>2046.28</v>
      </c>
      <c r="AC168">
        <v>2046.28</v>
      </c>
      <c r="AD168">
        <v>1449.54</v>
      </c>
      <c r="AE168">
        <v>596.74</v>
      </c>
      <c r="AF168" t="s">
        <v>33</v>
      </c>
      <c r="AG168" t="s">
        <v>34</v>
      </c>
      <c r="AH168" t="str">
        <f t="shared" si="39"/>
        <v>Completed</v>
      </c>
      <c r="AI168" t="str">
        <f t="shared" si="40"/>
        <v>Valid</v>
      </c>
      <c r="AJ168">
        <f t="shared" si="41"/>
        <v>596.74</v>
      </c>
      <c r="AK168" s="12">
        <f t="shared" si="44"/>
        <v>0.29162186992982386</v>
      </c>
      <c r="AL168">
        <f t="shared" si="45"/>
        <v>2</v>
      </c>
      <c r="AM168">
        <f t="shared" si="46"/>
        <v>2025</v>
      </c>
      <c r="AN168" t="str">
        <f t="shared" si="47"/>
        <v>Clean</v>
      </c>
    </row>
    <row r="169" spans="1:40">
      <c r="A169" t="s">
        <v>919</v>
      </c>
      <c r="B169" s="3" t="s">
        <v>920</v>
      </c>
      <c r="C169" s="10">
        <v>45887</v>
      </c>
      <c r="D169" s="3" t="s">
        <v>921</v>
      </c>
      <c r="E169" s="10">
        <v>45887</v>
      </c>
      <c r="F169" s="6" t="str">
        <f t="shared" si="32"/>
        <v>Valid</v>
      </c>
      <c r="G169" s="8">
        <f t="shared" si="33"/>
        <v>0</v>
      </c>
      <c r="H169" s="8" t="str">
        <f t="shared" si="34"/>
        <v>Valid</v>
      </c>
      <c r="I169" t="s">
        <v>922</v>
      </c>
      <c r="J169" t="s">
        <v>60</v>
      </c>
      <c r="K169" t="s">
        <v>60</v>
      </c>
      <c r="L169" t="s">
        <v>114</v>
      </c>
      <c r="M169" s="3" t="str">
        <f t="shared" si="35"/>
        <v>Home Office</v>
      </c>
      <c r="N169" t="s">
        <v>61</v>
      </c>
      <c r="O169" s="3" t="str">
        <f t="shared" si="36"/>
        <v>South</v>
      </c>
      <c r="P169" t="s">
        <v>228</v>
      </c>
      <c r="Q169" t="s">
        <v>229</v>
      </c>
      <c r="R169" t="s">
        <v>29</v>
      </c>
      <c r="S169" s="3" t="str">
        <f t="shared" si="37"/>
        <v>Office Supplies</v>
      </c>
      <c r="T169" t="s">
        <v>155</v>
      </c>
      <c r="U169" t="s">
        <v>923</v>
      </c>
      <c r="V169" t="s">
        <v>55</v>
      </c>
      <c r="W169" s="3" t="str">
        <f t="shared" si="38"/>
        <v>First Class</v>
      </c>
      <c r="X169">
        <v>9</v>
      </c>
      <c r="Y169">
        <v>3030.93</v>
      </c>
      <c r="Z169">
        <v>0.15</v>
      </c>
      <c r="AA169">
        <f t="shared" si="42"/>
        <v>0.15</v>
      </c>
      <c r="AB169">
        <f t="shared" si="43"/>
        <v>23186.6145</v>
      </c>
      <c r="AC169">
        <v>23186.61</v>
      </c>
      <c r="AD169">
        <v>17906.54</v>
      </c>
      <c r="AE169">
        <v>5280.07</v>
      </c>
      <c r="AF169" t="s">
        <v>33</v>
      </c>
      <c r="AG169" t="s">
        <v>124</v>
      </c>
      <c r="AH169" t="str">
        <f t="shared" si="39"/>
        <v>Returned</v>
      </c>
      <c r="AI169" t="str">
        <f t="shared" si="40"/>
        <v>Valid</v>
      </c>
      <c r="AJ169">
        <f t="shared" si="41"/>
        <v>5280.07</v>
      </c>
      <c r="AK169" s="12">
        <f t="shared" si="44"/>
        <v>0.22772061009596722</v>
      </c>
      <c r="AL169">
        <f t="shared" si="45"/>
        <v>8</v>
      </c>
      <c r="AM169">
        <f t="shared" si="46"/>
        <v>2025</v>
      </c>
      <c r="AN169" t="str">
        <f t="shared" si="47"/>
        <v>Clean</v>
      </c>
    </row>
    <row r="170" spans="1:40">
      <c r="A170" t="s">
        <v>924</v>
      </c>
      <c r="B170" s="3" t="s">
        <v>925</v>
      </c>
      <c r="C170" s="10">
        <v>45677</v>
      </c>
      <c r="D170" s="3" t="s">
        <v>183</v>
      </c>
      <c r="E170" s="10">
        <v>45680</v>
      </c>
      <c r="F170" s="6" t="str">
        <f t="shared" si="32"/>
        <v>Valid</v>
      </c>
      <c r="G170" s="8">
        <f t="shared" si="33"/>
        <v>3</v>
      </c>
      <c r="H170" s="8" t="str">
        <f t="shared" si="34"/>
        <v>Valid</v>
      </c>
      <c r="I170" t="s">
        <v>926</v>
      </c>
      <c r="J170" t="s">
        <v>365</v>
      </c>
      <c r="K170" t="s">
        <v>365</v>
      </c>
      <c r="L170" t="s">
        <v>25</v>
      </c>
      <c r="M170" s="3" t="str">
        <f t="shared" si="35"/>
        <v>Consumer</v>
      </c>
      <c r="N170" t="s">
        <v>72</v>
      </c>
      <c r="O170" s="3" t="str">
        <f t="shared" si="36"/>
        <v>West</v>
      </c>
      <c r="P170" t="s">
        <v>73</v>
      </c>
      <c r="Q170" t="s">
        <v>74</v>
      </c>
      <c r="R170" t="s">
        <v>85</v>
      </c>
      <c r="S170" s="3" t="str">
        <f t="shared" si="37"/>
        <v>Technology</v>
      </c>
      <c r="T170" t="s">
        <v>86</v>
      </c>
      <c r="U170" t="s">
        <v>927</v>
      </c>
      <c r="V170" t="s">
        <v>47</v>
      </c>
      <c r="W170" s="3" t="str">
        <f t="shared" si="38"/>
        <v>Same Day</v>
      </c>
      <c r="X170">
        <v>5</v>
      </c>
      <c r="Y170">
        <v>639.27</v>
      </c>
      <c r="Z170">
        <v>0.2</v>
      </c>
      <c r="AA170">
        <f t="shared" si="42"/>
        <v>0.2</v>
      </c>
      <c r="AB170">
        <f t="shared" si="43"/>
        <v>2557.08</v>
      </c>
      <c r="AC170">
        <v>2557.08</v>
      </c>
      <c r="AD170">
        <v>2025.69</v>
      </c>
      <c r="AE170">
        <v>531.39</v>
      </c>
      <c r="AF170" t="s">
        <v>33</v>
      </c>
      <c r="AG170" t="s">
        <v>77</v>
      </c>
      <c r="AH170" t="str">
        <f t="shared" si="39"/>
        <v>Cancelled</v>
      </c>
      <c r="AI170" t="str">
        <f t="shared" si="40"/>
        <v>Valid</v>
      </c>
      <c r="AJ170">
        <f t="shared" si="41"/>
        <v>531.38999999999987</v>
      </c>
      <c r="AK170" s="12">
        <f t="shared" si="44"/>
        <v>0.2078112534609789</v>
      </c>
      <c r="AL170">
        <f t="shared" si="45"/>
        <v>1</v>
      </c>
      <c r="AM170">
        <f t="shared" si="46"/>
        <v>2025</v>
      </c>
      <c r="AN170" t="str">
        <f t="shared" si="47"/>
        <v>Clean</v>
      </c>
    </row>
    <row r="171" spans="1:40">
      <c r="A171" t="s">
        <v>928</v>
      </c>
      <c r="B171" s="3" t="s">
        <v>929</v>
      </c>
      <c r="C171" s="10">
        <v>45913</v>
      </c>
      <c r="D171" s="3" t="s">
        <v>930</v>
      </c>
      <c r="E171" s="10">
        <v>45913</v>
      </c>
      <c r="F171" s="6" t="str">
        <f t="shared" si="32"/>
        <v>Valid</v>
      </c>
      <c r="G171" s="8">
        <f t="shared" si="33"/>
        <v>0</v>
      </c>
      <c r="H171" s="8" t="str">
        <f t="shared" si="34"/>
        <v>Valid</v>
      </c>
      <c r="I171" t="s">
        <v>931</v>
      </c>
      <c r="J171" t="s">
        <v>209</v>
      </c>
      <c r="K171" t="s">
        <v>209</v>
      </c>
      <c r="L171" t="s">
        <v>25</v>
      </c>
      <c r="M171" s="3" t="str">
        <f t="shared" si="35"/>
        <v>Consumer</v>
      </c>
      <c r="N171" t="s">
        <v>41</v>
      </c>
      <c r="O171" s="3" t="str">
        <f t="shared" si="36"/>
        <v>East</v>
      </c>
      <c r="P171" t="s">
        <v>215</v>
      </c>
      <c r="Q171" t="s">
        <v>216</v>
      </c>
      <c r="R171" t="s">
        <v>29</v>
      </c>
      <c r="S171" s="3" t="str">
        <f t="shared" si="37"/>
        <v>Office Supplies</v>
      </c>
      <c r="T171" t="s">
        <v>53</v>
      </c>
      <c r="U171" t="s">
        <v>932</v>
      </c>
      <c r="V171" t="s">
        <v>66</v>
      </c>
      <c r="W171" s="3" t="str">
        <f t="shared" si="38"/>
        <v>Standard Class</v>
      </c>
      <c r="X171">
        <v>8</v>
      </c>
      <c r="Y171">
        <v>733.9</v>
      </c>
      <c r="Z171">
        <v>0.05</v>
      </c>
      <c r="AA171">
        <f t="shared" si="42"/>
        <v>0.05</v>
      </c>
      <c r="AB171">
        <f t="shared" si="43"/>
        <v>5577.6399999999994</v>
      </c>
      <c r="AC171">
        <v>5577.64</v>
      </c>
      <c r="AD171">
        <v>3541.29</v>
      </c>
      <c r="AE171">
        <v>2036.35</v>
      </c>
      <c r="AF171" t="s">
        <v>136</v>
      </c>
      <c r="AG171" t="s">
        <v>124</v>
      </c>
      <c r="AH171" t="str">
        <f t="shared" si="39"/>
        <v>Returned</v>
      </c>
      <c r="AI171" t="str">
        <f t="shared" si="40"/>
        <v>Valid</v>
      </c>
      <c r="AJ171">
        <f t="shared" si="41"/>
        <v>2036.3500000000004</v>
      </c>
      <c r="AK171" s="12">
        <f t="shared" si="44"/>
        <v>0.36509168752375565</v>
      </c>
      <c r="AL171">
        <f t="shared" si="45"/>
        <v>9</v>
      </c>
      <c r="AM171">
        <f t="shared" si="46"/>
        <v>2025</v>
      </c>
      <c r="AN171" t="str">
        <f t="shared" si="47"/>
        <v>Clean</v>
      </c>
    </row>
    <row r="172" spans="1:40">
      <c r="A172" t="s">
        <v>933</v>
      </c>
      <c r="B172" s="3" t="s">
        <v>111</v>
      </c>
      <c r="C172" s="10">
        <v>45907</v>
      </c>
      <c r="D172" s="3" t="s">
        <v>934</v>
      </c>
      <c r="E172" s="10">
        <v>45915</v>
      </c>
      <c r="F172" s="6" t="str">
        <f t="shared" si="32"/>
        <v>Valid</v>
      </c>
      <c r="G172" s="8">
        <f t="shared" si="33"/>
        <v>8</v>
      </c>
      <c r="H172" s="8" t="str">
        <f t="shared" si="34"/>
        <v>Valid</v>
      </c>
      <c r="I172" t="s">
        <v>935</v>
      </c>
      <c r="J172" t="s">
        <v>179</v>
      </c>
      <c r="K172" t="s">
        <v>179</v>
      </c>
      <c r="L172" t="s">
        <v>107</v>
      </c>
      <c r="M172" s="3" t="str">
        <f t="shared" si="35"/>
        <v>Corporate</v>
      </c>
      <c r="N172" t="s">
        <v>41</v>
      </c>
      <c r="O172" s="3" t="str">
        <f t="shared" si="36"/>
        <v>East</v>
      </c>
      <c r="P172" t="s">
        <v>185</v>
      </c>
      <c r="Q172" t="s">
        <v>186</v>
      </c>
      <c r="R172" t="s">
        <v>85</v>
      </c>
      <c r="S172" s="3" t="str">
        <f t="shared" si="37"/>
        <v>Technology</v>
      </c>
      <c r="T172" t="s">
        <v>93</v>
      </c>
      <c r="U172" t="s">
        <v>936</v>
      </c>
      <c r="V172" t="s">
        <v>66</v>
      </c>
      <c r="W172" s="3" t="str">
        <f t="shared" si="38"/>
        <v>Standard Class</v>
      </c>
      <c r="X172">
        <v>3</v>
      </c>
      <c r="Y172">
        <v>1711.32</v>
      </c>
      <c r="Z172">
        <v>0</v>
      </c>
      <c r="AA172">
        <f t="shared" si="42"/>
        <v>0</v>
      </c>
      <c r="AB172">
        <f t="shared" si="43"/>
        <v>5133.96</v>
      </c>
      <c r="AC172">
        <v>5133.96</v>
      </c>
      <c r="AD172">
        <v>3930</v>
      </c>
      <c r="AE172">
        <v>1203.96</v>
      </c>
      <c r="AF172" t="s">
        <v>33</v>
      </c>
      <c r="AG172" t="s">
        <v>34</v>
      </c>
      <c r="AH172" t="str">
        <f t="shared" si="39"/>
        <v>Completed</v>
      </c>
      <c r="AI172" t="str">
        <f t="shared" si="40"/>
        <v>Valid</v>
      </c>
      <c r="AJ172">
        <f t="shared" si="41"/>
        <v>1203.96</v>
      </c>
      <c r="AK172" s="12">
        <f t="shared" si="44"/>
        <v>0.23450903396208775</v>
      </c>
      <c r="AL172">
        <f t="shared" si="45"/>
        <v>9</v>
      </c>
      <c r="AM172">
        <f t="shared" si="46"/>
        <v>2025</v>
      </c>
      <c r="AN172" t="str">
        <f t="shared" si="47"/>
        <v>Clean</v>
      </c>
    </row>
    <row r="173" spans="1:40">
      <c r="A173" t="s">
        <v>937</v>
      </c>
      <c r="B173" s="3" t="s">
        <v>96</v>
      </c>
      <c r="C173" s="10">
        <v>45711</v>
      </c>
      <c r="D173" s="3" t="s">
        <v>938</v>
      </c>
      <c r="E173" s="10">
        <v>45713</v>
      </c>
      <c r="F173" s="6" t="str">
        <f t="shared" si="32"/>
        <v>Valid</v>
      </c>
      <c r="G173" s="8">
        <f t="shared" si="33"/>
        <v>2</v>
      </c>
      <c r="H173" s="8" t="str">
        <f t="shared" si="34"/>
        <v>Valid</v>
      </c>
      <c r="I173" t="s">
        <v>939</v>
      </c>
      <c r="J173" t="s">
        <v>24</v>
      </c>
      <c r="K173" t="s">
        <v>24</v>
      </c>
      <c r="L173" t="s">
        <v>107</v>
      </c>
      <c r="M173" s="3" t="str">
        <f t="shared" si="35"/>
        <v>Corporate</v>
      </c>
      <c r="N173" t="s">
        <v>41</v>
      </c>
      <c r="O173" s="3" t="str">
        <f t="shared" si="36"/>
        <v>East</v>
      </c>
      <c r="P173" t="s">
        <v>185</v>
      </c>
      <c r="Q173" t="s">
        <v>186</v>
      </c>
      <c r="R173" t="s">
        <v>29</v>
      </c>
      <c r="S173" s="3" t="str">
        <f t="shared" si="37"/>
        <v>Office Supplies</v>
      </c>
      <c r="T173" t="s">
        <v>108</v>
      </c>
      <c r="U173" t="s">
        <v>940</v>
      </c>
      <c r="V173" t="s">
        <v>47</v>
      </c>
      <c r="W173" s="3" t="str">
        <f t="shared" si="38"/>
        <v>Same Day</v>
      </c>
      <c r="X173">
        <v>5</v>
      </c>
      <c r="Y173">
        <v>4246.2700000000004</v>
      </c>
      <c r="Z173">
        <v>0.25</v>
      </c>
      <c r="AA173">
        <f t="shared" si="42"/>
        <v>0.25</v>
      </c>
      <c r="AB173">
        <f t="shared" si="43"/>
        <v>15923.512500000001</v>
      </c>
      <c r="AC173">
        <v>15923.51</v>
      </c>
      <c r="AD173">
        <v>11291.8</v>
      </c>
      <c r="AE173">
        <v>4631.71</v>
      </c>
      <c r="AF173" t="s">
        <v>33</v>
      </c>
      <c r="AG173" t="s">
        <v>34</v>
      </c>
      <c r="AH173" t="str">
        <f t="shared" si="39"/>
        <v>Completed</v>
      </c>
      <c r="AI173" t="str">
        <f t="shared" si="40"/>
        <v>Valid</v>
      </c>
      <c r="AJ173">
        <f t="shared" si="41"/>
        <v>4631.7100000000009</v>
      </c>
      <c r="AK173" s="12">
        <f t="shared" si="44"/>
        <v>0.29087238132918231</v>
      </c>
      <c r="AL173">
        <f t="shared" si="45"/>
        <v>2</v>
      </c>
      <c r="AM173">
        <f t="shared" si="46"/>
        <v>2025</v>
      </c>
      <c r="AN173" t="str">
        <f t="shared" si="47"/>
        <v>Clean</v>
      </c>
    </row>
    <row r="174" spans="1:40">
      <c r="A174" t="s">
        <v>941</v>
      </c>
      <c r="B174" s="3" t="s">
        <v>942</v>
      </c>
      <c r="C174" s="10">
        <v>45871</v>
      </c>
      <c r="D174" s="3" t="s">
        <v>943</v>
      </c>
      <c r="E174" s="10">
        <v>45879</v>
      </c>
      <c r="F174" s="6" t="str">
        <f t="shared" si="32"/>
        <v>Valid</v>
      </c>
      <c r="G174" s="8">
        <f t="shared" si="33"/>
        <v>8</v>
      </c>
      <c r="H174" s="8" t="str">
        <f t="shared" si="34"/>
        <v>Valid</v>
      </c>
      <c r="I174" t="s">
        <v>944</v>
      </c>
      <c r="J174" t="s">
        <v>24</v>
      </c>
      <c r="K174" t="s">
        <v>24</v>
      </c>
      <c r="L174" t="s">
        <v>107</v>
      </c>
      <c r="M174" s="3" t="str">
        <f t="shared" si="35"/>
        <v>Corporate</v>
      </c>
      <c r="N174" t="s">
        <v>26</v>
      </c>
      <c r="O174" s="3" t="str">
        <f t="shared" si="36"/>
        <v>North</v>
      </c>
      <c r="P174" t="s">
        <v>505</v>
      </c>
      <c r="Q174" t="s">
        <v>506</v>
      </c>
      <c r="R174" t="s">
        <v>44</v>
      </c>
      <c r="S174" s="3" t="str">
        <f t="shared" si="37"/>
        <v>Furniture</v>
      </c>
      <c r="T174" t="s">
        <v>64</v>
      </c>
      <c r="U174" t="s">
        <v>945</v>
      </c>
      <c r="V174" t="s">
        <v>47</v>
      </c>
      <c r="W174" s="3" t="str">
        <f t="shared" si="38"/>
        <v>Same Day</v>
      </c>
      <c r="X174">
        <v>9</v>
      </c>
      <c r="Y174">
        <v>2962.62</v>
      </c>
      <c r="Z174">
        <v>0.1</v>
      </c>
      <c r="AA174">
        <f t="shared" si="42"/>
        <v>0.1</v>
      </c>
      <c r="AB174">
        <f t="shared" si="43"/>
        <v>23997.221999999998</v>
      </c>
      <c r="AC174">
        <v>23997.22</v>
      </c>
      <c r="AD174">
        <v>16134.63</v>
      </c>
      <c r="AE174">
        <v>7862.59</v>
      </c>
      <c r="AF174" t="s">
        <v>123</v>
      </c>
      <c r="AG174" t="s">
        <v>124</v>
      </c>
      <c r="AH174" t="str">
        <f t="shared" si="39"/>
        <v>Returned</v>
      </c>
      <c r="AI174" t="str">
        <f t="shared" si="40"/>
        <v>Valid</v>
      </c>
      <c r="AJ174">
        <f t="shared" si="41"/>
        <v>7862.590000000002</v>
      </c>
      <c r="AK174" s="12">
        <f t="shared" si="44"/>
        <v>0.32764584167284039</v>
      </c>
      <c r="AL174">
        <f t="shared" si="45"/>
        <v>8</v>
      </c>
      <c r="AM174">
        <f t="shared" si="46"/>
        <v>2025</v>
      </c>
      <c r="AN174" t="str">
        <f t="shared" si="47"/>
        <v>Clean</v>
      </c>
    </row>
    <row r="175" spans="1:40">
      <c r="A175" t="s">
        <v>946</v>
      </c>
      <c r="B175" s="3" t="s">
        <v>947</v>
      </c>
      <c r="C175" s="10">
        <v>45414</v>
      </c>
      <c r="D175" s="3" t="s">
        <v>948</v>
      </c>
      <c r="E175" s="10">
        <v>45420</v>
      </c>
      <c r="F175" s="6" t="str">
        <f t="shared" si="32"/>
        <v>Valid</v>
      </c>
      <c r="G175" s="8">
        <f t="shared" si="33"/>
        <v>6</v>
      </c>
      <c r="H175" s="8" t="str">
        <f t="shared" si="34"/>
        <v>Valid</v>
      </c>
      <c r="I175" t="s">
        <v>949</v>
      </c>
      <c r="J175" t="s">
        <v>950</v>
      </c>
      <c r="K175" t="s">
        <v>950</v>
      </c>
      <c r="L175" t="s">
        <v>114</v>
      </c>
      <c r="M175" s="3" t="str">
        <f t="shared" si="35"/>
        <v>Home Office</v>
      </c>
      <c r="N175" t="s">
        <v>26</v>
      </c>
      <c r="O175" s="3" t="str">
        <f t="shared" si="36"/>
        <v>North</v>
      </c>
      <c r="P175" t="s">
        <v>153</v>
      </c>
      <c r="Q175" t="s">
        <v>154</v>
      </c>
      <c r="R175" t="s">
        <v>85</v>
      </c>
      <c r="S175" s="3" t="str">
        <f t="shared" si="37"/>
        <v>Technology</v>
      </c>
      <c r="T175" t="s">
        <v>93</v>
      </c>
      <c r="U175" t="s">
        <v>951</v>
      </c>
      <c r="V175" t="s">
        <v>32</v>
      </c>
      <c r="W175" s="3" t="str">
        <f t="shared" si="38"/>
        <v>Second Class</v>
      </c>
      <c r="X175">
        <v>1</v>
      </c>
      <c r="Y175">
        <v>2312.25</v>
      </c>
      <c r="Z175">
        <v>0.25</v>
      </c>
      <c r="AA175">
        <f t="shared" si="42"/>
        <v>0.25</v>
      </c>
      <c r="AB175">
        <f t="shared" si="43"/>
        <v>1734.1875</v>
      </c>
      <c r="AC175">
        <v>1734.19</v>
      </c>
      <c r="AD175">
        <v>1386.07</v>
      </c>
      <c r="AE175">
        <v>348.12</v>
      </c>
      <c r="AF175" t="s">
        <v>33</v>
      </c>
      <c r="AG175" t="s">
        <v>34</v>
      </c>
      <c r="AH175" t="str">
        <f t="shared" si="39"/>
        <v>Completed</v>
      </c>
      <c r="AI175" t="str">
        <f t="shared" si="40"/>
        <v>Valid</v>
      </c>
      <c r="AJ175">
        <f t="shared" si="41"/>
        <v>348.12000000000012</v>
      </c>
      <c r="AK175" s="12">
        <f t="shared" si="44"/>
        <v>0.20073953940966599</v>
      </c>
      <c r="AL175">
        <f t="shared" si="45"/>
        <v>5</v>
      </c>
      <c r="AM175">
        <f t="shared" si="46"/>
        <v>2024</v>
      </c>
      <c r="AN175" t="str">
        <f t="shared" si="47"/>
        <v>Clean</v>
      </c>
    </row>
    <row r="176" spans="1:40">
      <c r="A176" t="s">
        <v>952</v>
      </c>
      <c r="B176" s="3" t="s">
        <v>953</v>
      </c>
      <c r="C176" s="10">
        <v>45928</v>
      </c>
      <c r="D176" s="3" t="s">
        <v>954</v>
      </c>
      <c r="E176" s="10">
        <v>45934</v>
      </c>
      <c r="F176" s="6" t="str">
        <f t="shared" si="32"/>
        <v>Valid</v>
      </c>
      <c r="G176" s="8">
        <f t="shared" si="33"/>
        <v>6</v>
      </c>
      <c r="H176" s="8" t="str">
        <f t="shared" si="34"/>
        <v>Valid</v>
      </c>
      <c r="I176" t="s">
        <v>955</v>
      </c>
      <c r="J176" t="s">
        <v>24</v>
      </c>
      <c r="K176" t="s">
        <v>24</v>
      </c>
      <c r="L176" t="s">
        <v>40</v>
      </c>
      <c r="M176" s="3" t="str">
        <f t="shared" si="35"/>
        <v>Small Business</v>
      </c>
      <c r="N176" t="s">
        <v>61</v>
      </c>
      <c r="O176" s="3" t="str">
        <f t="shared" si="36"/>
        <v>South</v>
      </c>
      <c r="P176" t="s">
        <v>228</v>
      </c>
      <c r="Q176" t="s">
        <v>229</v>
      </c>
      <c r="R176" t="s">
        <v>44</v>
      </c>
      <c r="S176" s="3" t="str">
        <f t="shared" si="37"/>
        <v>Furniture</v>
      </c>
      <c r="T176" t="s">
        <v>203</v>
      </c>
      <c r="U176" t="s">
        <v>956</v>
      </c>
      <c r="V176" t="s">
        <v>55</v>
      </c>
      <c r="W176" s="3" t="str">
        <f t="shared" si="38"/>
        <v>First Class</v>
      </c>
      <c r="X176">
        <v>6</v>
      </c>
      <c r="Y176">
        <v>1620.53</v>
      </c>
      <c r="Z176">
        <v>0.15</v>
      </c>
      <c r="AA176">
        <f t="shared" si="42"/>
        <v>0.15</v>
      </c>
      <c r="AB176">
        <f t="shared" si="43"/>
        <v>8264.7029999999995</v>
      </c>
      <c r="AC176">
        <v>8264.7000000000007</v>
      </c>
      <c r="AD176">
        <v>4768.75</v>
      </c>
      <c r="AE176">
        <v>3495.95</v>
      </c>
      <c r="AF176" t="s">
        <v>136</v>
      </c>
      <c r="AG176" t="s">
        <v>124</v>
      </c>
      <c r="AH176" t="str">
        <f t="shared" si="39"/>
        <v>Returned</v>
      </c>
      <c r="AI176" t="str">
        <f t="shared" si="40"/>
        <v>Valid</v>
      </c>
      <c r="AJ176">
        <f t="shared" si="41"/>
        <v>3495.9500000000007</v>
      </c>
      <c r="AK176" s="12">
        <f t="shared" si="44"/>
        <v>0.42299765641911158</v>
      </c>
      <c r="AL176">
        <f t="shared" si="45"/>
        <v>9</v>
      </c>
      <c r="AM176">
        <f t="shared" si="46"/>
        <v>2025</v>
      </c>
      <c r="AN176" t="str">
        <f t="shared" si="47"/>
        <v>Clean</v>
      </c>
    </row>
    <row r="177" spans="1:40">
      <c r="A177" t="s">
        <v>957</v>
      </c>
      <c r="B177" s="3" t="s">
        <v>741</v>
      </c>
      <c r="C177" s="10">
        <v>45318</v>
      </c>
      <c r="D177" s="3" t="s">
        <v>958</v>
      </c>
      <c r="E177" s="10">
        <v>45325</v>
      </c>
      <c r="F177" s="6" t="str">
        <f t="shared" si="32"/>
        <v>Valid</v>
      </c>
      <c r="G177" s="8">
        <f t="shared" si="33"/>
        <v>7</v>
      </c>
      <c r="H177" s="8" t="str">
        <f t="shared" si="34"/>
        <v>Valid</v>
      </c>
      <c r="I177" t="s">
        <v>959</v>
      </c>
      <c r="J177" t="s">
        <v>60</v>
      </c>
      <c r="K177" t="s">
        <v>60</v>
      </c>
      <c r="L177" t="s">
        <v>40</v>
      </c>
      <c r="M177" s="3" t="str">
        <f t="shared" si="35"/>
        <v>Small Business</v>
      </c>
      <c r="N177" t="s">
        <v>41</v>
      </c>
      <c r="O177" s="3" t="str">
        <f t="shared" si="36"/>
        <v>East</v>
      </c>
      <c r="P177" t="s">
        <v>185</v>
      </c>
      <c r="Q177" t="s">
        <v>186</v>
      </c>
      <c r="R177" t="s">
        <v>85</v>
      </c>
      <c r="S177" s="3" t="str">
        <f t="shared" si="37"/>
        <v>Technology</v>
      </c>
      <c r="T177" t="s">
        <v>381</v>
      </c>
      <c r="U177" t="s">
        <v>960</v>
      </c>
      <c r="V177" t="s">
        <v>47</v>
      </c>
      <c r="W177" s="3" t="str">
        <f t="shared" si="38"/>
        <v>Same Day</v>
      </c>
      <c r="X177">
        <v>7</v>
      </c>
      <c r="Y177">
        <v>2673.42</v>
      </c>
      <c r="Z177">
        <v>0.15</v>
      </c>
      <c r="AA177">
        <f t="shared" si="42"/>
        <v>0.15</v>
      </c>
      <c r="AB177">
        <f t="shared" si="43"/>
        <v>15906.849000000002</v>
      </c>
      <c r="AC177">
        <v>15906.85</v>
      </c>
      <c r="AD177">
        <v>11014.46</v>
      </c>
      <c r="AE177">
        <v>4892.3900000000003</v>
      </c>
      <c r="AF177" t="s">
        <v>33</v>
      </c>
      <c r="AG177" t="s">
        <v>124</v>
      </c>
      <c r="AH177" t="str">
        <f t="shared" si="39"/>
        <v>Returned</v>
      </c>
      <c r="AI177" t="str">
        <f t="shared" si="40"/>
        <v>Valid</v>
      </c>
      <c r="AJ177">
        <f t="shared" si="41"/>
        <v>4892.3900000000012</v>
      </c>
      <c r="AK177" s="12">
        <f t="shared" si="44"/>
        <v>0.30756499920254482</v>
      </c>
      <c r="AL177">
        <f t="shared" si="45"/>
        <v>1</v>
      </c>
      <c r="AM177">
        <f t="shared" si="46"/>
        <v>2024</v>
      </c>
      <c r="AN177" t="str">
        <f t="shared" si="47"/>
        <v>Clean</v>
      </c>
    </row>
    <row r="178" spans="1:40">
      <c r="A178" t="s">
        <v>961</v>
      </c>
      <c r="B178" s="3" t="s">
        <v>962</v>
      </c>
      <c r="C178" s="10">
        <v>45734</v>
      </c>
      <c r="D178" s="3" t="s">
        <v>963</v>
      </c>
      <c r="E178" s="10">
        <v>45742</v>
      </c>
      <c r="F178" s="6" t="str">
        <f t="shared" si="32"/>
        <v>Valid</v>
      </c>
      <c r="G178" s="8">
        <f t="shared" si="33"/>
        <v>8</v>
      </c>
      <c r="H178" s="8" t="str">
        <f t="shared" si="34"/>
        <v>Valid</v>
      </c>
      <c r="I178" t="s">
        <v>964</v>
      </c>
      <c r="J178" t="s">
        <v>82</v>
      </c>
      <c r="K178" t="s">
        <v>82</v>
      </c>
      <c r="L178" t="s">
        <v>107</v>
      </c>
      <c r="M178" s="3" t="str">
        <f t="shared" si="35"/>
        <v>Corporate</v>
      </c>
      <c r="N178" t="s">
        <v>41</v>
      </c>
      <c r="O178" s="3" t="str">
        <f t="shared" si="36"/>
        <v>East</v>
      </c>
      <c r="P178" t="s">
        <v>310</v>
      </c>
      <c r="Q178" t="s">
        <v>311</v>
      </c>
      <c r="R178" t="s">
        <v>44</v>
      </c>
      <c r="S178" s="3" t="str">
        <f t="shared" si="37"/>
        <v>Furniture</v>
      </c>
      <c r="T178" t="s">
        <v>203</v>
      </c>
      <c r="U178" t="s">
        <v>965</v>
      </c>
      <c r="V178" t="s">
        <v>66</v>
      </c>
      <c r="W178" s="3" t="str">
        <f t="shared" si="38"/>
        <v>Standard Class</v>
      </c>
      <c r="X178">
        <v>8</v>
      </c>
      <c r="Y178">
        <v>3563.09</v>
      </c>
      <c r="Z178">
        <v>0.15</v>
      </c>
      <c r="AA178">
        <f t="shared" si="42"/>
        <v>0.15</v>
      </c>
      <c r="AB178">
        <f t="shared" si="43"/>
        <v>24229.011999999999</v>
      </c>
      <c r="AC178">
        <v>24229.01</v>
      </c>
      <c r="AD178">
        <v>13910.64</v>
      </c>
      <c r="AE178">
        <v>10318.370000000001</v>
      </c>
      <c r="AF178" t="s">
        <v>33</v>
      </c>
      <c r="AG178" t="s">
        <v>34</v>
      </c>
      <c r="AH178" t="str">
        <f t="shared" si="39"/>
        <v>Completed</v>
      </c>
      <c r="AI178" t="str">
        <f t="shared" si="40"/>
        <v>Valid</v>
      </c>
      <c r="AJ178">
        <f t="shared" si="41"/>
        <v>10318.369999999999</v>
      </c>
      <c r="AK178" s="12">
        <f t="shared" si="44"/>
        <v>0.42586837630853458</v>
      </c>
      <c r="AL178">
        <f t="shared" si="45"/>
        <v>3</v>
      </c>
      <c r="AM178">
        <f t="shared" si="46"/>
        <v>2025</v>
      </c>
      <c r="AN178" t="str">
        <f t="shared" si="47"/>
        <v>Clean</v>
      </c>
    </row>
    <row r="179" spans="1:40">
      <c r="A179" t="s">
        <v>966</v>
      </c>
      <c r="B179" s="3" t="s">
        <v>967</v>
      </c>
      <c r="C179" s="10">
        <v>45444</v>
      </c>
      <c r="D179" s="3" t="s">
        <v>968</v>
      </c>
      <c r="E179" s="10">
        <v>45446</v>
      </c>
      <c r="F179" s="6" t="str">
        <f t="shared" si="32"/>
        <v>Valid</v>
      </c>
      <c r="G179" s="8">
        <f t="shared" si="33"/>
        <v>2</v>
      </c>
      <c r="H179" s="8" t="str">
        <f t="shared" si="34"/>
        <v>Valid</v>
      </c>
      <c r="I179" t="s">
        <v>969</v>
      </c>
      <c r="J179" t="s">
        <v>167</v>
      </c>
      <c r="K179" t="s">
        <v>167</v>
      </c>
      <c r="L179" t="s">
        <v>114</v>
      </c>
      <c r="M179" s="3" t="str">
        <f t="shared" si="35"/>
        <v>Home Office</v>
      </c>
      <c r="O179" s="3" t="str">
        <f t="shared" si="36"/>
        <v>Unknown</v>
      </c>
      <c r="P179" t="s">
        <v>185</v>
      </c>
      <c r="Q179" t="s">
        <v>186</v>
      </c>
      <c r="R179" t="s">
        <v>29</v>
      </c>
      <c r="S179" s="3" t="str">
        <f t="shared" si="37"/>
        <v>Office Supplies</v>
      </c>
      <c r="T179" t="s">
        <v>53</v>
      </c>
      <c r="U179" t="s">
        <v>970</v>
      </c>
      <c r="V179" t="s">
        <v>47</v>
      </c>
      <c r="W179" s="3" t="str">
        <f t="shared" si="38"/>
        <v>Same Day</v>
      </c>
      <c r="X179">
        <v>8</v>
      </c>
      <c r="Y179">
        <v>3879.95</v>
      </c>
      <c r="Z179">
        <v>0</v>
      </c>
      <c r="AA179">
        <f t="shared" si="42"/>
        <v>0</v>
      </c>
      <c r="AB179">
        <f t="shared" si="43"/>
        <v>31039.599999999999</v>
      </c>
      <c r="AC179">
        <v>31039.599999999999</v>
      </c>
      <c r="AD179">
        <v>20866.72</v>
      </c>
      <c r="AE179">
        <v>10172.879999999999</v>
      </c>
      <c r="AF179" t="s">
        <v>33</v>
      </c>
      <c r="AG179" t="s">
        <v>34</v>
      </c>
      <c r="AH179" t="str">
        <f t="shared" si="39"/>
        <v>Completed</v>
      </c>
      <c r="AI179" t="str">
        <f t="shared" si="40"/>
        <v>Valid</v>
      </c>
      <c r="AJ179">
        <f t="shared" si="41"/>
        <v>10172.879999999997</v>
      </c>
      <c r="AK179" s="12">
        <f t="shared" si="44"/>
        <v>0.32773875952009685</v>
      </c>
      <c r="AL179">
        <f t="shared" si="45"/>
        <v>6</v>
      </c>
      <c r="AM179">
        <f t="shared" si="46"/>
        <v>2024</v>
      </c>
      <c r="AN179" t="str">
        <f t="shared" si="47"/>
        <v>Clean</v>
      </c>
    </row>
    <row r="180" spans="1:40">
      <c r="A180" t="s">
        <v>971</v>
      </c>
      <c r="B180" s="3" t="s">
        <v>972</v>
      </c>
      <c r="C180" s="10">
        <v>45565</v>
      </c>
      <c r="D180" s="3" t="s">
        <v>973</v>
      </c>
      <c r="E180" s="10">
        <v>45565</v>
      </c>
      <c r="F180" s="6" t="str">
        <f t="shared" si="32"/>
        <v>Valid</v>
      </c>
      <c r="G180" s="8">
        <f t="shared" si="33"/>
        <v>0</v>
      </c>
      <c r="H180" s="8" t="str">
        <f t="shared" si="34"/>
        <v>Valid</v>
      </c>
      <c r="I180" t="s">
        <v>974</v>
      </c>
      <c r="J180" t="s">
        <v>52</v>
      </c>
      <c r="K180" t="s">
        <v>52</v>
      </c>
      <c r="L180" t="s">
        <v>107</v>
      </c>
      <c r="M180" s="3" t="str">
        <f t="shared" si="35"/>
        <v>Corporate</v>
      </c>
      <c r="N180" t="s">
        <v>61</v>
      </c>
      <c r="O180" s="3" t="str">
        <f t="shared" si="36"/>
        <v>South</v>
      </c>
      <c r="P180" t="s">
        <v>62</v>
      </c>
      <c r="Q180" t="s">
        <v>63</v>
      </c>
      <c r="R180" t="s">
        <v>29</v>
      </c>
      <c r="S180" s="3" t="str">
        <f t="shared" si="37"/>
        <v>Office Supplies</v>
      </c>
      <c r="T180" t="s">
        <v>53</v>
      </c>
      <c r="U180" t="s">
        <v>975</v>
      </c>
      <c r="V180" t="s">
        <v>66</v>
      </c>
      <c r="W180" s="3" t="str">
        <f t="shared" si="38"/>
        <v>Standard Class</v>
      </c>
      <c r="X180">
        <v>4</v>
      </c>
      <c r="Y180">
        <v>3281.74</v>
      </c>
      <c r="Z180">
        <v>0</v>
      </c>
      <c r="AA180">
        <f t="shared" si="42"/>
        <v>0</v>
      </c>
      <c r="AB180">
        <f t="shared" si="43"/>
        <v>13126.96</v>
      </c>
      <c r="AC180">
        <v>13126.96</v>
      </c>
      <c r="AD180">
        <v>10732.44</v>
      </c>
      <c r="AE180">
        <v>2394.52</v>
      </c>
      <c r="AF180" t="s">
        <v>33</v>
      </c>
      <c r="AG180" t="s">
        <v>34</v>
      </c>
      <c r="AH180" t="str">
        <f t="shared" si="39"/>
        <v>Completed</v>
      </c>
      <c r="AI180" t="str">
        <f t="shared" si="40"/>
        <v>Valid</v>
      </c>
      <c r="AJ180">
        <f t="shared" si="41"/>
        <v>2394.5199999999986</v>
      </c>
      <c r="AK180" s="12">
        <f t="shared" si="44"/>
        <v>0.18241237879905162</v>
      </c>
      <c r="AL180">
        <f t="shared" si="45"/>
        <v>9</v>
      </c>
      <c r="AM180">
        <f t="shared" si="46"/>
        <v>2024</v>
      </c>
      <c r="AN180" t="str">
        <f t="shared" si="47"/>
        <v>Clean</v>
      </c>
    </row>
    <row r="181" spans="1:40">
      <c r="A181" t="s">
        <v>976</v>
      </c>
      <c r="B181" s="3" t="s">
        <v>977</v>
      </c>
      <c r="C181" s="10">
        <v>45366</v>
      </c>
      <c r="D181" s="3" t="s">
        <v>978</v>
      </c>
      <c r="E181" s="10">
        <v>45370</v>
      </c>
      <c r="F181" s="6" t="str">
        <f t="shared" si="32"/>
        <v>Valid</v>
      </c>
      <c r="G181" s="8">
        <f t="shared" si="33"/>
        <v>4</v>
      </c>
      <c r="H181" s="8" t="str">
        <f t="shared" si="34"/>
        <v>Valid</v>
      </c>
      <c r="I181" t="s">
        <v>979</v>
      </c>
      <c r="J181" t="s">
        <v>71</v>
      </c>
      <c r="K181" t="s">
        <v>71</v>
      </c>
      <c r="L181" t="s">
        <v>40</v>
      </c>
      <c r="M181" s="3" t="str">
        <f t="shared" si="35"/>
        <v>Small Business</v>
      </c>
      <c r="N181" t="s">
        <v>61</v>
      </c>
      <c r="O181" s="3" t="str">
        <f t="shared" si="36"/>
        <v>South</v>
      </c>
      <c r="P181" t="s">
        <v>338</v>
      </c>
      <c r="Q181" t="s">
        <v>339</v>
      </c>
      <c r="R181" t="s">
        <v>44</v>
      </c>
      <c r="S181" s="3" t="str">
        <f t="shared" si="37"/>
        <v>Furniture</v>
      </c>
      <c r="T181" t="s">
        <v>64</v>
      </c>
      <c r="U181" t="s">
        <v>980</v>
      </c>
      <c r="V181" t="s">
        <v>66</v>
      </c>
      <c r="W181" s="3" t="str">
        <f t="shared" si="38"/>
        <v>Standard Class</v>
      </c>
      <c r="X181">
        <v>4</v>
      </c>
      <c r="Y181">
        <v>3186.3</v>
      </c>
      <c r="Z181">
        <v>0.25</v>
      </c>
      <c r="AA181">
        <f t="shared" si="42"/>
        <v>0.25</v>
      </c>
      <c r="AB181">
        <f t="shared" si="43"/>
        <v>9558.9000000000015</v>
      </c>
      <c r="AC181">
        <v>9558.9</v>
      </c>
      <c r="AD181">
        <v>5516.76</v>
      </c>
      <c r="AE181">
        <v>4042.14</v>
      </c>
      <c r="AF181" t="s">
        <v>123</v>
      </c>
      <c r="AG181" t="s">
        <v>124</v>
      </c>
      <c r="AH181" t="str">
        <f t="shared" si="39"/>
        <v>Returned</v>
      </c>
      <c r="AI181" t="str">
        <f t="shared" si="40"/>
        <v>Valid</v>
      </c>
      <c r="AJ181">
        <f t="shared" si="41"/>
        <v>4042.1399999999994</v>
      </c>
      <c r="AK181" s="12">
        <f t="shared" si="44"/>
        <v>0.42286664783604794</v>
      </c>
      <c r="AL181">
        <f t="shared" si="45"/>
        <v>3</v>
      </c>
      <c r="AM181">
        <f t="shared" si="46"/>
        <v>2024</v>
      </c>
      <c r="AN181" t="str">
        <f t="shared" si="47"/>
        <v>Clean</v>
      </c>
    </row>
    <row r="182" spans="1:40">
      <c r="A182" t="s">
        <v>981</v>
      </c>
      <c r="B182" s="3" t="s">
        <v>982</v>
      </c>
      <c r="C182" s="10">
        <v>45530</v>
      </c>
      <c r="D182" s="3" t="s">
        <v>983</v>
      </c>
      <c r="E182" s="10">
        <v>45530</v>
      </c>
      <c r="F182" s="6" t="str">
        <f t="shared" si="32"/>
        <v>Valid</v>
      </c>
      <c r="G182" s="8">
        <f t="shared" si="33"/>
        <v>0</v>
      </c>
      <c r="H182" s="8" t="str">
        <f t="shared" si="34"/>
        <v>Valid</v>
      </c>
      <c r="I182" t="s">
        <v>984</v>
      </c>
      <c r="J182" t="s">
        <v>39</v>
      </c>
      <c r="K182" t="s">
        <v>39</v>
      </c>
      <c r="L182" t="s">
        <v>114</v>
      </c>
      <c r="M182" s="3" t="str">
        <f t="shared" si="35"/>
        <v>Home Office</v>
      </c>
      <c r="N182" t="s">
        <v>26</v>
      </c>
      <c r="O182" s="3" t="str">
        <f t="shared" si="36"/>
        <v>North</v>
      </c>
      <c r="P182" t="s">
        <v>173</v>
      </c>
      <c r="Q182" t="s">
        <v>174</v>
      </c>
      <c r="R182" t="s">
        <v>917</v>
      </c>
      <c r="S182" s="3" t="str">
        <f t="shared" si="37"/>
        <v>Office Supplies</v>
      </c>
      <c r="T182" t="s">
        <v>197</v>
      </c>
      <c r="U182" t="s">
        <v>985</v>
      </c>
      <c r="V182" t="s">
        <v>55</v>
      </c>
      <c r="W182" s="3" t="str">
        <f t="shared" si="38"/>
        <v>First Class</v>
      </c>
      <c r="X182">
        <v>7</v>
      </c>
      <c r="Y182">
        <v>844.59</v>
      </c>
      <c r="Z182">
        <v>0.1</v>
      </c>
      <c r="AA182">
        <f t="shared" si="42"/>
        <v>0.1</v>
      </c>
      <c r="AB182">
        <f t="shared" si="43"/>
        <v>5320.9170000000004</v>
      </c>
      <c r="AC182">
        <v>5320.92</v>
      </c>
      <c r="AD182">
        <v>3041.5</v>
      </c>
      <c r="AE182">
        <v>2279.42</v>
      </c>
      <c r="AF182" t="s">
        <v>33</v>
      </c>
      <c r="AG182" t="s">
        <v>34</v>
      </c>
      <c r="AH182" t="str">
        <f t="shared" si="39"/>
        <v>Completed</v>
      </c>
      <c r="AI182" t="str">
        <f t="shared" si="40"/>
        <v>Valid</v>
      </c>
      <c r="AJ182">
        <f t="shared" si="41"/>
        <v>2279.42</v>
      </c>
      <c r="AK182" s="12">
        <f t="shared" si="44"/>
        <v>0.42838856535443043</v>
      </c>
      <c r="AL182">
        <f t="shared" si="45"/>
        <v>8</v>
      </c>
      <c r="AM182">
        <f t="shared" si="46"/>
        <v>2024</v>
      </c>
      <c r="AN182" t="str">
        <f t="shared" si="47"/>
        <v>Clean</v>
      </c>
    </row>
    <row r="183" spans="1:40">
      <c r="A183" t="s">
        <v>986</v>
      </c>
      <c r="B183" s="3" t="s">
        <v>987</v>
      </c>
      <c r="C183" s="10">
        <v>45909</v>
      </c>
      <c r="D183" s="3" t="s">
        <v>988</v>
      </c>
      <c r="E183" s="10">
        <v>45910</v>
      </c>
      <c r="F183" s="6" t="str">
        <f t="shared" si="32"/>
        <v>Valid</v>
      </c>
      <c r="G183" s="8">
        <f t="shared" si="33"/>
        <v>1</v>
      </c>
      <c r="H183" s="8" t="str">
        <f t="shared" si="34"/>
        <v>Valid</v>
      </c>
      <c r="I183" t="s">
        <v>989</v>
      </c>
      <c r="J183" t="s">
        <v>141</v>
      </c>
      <c r="K183" t="s">
        <v>141</v>
      </c>
      <c r="L183" t="s">
        <v>114</v>
      </c>
      <c r="M183" s="3" t="str">
        <f t="shared" si="35"/>
        <v>Home Office</v>
      </c>
      <c r="N183" t="s">
        <v>61</v>
      </c>
      <c r="O183" s="3" t="str">
        <f t="shared" si="36"/>
        <v>South</v>
      </c>
      <c r="P183" t="s">
        <v>338</v>
      </c>
      <c r="Q183" t="s">
        <v>339</v>
      </c>
      <c r="R183" t="s">
        <v>29</v>
      </c>
      <c r="S183" s="3" t="str">
        <f t="shared" si="37"/>
        <v>Office Supplies</v>
      </c>
      <c r="T183" t="s">
        <v>53</v>
      </c>
      <c r="U183" t="s">
        <v>990</v>
      </c>
      <c r="V183" t="s">
        <v>32</v>
      </c>
      <c r="W183" s="3" t="str">
        <f t="shared" si="38"/>
        <v>Second Class</v>
      </c>
      <c r="X183">
        <v>4</v>
      </c>
      <c r="Y183">
        <v>2551.4499999999998</v>
      </c>
      <c r="Z183">
        <v>0</v>
      </c>
      <c r="AA183">
        <f t="shared" si="42"/>
        <v>0</v>
      </c>
      <c r="AB183">
        <f t="shared" si="43"/>
        <v>10205.799999999999</v>
      </c>
      <c r="AC183">
        <v>10205.799999999999</v>
      </c>
      <c r="AD183">
        <v>5986.31</v>
      </c>
      <c r="AE183">
        <v>4219.49</v>
      </c>
      <c r="AF183" t="s">
        <v>33</v>
      </c>
      <c r="AG183" t="s">
        <v>34</v>
      </c>
      <c r="AH183" t="str">
        <f t="shared" si="39"/>
        <v>Completed</v>
      </c>
      <c r="AI183" t="str">
        <f t="shared" si="40"/>
        <v>Valid</v>
      </c>
      <c r="AJ183">
        <f t="shared" si="41"/>
        <v>4219.4899999999989</v>
      </c>
      <c r="AK183" s="12">
        <f t="shared" si="44"/>
        <v>0.41344039663720622</v>
      </c>
      <c r="AL183">
        <f t="shared" si="45"/>
        <v>9</v>
      </c>
      <c r="AM183">
        <f t="shared" si="46"/>
        <v>2025</v>
      </c>
      <c r="AN183" t="str">
        <f t="shared" si="47"/>
        <v>Clean</v>
      </c>
    </row>
    <row r="184" spans="1:40">
      <c r="A184" t="s">
        <v>991</v>
      </c>
      <c r="B184" s="3" t="s">
        <v>298</v>
      </c>
      <c r="C184" s="10">
        <v>45581</v>
      </c>
      <c r="D184" s="3" t="s">
        <v>298</v>
      </c>
      <c r="E184" s="10">
        <v>45581</v>
      </c>
      <c r="F184" s="6" t="str">
        <f t="shared" si="32"/>
        <v>Valid</v>
      </c>
      <c r="G184" s="8">
        <f t="shared" si="33"/>
        <v>0</v>
      </c>
      <c r="H184" s="8" t="str">
        <f t="shared" si="34"/>
        <v>Valid</v>
      </c>
      <c r="I184" t="s">
        <v>992</v>
      </c>
      <c r="J184" t="s">
        <v>71</v>
      </c>
      <c r="K184" t="s">
        <v>71</v>
      </c>
      <c r="L184" t="s">
        <v>114</v>
      </c>
      <c r="M184" s="3" t="str">
        <f t="shared" si="35"/>
        <v>Home Office</v>
      </c>
      <c r="N184" t="s">
        <v>41</v>
      </c>
      <c r="O184" s="3" t="str">
        <f t="shared" si="36"/>
        <v>East</v>
      </c>
      <c r="P184" t="s">
        <v>185</v>
      </c>
      <c r="Q184" t="s">
        <v>186</v>
      </c>
      <c r="R184" t="s">
        <v>85</v>
      </c>
      <c r="S184" s="3" t="str">
        <f t="shared" si="37"/>
        <v>Technology</v>
      </c>
      <c r="T184" t="s">
        <v>381</v>
      </c>
      <c r="U184" t="s">
        <v>993</v>
      </c>
      <c r="V184" t="s">
        <v>66</v>
      </c>
      <c r="W184" s="3" t="str">
        <f t="shared" si="38"/>
        <v>Standard Class</v>
      </c>
      <c r="X184">
        <v>7</v>
      </c>
      <c r="Y184">
        <v>775.77</v>
      </c>
      <c r="Z184">
        <v>0</v>
      </c>
      <c r="AA184">
        <f t="shared" si="42"/>
        <v>0</v>
      </c>
      <c r="AB184">
        <f t="shared" si="43"/>
        <v>5430.3899999999994</v>
      </c>
      <c r="AC184">
        <v>5430.39</v>
      </c>
      <c r="AD184">
        <v>3707.66</v>
      </c>
      <c r="AE184">
        <v>1722.73</v>
      </c>
      <c r="AF184" t="s">
        <v>33</v>
      </c>
      <c r="AG184" t="s">
        <v>34</v>
      </c>
      <c r="AH184" t="str">
        <f t="shared" si="39"/>
        <v>Completed</v>
      </c>
      <c r="AI184" t="str">
        <f t="shared" si="40"/>
        <v>Valid</v>
      </c>
      <c r="AJ184">
        <f t="shared" si="41"/>
        <v>1722.7300000000005</v>
      </c>
      <c r="AK184" s="12">
        <f t="shared" si="44"/>
        <v>0.31723872502711603</v>
      </c>
      <c r="AL184">
        <f t="shared" si="45"/>
        <v>10</v>
      </c>
      <c r="AM184">
        <f t="shared" si="46"/>
        <v>2024</v>
      </c>
      <c r="AN184" t="str">
        <f t="shared" si="47"/>
        <v>Clean</v>
      </c>
    </row>
    <row r="185" spans="1:40">
      <c r="A185" t="s">
        <v>994</v>
      </c>
      <c r="B185" s="3" t="s">
        <v>995</v>
      </c>
      <c r="C185" s="10">
        <v>45832</v>
      </c>
      <c r="D185" s="3" t="s">
        <v>996</v>
      </c>
      <c r="E185" s="10">
        <v>45835</v>
      </c>
      <c r="F185" s="6" t="str">
        <f t="shared" si="32"/>
        <v>Valid</v>
      </c>
      <c r="G185" s="8">
        <f t="shared" si="33"/>
        <v>3</v>
      </c>
      <c r="H185" s="8" t="str">
        <f t="shared" si="34"/>
        <v>Valid</v>
      </c>
      <c r="I185" t="s">
        <v>997</v>
      </c>
      <c r="J185" t="s">
        <v>82</v>
      </c>
      <c r="K185" t="s">
        <v>82</v>
      </c>
      <c r="L185" t="s">
        <v>114</v>
      </c>
      <c r="M185" s="3" t="str">
        <f t="shared" si="35"/>
        <v>Home Office</v>
      </c>
      <c r="N185" t="s">
        <v>61</v>
      </c>
      <c r="O185" s="3" t="str">
        <f t="shared" si="36"/>
        <v>South</v>
      </c>
      <c r="P185" t="s">
        <v>62</v>
      </c>
      <c r="Q185" t="s">
        <v>63</v>
      </c>
      <c r="R185" t="s">
        <v>85</v>
      </c>
      <c r="S185" s="3" t="str">
        <f t="shared" si="37"/>
        <v>Technology</v>
      </c>
      <c r="T185" t="s">
        <v>93</v>
      </c>
      <c r="U185" t="s">
        <v>998</v>
      </c>
      <c r="V185" t="s">
        <v>66</v>
      </c>
      <c r="W185" s="3" t="str">
        <f t="shared" si="38"/>
        <v>Standard Class</v>
      </c>
      <c r="X185">
        <v>7</v>
      </c>
      <c r="Y185">
        <v>2304.86</v>
      </c>
      <c r="Z185">
        <v>0.2</v>
      </c>
      <c r="AA185">
        <f t="shared" si="42"/>
        <v>0.2</v>
      </c>
      <c r="AB185">
        <f t="shared" si="43"/>
        <v>12907.216</v>
      </c>
      <c r="AC185">
        <v>12907.22</v>
      </c>
      <c r="AD185">
        <v>8327.89</v>
      </c>
      <c r="AE185">
        <v>4579.33</v>
      </c>
      <c r="AF185" t="s">
        <v>33</v>
      </c>
      <c r="AG185" t="s">
        <v>124</v>
      </c>
      <c r="AH185" t="str">
        <f t="shared" si="39"/>
        <v>Returned</v>
      </c>
      <c r="AI185" t="str">
        <f t="shared" si="40"/>
        <v>Valid</v>
      </c>
      <c r="AJ185">
        <f t="shared" si="41"/>
        <v>4579.33</v>
      </c>
      <c r="AK185" s="12">
        <f t="shared" si="44"/>
        <v>0.35478836024747706</v>
      </c>
      <c r="AL185">
        <f t="shared" si="45"/>
        <v>6</v>
      </c>
      <c r="AM185">
        <f t="shared" si="46"/>
        <v>2025</v>
      </c>
      <c r="AN185" t="str">
        <f t="shared" si="47"/>
        <v>Clean</v>
      </c>
    </row>
    <row r="186" spans="1:40">
      <c r="A186" t="s">
        <v>999</v>
      </c>
      <c r="B186" s="3" t="s">
        <v>1000</v>
      </c>
      <c r="C186" s="10">
        <v>45384</v>
      </c>
      <c r="D186" s="3" t="s">
        <v>347</v>
      </c>
      <c r="E186" s="10">
        <v>45388</v>
      </c>
      <c r="F186" s="6" t="str">
        <f t="shared" si="32"/>
        <v>Valid</v>
      </c>
      <c r="G186" s="8">
        <f t="shared" si="33"/>
        <v>4</v>
      </c>
      <c r="H186" s="8" t="str">
        <f t="shared" si="34"/>
        <v>Valid</v>
      </c>
      <c r="I186" t="s">
        <v>1001</v>
      </c>
      <c r="J186" t="s">
        <v>82</v>
      </c>
      <c r="K186" t="s">
        <v>82</v>
      </c>
      <c r="L186" t="s">
        <v>107</v>
      </c>
      <c r="M186" s="3" t="str">
        <f t="shared" si="35"/>
        <v>Corporate</v>
      </c>
      <c r="N186" t="s">
        <v>72</v>
      </c>
      <c r="O186" s="3" t="str">
        <f t="shared" si="36"/>
        <v>West</v>
      </c>
      <c r="P186" t="s">
        <v>83</v>
      </c>
      <c r="Q186" t="s">
        <v>84</v>
      </c>
      <c r="R186" t="s">
        <v>44</v>
      </c>
      <c r="S186" s="3" t="str">
        <f t="shared" si="37"/>
        <v>Furniture</v>
      </c>
      <c r="T186" t="s">
        <v>203</v>
      </c>
      <c r="U186" t="s">
        <v>1002</v>
      </c>
      <c r="V186" t="s">
        <v>66</v>
      </c>
      <c r="W186" s="3" t="str">
        <f t="shared" si="38"/>
        <v>Standard Class</v>
      </c>
      <c r="X186">
        <v>2</v>
      </c>
      <c r="Y186">
        <v>888.98</v>
      </c>
      <c r="Z186">
        <v>0</v>
      </c>
      <c r="AA186">
        <f t="shared" si="42"/>
        <v>0</v>
      </c>
      <c r="AB186">
        <f t="shared" si="43"/>
        <v>1777.96</v>
      </c>
      <c r="AC186">
        <v>1777.96</v>
      </c>
      <c r="AD186">
        <v>1021.16</v>
      </c>
      <c r="AE186">
        <v>756.8</v>
      </c>
      <c r="AF186" t="s">
        <v>123</v>
      </c>
      <c r="AG186" t="s">
        <v>124</v>
      </c>
      <c r="AH186" t="str">
        <f t="shared" si="39"/>
        <v>Returned</v>
      </c>
      <c r="AI186" t="str">
        <f t="shared" si="40"/>
        <v>Valid</v>
      </c>
      <c r="AJ186">
        <f t="shared" si="41"/>
        <v>756.80000000000007</v>
      </c>
      <c r="AK186" s="12">
        <f t="shared" si="44"/>
        <v>0.42565637022205227</v>
      </c>
      <c r="AL186">
        <f t="shared" si="45"/>
        <v>4</v>
      </c>
      <c r="AM186">
        <f t="shared" si="46"/>
        <v>2024</v>
      </c>
      <c r="AN186" t="str">
        <f t="shared" si="47"/>
        <v>Clean</v>
      </c>
    </row>
    <row r="187" spans="1:40">
      <c r="A187" t="s">
        <v>1003</v>
      </c>
      <c r="B187" s="3" t="s">
        <v>103</v>
      </c>
      <c r="C187" s="10">
        <v>45601</v>
      </c>
      <c r="D187" s="3" t="s">
        <v>1004</v>
      </c>
      <c r="E187" s="10">
        <v>45609</v>
      </c>
      <c r="F187" s="6" t="str">
        <f t="shared" si="32"/>
        <v>Valid</v>
      </c>
      <c r="G187" s="8">
        <f t="shared" si="33"/>
        <v>8</v>
      </c>
      <c r="H187" s="8" t="str">
        <f t="shared" si="34"/>
        <v>Valid</v>
      </c>
      <c r="I187" t="s">
        <v>1005</v>
      </c>
      <c r="J187" t="s">
        <v>60</v>
      </c>
      <c r="K187" t="s">
        <v>60</v>
      </c>
      <c r="L187" t="s">
        <v>25</v>
      </c>
      <c r="M187" s="3" t="str">
        <f t="shared" si="35"/>
        <v>Consumer</v>
      </c>
      <c r="O187" s="3" t="str">
        <f t="shared" si="36"/>
        <v>Unknown</v>
      </c>
      <c r="P187" t="s">
        <v>153</v>
      </c>
      <c r="Q187" t="s">
        <v>154</v>
      </c>
      <c r="R187" t="s">
        <v>29</v>
      </c>
      <c r="S187" s="3" t="str">
        <f t="shared" si="37"/>
        <v>Office Supplies</v>
      </c>
      <c r="T187" t="s">
        <v>108</v>
      </c>
      <c r="U187" t="s">
        <v>1006</v>
      </c>
      <c r="V187" t="s">
        <v>32</v>
      </c>
      <c r="W187" s="3" t="str">
        <f t="shared" si="38"/>
        <v>Second Class</v>
      </c>
      <c r="X187">
        <v>2</v>
      </c>
      <c r="Y187">
        <v>1003.17</v>
      </c>
      <c r="Z187">
        <v>0.2</v>
      </c>
      <c r="AA187">
        <f t="shared" si="42"/>
        <v>0.2</v>
      </c>
      <c r="AB187">
        <f t="shared" si="43"/>
        <v>1605.0720000000001</v>
      </c>
      <c r="AC187">
        <v>1605.07</v>
      </c>
      <c r="AD187">
        <v>1337.28</v>
      </c>
      <c r="AE187">
        <v>267.79000000000002</v>
      </c>
      <c r="AF187" t="s">
        <v>33</v>
      </c>
      <c r="AG187" t="s">
        <v>34</v>
      </c>
      <c r="AH187" t="str">
        <f t="shared" si="39"/>
        <v>Completed</v>
      </c>
      <c r="AI187" t="str">
        <f t="shared" si="40"/>
        <v>Valid</v>
      </c>
      <c r="AJ187">
        <f t="shared" si="41"/>
        <v>267.78999999999996</v>
      </c>
      <c r="AK187" s="12">
        <f t="shared" si="44"/>
        <v>0.1668398676196457</v>
      </c>
      <c r="AL187">
        <f t="shared" si="45"/>
        <v>11</v>
      </c>
      <c r="AM187">
        <f t="shared" si="46"/>
        <v>2024</v>
      </c>
      <c r="AN187" t="str">
        <f t="shared" si="47"/>
        <v>Clean</v>
      </c>
    </row>
    <row r="188" spans="1:40">
      <c r="A188" t="s">
        <v>1007</v>
      </c>
      <c r="B188" s="3" t="s">
        <v>331</v>
      </c>
      <c r="C188" s="10">
        <v>45492</v>
      </c>
      <c r="D188" s="3" t="s">
        <v>1008</v>
      </c>
      <c r="E188" s="10">
        <v>45493</v>
      </c>
      <c r="F188" s="6" t="str">
        <f t="shared" si="32"/>
        <v>Valid</v>
      </c>
      <c r="G188" s="8">
        <f t="shared" si="33"/>
        <v>1</v>
      </c>
      <c r="H188" s="8" t="str">
        <f t="shared" si="34"/>
        <v>Valid</v>
      </c>
      <c r="I188" t="s">
        <v>364</v>
      </c>
      <c r="J188" t="s">
        <v>82</v>
      </c>
      <c r="K188" t="s">
        <v>82</v>
      </c>
      <c r="L188" t="s">
        <v>25</v>
      </c>
      <c r="M188" s="3" t="str">
        <f t="shared" si="35"/>
        <v>Consumer</v>
      </c>
      <c r="N188" t="s">
        <v>61</v>
      </c>
      <c r="O188" s="3" t="str">
        <f t="shared" si="36"/>
        <v>South</v>
      </c>
      <c r="P188" t="s">
        <v>338</v>
      </c>
      <c r="Q188" t="s">
        <v>339</v>
      </c>
      <c r="R188" t="s">
        <v>44</v>
      </c>
      <c r="S188" s="3" t="str">
        <f t="shared" si="37"/>
        <v>Furniture</v>
      </c>
      <c r="T188" t="s">
        <v>45</v>
      </c>
      <c r="U188" t="s">
        <v>1009</v>
      </c>
      <c r="V188" t="s">
        <v>55</v>
      </c>
      <c r="W188" s="3" t="str">
        <f t="shared" si="38"/>
        <v>First Class</v>
      </c>
      <c r="X188">
        <v>7</v>
      </c>
      <c r="Y188">
        <v>3608.43</v>
      </c>
      <c r="Z188">
        <v>0.05</v>
      </c>
      <c r="AA188">
        <f t="shared" si="42"/>
        <v>0.05</v>
      </c>
      <c r="AB188">
        <f t="shared" si="43"/>
        <v>23996.059499999996</v>
      </c>
      <c r="AC188">
        <v>23996.06</v>
      </c>
      <c r="AD188">
        <v>20167.28</v>
      </c>
      <c r="AE188">
        <v>3828.78</v>
      </c>
      <c r="AF188" t="s">
        <v>33</v>
      </c>
      <c r="AG188" t="s">
        <v>34</v>
      </c>
      <c r="AH188" t="str">
        <f t="shared" si="39"/>
        <v>Completed</v>
      </c>
      <c r="AI188" t="str">
        <f t="shared" si="40"/>
        <v>Valid</v>
      </c>
      <c r="AJ188">
        <f t="shared" si="41"/>
        <v>3828.7800000000025</v>
      </c>
      <c r="AK188" s="12">
        <f t="shared" si="44"/>
        <v>0.15955869754365307</v>
      </c>
      <c r="AL188">
        <f t="shared" si="45"/>
        <v>7</v>
      </c>
      <c r="AM188">
        <f t="shared" si="46"/>
        <v>2024</v>
      </c>
      <c r="AN188" t="str">
        <f t="shared" si="47"/>
        <v>Clean</v>
      </c>
    </row>
    <row r="189" spans="1:40">
      <c r="A189" t="s">
        <v>1010</v>
      </c>
      <c r="B189" s="3" t="s">
        <v>1011</v>
      </c>
      <c r="C189" s="10">
        <v>45778</v>
      </c>
      <c r="D189" s="3" t="s">
        <v>1012</v>
      </c>
      <c r="E189" s="10">
        <v>45779</v>
      </c>
      <c r="F189" s="6" t="str">
        <f t="shared" si="32"/>
        <v>Valid</v>
      </c>
      <c r="G189" s="8">
        <f t="shared" si="33"/>
        <v>1</v>
      </c>
      <c r="H189" s="8" t="str">
        <f t="shared" si="34"/>
        <v>Valid</v>
      </c>
      <c r="I189" t="s">
        <v>1013</v>
      </c>
      <c r="J189" t="s">
        <v>39</v>
      </c>
      <c r="K189" t="s">
        <v>39</v>
      </c>
      <c r="L189" t="s">
        <v>25</v>
      </c>
      <c r="M189" s="3" t="str">
        <f t="shared" si="35"/>
        <v>Consumer</v>
      </c>
      <c r="N189" t="s">
        <v>72</v>
      </c>
      <c r="O189" s="3" t="str">
        <f t="shared" si="36"/>
        <v>West</v>
      </c>
      <c r="P189" t="s">
        <v>83</v>
      </c>
      <c r="Q189" t="s">
        <v>84</v>
      </c>
      <c r="R189" t="s">
        <v>44</v>
      </c>
      <c r="S189" s="3" t="str">
        <f t="shared" si="37"/>
        <v>Furniture</v>
      </c>
      <c r="T189" t="s">
        <v>75</v>
      </c>
      <c r="U189" t="s">
        <v>1014</v>
      </c>
      <c r="V189" t="s">
        <v>47</v>
      </c>
      <c r="W189" s="3" t="str">
        <f t="shared" si="38"/>
        <v>Same Day</v>
      </c>
      <c r="X189">
        <v>3</v>
      </c>
      <c r="Y189">
        <v>2905.74</v>
      </c>
      <c r="Z189">
        <v>0</v>
      </c>
      <c r="AA189">
        <f t="shared" si="42"/>
        <v>0</v>
      </c>
      <c r="AB189">
        <f t="shared" si="43"/>
        <v>8717.2199999999993</v>
      </c>
      <c r="AC189">
        <v>8717.2199999999993</v>
      </c>
      <c r="AD189">
        <v>6215.96</v>
      </c>
      <c r="AE189">
        <v>2501.2600000000002</v>
      </c>
      <c r="AF189" t="s">
        <v>33</v>
      </c>
      <c r="AG189" t="s">
        <v>124</v>
      </c>
      <c r="AH189" t="str">
        <f t="shared" si="39"/>
        <v>Returned</v>
      </c>
      <c r="AI189" t="str">
        <f t="shared" si="40"/>
        <v>Valid</v>
      </c>
      <c r="AJ189">
        <f t="shared" si="41"/>
        <v>2501.2599999999993</v>
      </c>
      <c r="AK189" s="12">
        <f t="shared" si="44"/>
        <v>0.28693321953558582</v>
      </c>
      <c r="AL189">
        <f t="shared" si="45"/>
        <v>5</v>
      </c>
      <c r="AM189">
        <f t="shared" si="46"/>
        <v>2025</v>
      </c>
      <c r="AN189" t="str">
        <f t="shared" si="47"/>
        <v>Clean</v>
      </c>
    </row>
    <row r="190" spans="1:40">
      <c r="A190" t="s">
        <v>1015</v>
      </c>
      <c r="B190" s="3" t="s">
        <v>1016</v>
      </c>
      <c r="C190" s="10">
        <v>45798</v>
      </c>
      <c r="D190" s="3" t="s">
        <v>1017</v>
      </c>
      <c r="E190" s="10">
        <v>45805</v>
      </c>
      <c r="F190" s="6" t="str">
        <f t="shared" si="32"/>
        <v>Valid</v>
      </c>
      <c r="G190" s="8">
        <f t="shared" si="33"/>
        <v>7</v>
      </c>
      <c r="H190" s="8" t="str">
        <f t="shared" si="34"/>
        <v>Valid</v>
      </c>
      <c r="I190" t="s">
        <v>1018</v>
      </c>
      <c r="J190" t="s">
        <v>141</v>
      </c>
      <c r="K190" t="s">
        <v>141</v>
      </c>
      <c r="L190" t="s">
        <v>107</v>
      </c>
      <c r="M190" s="3" t="str">
        <f t="shared" si="35"/>
        <v>Corporate</v>
      </c>
      <c r="N190" t="s">
        <v>41</v>
      </c>
      <c r="O190" s="3" t="str">
        <f t="shared" si="36"/>
        <v>East</v>
      </c>
      <c r="P190" t="s">
        <v>120</v>
      </c>
      <c r="Q190" t="s">
        <v>121</v>
      </c>
      <c r="R190" t="s">
        <v>44</v>
      </c>
      <c r="S190" s="3" t="str">
        <f t="shared" si="37"/>
        <v>Furniture</v>
      </c>
      <c r="T190" t="s">
        <v>203</v>
      </c>
      <c r="U190" t="s">
        <v>1019</v>
      </c>
      <c r="V190" t="s">
        <v>47</v>
      </c>
      <c r="W190" s="3" t="str">
        <f t="shared" si="38"/>
        <v>Same Day</v>
      </c>
      <c r="X190">
        <v>2</v>
      </c>
      <c r="Y190">
        <v>3559.57</v>
      </c>
      <c r="Z190">
        <v>0.1</v>
      </c>
      <c r="AA190">
        <f t="shared" si="42"/>
        <v>0.1</v>
      </c>
      <c r="AB190">
        <f t="shared" si="43"/>
        <v>6407.2260000000006</v>
      </c>
      <c r="AC190">
        <v>6553.95</v>
      </c>
      <c r="AD190">
        <v>4923.09</v>
      </c>
      <c r="AE190">
        <v>1484.14</v>
      </c>
      <c r="AF190" t="s">
        <v>33</v>
      </c>
      <c r="AG190" t="s">
        <v>34</v>
      </c>
      <c r="AH190" t="str">
        <f t="shared" si="39"/>
        <v>Completed</v>
      </c>
      <c r="AI190" t="str">
        <f t="shared" si="40"/>
        <v>Valid</v>
      </c>
      <c r="AJ190">
        <f t="shared" si="41"/>
        <v>1630.8599999999997</v>
      </c>
      <c r="AK190" s="12">
        <f t="shared" si="44"/>
        <v>0.25453448965277636</v>
      </c>
      <c r="AL190">
        <f t="shared" si="45"/>
        <v>5</v>
      </c>
      <c r="AM190">
        <f t="shared" si="46"/>
        <v>2025</v>
      </c>
      <c r="AN190" t="str">
        <f t="shared" si="47"/>
        <v>Clean</v>
      </c>
    </row>
    <row r="191" spans="1:40">
      <c r="A191" t="s">
        <v>1020</v>
      </c>
      <c r="B191" s="3" t="s">
        <v>1021</v>
      </c>
      <c r="C191" s="10">
        <v>45783</v>
      </c>
      <c r="D191" s="3" t="s">
        <v>1022</v>
      </c>
      <c r="E191" s="10">
        <v>45784</v>
      </c>
      <c r="F191" s="6" t="str">
        <f t="shared" si="32"/>
        <v>Valid</v>
      </c>
      <c r="G191" s="8">
        <f t="shared" si="33"/>
        <v>1</v>
      </c>
      <c r="H191" s="8" t="str">
        <f t="shared" si="34"/>
        <v>Valid</v>
      </c>
      <c r="I191" t="s">
        <v>1023</v>
      </c>
      <c r="J191" t="s">
        <v>60</v>
      </c>
      <c r="K191" t="s">
        <v>60</v>
      </c>
      <c r="L191" t="s">
        <v>25</v>
      </c>
      <c r="M191" s="3" t="str">
        <f t="shared" si="35"/>
        <v>Consumer</v>
      </c>
      <c r="N191" t="s">
        <v>72</v>
      </c>
      <c r="O191" s="3" t="str">
        <f t="shared" si="36"/>
        <v>West</v>
      </c>
      <c r="P191" t="s">
        <v>27</v>
      </c>
      <c r="Q191" t="s">
        <v>134</v>
      </c>
      <c r="R191" t="s">
        <v>44</v>
      </c>
      <c r="S191" s="3" t="str">
        <f t="shared" si="37"/>
        <v>Furniture</v>
      </c>
      <c r="T191" t="s">
        <v>203</v>
      </c>
      <c r="U191" t="s">
        <v>1024</v>
      </c>
      <c r="V191" t="s">
        <v>55</v>
      </c>
      <c r="W191" s="3" t="str">
        <f t="shared" si="38"/>
        <v>First Class</v>
      </c>
      <c r="X191">
        <v>9</v>
      </c>
      <c r="Y191">
        <v>3318.24</v>
      </c>
      <c r="AA191">
        <f t="shared" si="42"/>
        <v>0</v>
      </c>
      <c r="AB191">
        <f t="shared" si="43"/>
        <v>29864.159999999996</v>
      </c>
      <c r="AC191">
        <v>25384.54</v>
      </c>
      <c r="AD191">
        <v>16872.39</v>
      </c>
      <c r="AE191">
        <v>8512.15</v>
      </c>
      <c r="AF191" t="s">
        <v>33</v>
      </c>
      <c r="AG191" t="s">
        <v>1025</v>
      </c>
      <c r="AH191" t="str">
        <f t="shared" si="39"/>
        <v>Completed</v>
      </c>
      <c r="AI191" t="str">
        <f t="shared" si="40"/>
        <v>Valid</v>
      </c>
      <c r="AJ191">
        <f t="shared" si="41"/>
        <v>8512.1500000000015</v>
      </c>
      <c r="AK191" s="12">
        <f t="shared" si="44"/>
        <v>0.28502894439354742</v>
      </c>
      <c r="AL191">
        <f t="shared" si="45"/>
        <v>5</v>
      </c>
      <c r="AM191">
        <f t="shared" si="46"/>
        <v>2025</v>
      </c>
      <c r="AN191" t="str">
        <f t="shared" si="47"/>
        <v>Clean</v>
      </c>
    </row>
    <row r="192" spans="1:40">
      <c r="A192" t="s">
        <v>1026</v>
      </c>
      <c r="B192" s="3" t="s">
        <v>1027</v>
      </c>
      <c r="C192" s="10">
        <v>45767</v>
      </c>
      <c r="D192" s="3" t="s">
        <v>1028</v>
      </c>
      <c r="E192" s="10">
        <v>45768</v>
      </c>
      <c r="F192" s="6" t="str">
        <f t="shared" si="32"/>
        <v>Valid</v>
      </c>
      <c r="G192" s="8">
        <f t="shared" si="33"/>
        <v>1</v>
      </c>
      <c r="H192" s="8" t="str">
        <f t="shared" si="34"/>
        <v>Valid</v>
      </c>
      <c r="I192" t="s">
        <v>1029</v>
      </c>
      <c r="J192" t="s">
        <v>106</v>
      </c>
      <c r="K192" t="s">
        <v>106</v>
      </c>
      <c r="L192" t="s">
        <v>25</v>
      </c>
      <c r="M192" s="3" t="str">
        <f t="shared" si="35"/>
        <v>Consumer</v>
      </c>
      <c r="N192" t="s">
        <v>61</v>
      </c>
      <c r="O192" s="3" t="str">
        <f t="shared" si="36"/>
        <v>South</v>
      </c>
      <c r="P192" t="s">
        <v>338</v>
      </c>
      <c r="Q192" t="s">
        <v>339</v>
      </c>
      <c r="R192" t="s">
        <v>29</v>
      </c>
      <c r="S192" s="3" t="str">
        <f t="shared" si="37"/>
        <v>Office Supplies</v>
      </c>
      <c r="T192" t="s">
        <v>155</v>
      </c>
      <c r="U192" t="s">
        <v>1030</v>
      </c>
      <c r="V192" t="s">
        <v>55</v>
      </c>
      <c r="W192" s="3" t="str">
        <f t="shared" si="38"/>
        <v>First Class</v>
      </c>
      <c r="X192">
        <v>3</v>
      </c>
      <c r="Y192">
        <v>540.09</v>
      </c>
      <c r="Z192">
        <v>0.1</v>
      </c>
      <c r="AA192">
        <f t="shared" si="42"/>
        <v>0.1</v>
      </c>
      <c r="AB192">
        <f t="shared" si="43"/>
        <v>1458.2429999999999</v>
      </c>
      <c r="AC192">
        <v>1458.24</v>
      </c>
      <c r="AD192">
        <v>943.32</v>
      </c>
      <c r="AE192">
        <v>514.91999999999996</v>
      </c>
      <c r="AF192" t="s">
        <v>33</v>
      </c>
      <c r="AG192" t="s">
        <v>34</v>
      </c>
      <c r="AH192" t="str">
        <f t="shared" si="39"/>
        <v>Completed</v>
      </c>
      <c r="AI192" t="str">
        <f t="shared" si="40"/>
        <v>Valid</v>
      </c>
      <c r="AJ192">
        <f t="shared" si="41"/>
        <v>514.91999999999996</v>
      </c>
      <c r="AK192" s="12">
        <f t="shared" si="44"/>
        <v>0.3531098726343963</v>
      </c>
      <c r="AL192">
        <f t="shared" si="45"/>
        <v>4</v>
      </c>
      <c r="AM192">
        <f t="shared" si="46"/>
        <v>2025</v>
      </c>
      <c r="AN192" t="str">
        <f t="shared" si="47"/>
        <v>Clean</v>
      </c>
    </row>
    <row r="193" spans="1:40">
      <c r="A193" t="s">
        <v>1031</v>
      </c>
      <c r="B193" s="3" t="s">
        <v>1032</v>
      </c>
      <c r="C193" s="10">
        <v>45584</v>
      </c>
      <c r="D193" s="3" t="s">
        <v>644</v>
      </c>
      <c r="E193" s="10">
        <v>45589</v>
      </c>
      <c r="F193" s="6" t="str">
        <f t="shared" si="32"/>
        <v>Valid</v>
      </c>
      <c r="G193" s="8">
        <f t="shared" si="33"/>
        <v>5</v>
      </c>
      <c r="H193" s="8" t="str">
        <f t="shared" si="34"/>
        <v>Valid</v>
      </c>
      <c r="I193" t="s">
        <v>1033</v>
      </c>
      <c r="J193" t="s">
        <v>167</v>
      </c>
      <c r="K193" t="s">
        <v>167</v>
      </c>
      <c r="L193" t="s">
        <v>40</v>
      </c>
      <c r="M193" s="3" t="str">
        <f t="shared" si="35"/>
        <v>Small Business</v>
      </c>
      <c r="N193" t="s">
        <v>61</v>
      </c>
      <c r="O193" s="3" t="str">
        <f t="shared" si="36"/>
        <v>South</v>
      </c>
      <c r="P193" t="s">
        <v>338</v>
      </c>
      <c r="Q193" t="s">
        <v>339</v>
      </c>
      <c r="R193" t="s">
        <v>44</v>
      </c>
      <c r="S193" s="3" t="str">
        <f t="shared" si="37"/>
        <v>Furniture</v>
      </c>
      <c r="T193" t="s">
        <v>203</v>
      </c>
      <c r="U193" t="s">
        <v>1034</v>
      </c>
      <c r="V193" t="s">
        <v>32</v>
      </c>
      <c r="W193" s="3" t="str">
        <f t="shared" si="38"/>
        <v>Second Class</v>
      </c>
      <c r="X193">
        <v>6</v>
      </c>
      <c r="Y193">
        <v>4308.3999999999996</v>
      </c>
      <c r="Z193">
        <v>0.65</v>
      </c>
      <c r="AA193">
        <f t="shared" si="42"/>
        <v>0.65</v>
      </c>
      <c r="AB193">
        <f t="shared" si="43"/>
        <v>9047.64</v>
      </c>
      <c r="AC193">
        <v>25850.400000000001</v>
      </c>
      <c r="AD193">
        <v>19397.68</v>
      </c>
      <c r="AE193">
        <v>6452.72</v>
      </c>
      <c r="AF193" t="s">
        <v>33</v>
      </c>
      <c r="AG193" t="s">
        <v>34</v>
      </c>
      <c r="AH193" t="str">
        <f t="shared" si="39"/>
        <v>Completed</v>
      </c>
      <c r="AI193" t="str">
        <f t="shared" si="40"/>
        <v>Valid</v>
      </c>
      <c r="AJ193">
        <f t="shared" si="41"/>
        <v>6452.7200000000012</v>
      </c>
      <c r="AK193" s="12">
        <f t="shared" si="44"/>
        <v>0.71319371681455068</v>
      </c>
      <c r="AL193">
        <f t="shared" si="45"/>
        <v>10</v>
      </c>
      <c r="AM193">
        <f t="shared" si="46"/>
        <v>2024</v>
      </c>
      <c r="AN193" t="str">
        <f t="shared" si="47"/>
        <v>Clean</v>
      </c>
    </row>
    <row r="194" spans="1:40">
      <c r="A194" t="s">
        <v>1035</v>
      </c>
      <c r="B194" s="3" t="s">
        <v>1036</v>
      </c>
      <c r="C194" s="10">
        <v>45635</v>
      </c>
      <c r="D194" s="3" t="s">
        <v>1037</v>
      </c>
      <c r="E194" s="10">
        <v>45642</v>
      </c>
      <c r="F194" s="6" t="str">
        <f t="shared" ref="F194:F257" si="48">IF(E194&lt;C194,"Invalid Shipping Record","Valid")</f>
        <v>Valid</v>
      </c>
      <c r="G194" s="8">
        <f t="shared" ref="G194:G257" si="49">E194-C194</f>
        <v>7</v>
      </c>
      <c r="H194" s="8" t="str">
        <f t="shared" ref="H194:H257" si="50">IF(OR(C194="",E194=""),"Missing Date",IF(OR(NOT(ISNUMBER(C194)),NOT(ISNUMBER(E194))),"Invalid Date",IF(E194&lt;C194,"Invalid Shipping Record","Valid")))</f>
        <v>Valid</v>
      </c>
      <c r="I194" t="s">
        <v>1038</v>
      </c>
      <c r="J194" t="s">
        <v>52</v>
      </c>
      <c r="K194" t="s">
        <v>52</v>
      </c>
      <c r="L194" t="s">
        <v>114</v>
      </c>
      <c r="M194" s="3" t="str">
        <f t="shared" ref="M194:M257" si="51">PROPER(TRIM(L194))</f>
        <v>Home Office</v>
      </c>
      <c r="N194" t="s">
        <v>72</v>
      </c>
      <c r="O194" s="3" t="str">
        <f t="shared" ref="O194:O257" si="52">IF(TRIM(N194)="","Unknown",PROPER(TRIM(N194)))</f>
        <v>West</v>
      </c>
      <c r="P194" t="s">
        <v>234</v>
      </c>
      <c r="Q194" t="s">
        <v>235</v>
      </c>
      <c r="R194" t="s">
        <v>44</v>
      </c>
      <c r="S194" s="3" t="str">
        <f t="shared" ref="S194:S257" si="53">PROPER(TRIM(R194))</f>
        <v>Furniture</v>
      </c>
      <c r="T194" t="s">
        <v>75</v>
      </c>
      <c r="U194" t="s">
        <v>1039</v>
      </c>
      <c r="V194" t="s">
        <v>55</v>
      </c>
      <c r="W194" s="3" t="str">
        <f t="shared" ref="W194:W257" si="54">IF(TRIM(V194)="","Unknown",PROPER(TRIM(V194)))</f>
        <v>First Class</v>
      </c>
      <c r="X194">
        <v>4</v>
      </c>
      <c r="Y194">
        <v>2191.0300000000002</v>
      </c>
      <c r="Z194">
        <v>0</v>
      </c>
      <c r="AA194">
        <f t="shared" si="42"/>
        <v>0</v>
      </c>
      <c r="AB194">
        <f t="shared" si="43"/>
        <v>8764.1200000000008</v>
      </c>
      <c r="AC194">
        <v>8764.1200000000008</v>
      </c>
      <c r="AD194">
        <v>7220.05</v>
      </c>
      <c r="AE194">
        <v>1544.07</v>
      </c>
      <c r="AF194" t="s">
        <v>33</v>
      </c>
      <c r="AG194" t="s">
        <v>34</v>
      </c>
      <c r="AH194" t="str">
        <f t="shared" ref="AH194:AH257" si="55">PROPER(TRIM(AG194))</f>
        <v>Completed</v>
      </c>
      <c r="AI194" t="str">
        <f t="shared" ref="AI194:AI257" si="56">IF(Z194&lt;0,"Invalid - Negative Discount",IF(Z194&gt;1,"Invalid - Discount Above Range","Valid"))</f>
        <v>Valid</v>
      </c>
      <c r="AJ194">
        <f t="shared" ref="AJ194:AJ257" si="57">AC194-AD194</f>
        <v>1544.0700000000006</v>
      </c>
      <c r="AK194" s="12">
        <f t="shared" si="44"/>
        <v>0.17618083732308554</v>
      </c>
      <c r="AL194">
        <f t="shared" si="45"/>
        <v>12</v>
      </c>
      <c r="AM194">
        <f t="shared" si="46"/>
        <v>2024</v>
      </c>
      <c r="AN194" t="str">
        <f t="shared" si="47"/>
        <v>Clean</v>
      </c>
    </row>
    <row r="195" spans="1:40">
      <c r="A195" t="s">
        <v>1040</v>
      </c>
      <c r="B195" s="3" t="s">
        <v>1041</v>
      </c>
      <c r="C195" s="10">
        <v>45466</v>
      </c>
      <c r="D195" s="3" t="s">
        <v>1042</v>
      </c>
      <c r="E195" s="10">
        <v>45471</v>
      </c>
      <c r="F195" s="6" t="str">
        <f t="shared" si="48"/>
        <v>Valid</v>
      </c>
      <c r="G195" s="8">
        <f t="shared" si="49"/>
        <v>5</v>
      </c>
      <c r="H195" s="8" t="str">
        <f t="shared" si="50"/>
        <v>Valid</v>
      </c>
      <c r="I195" t="s">
        <v>1043</v>
      </c>
      <c r="J195" t="s">
        <v>141</v>
      </c>
      <c r="K195" t="s">
        <v>141</v>
      </c>
      <c r="L195" t="s">
        <v>40</v>
      </c>
      <c r="M195" s="3" t="str">
        <f t="shared" si="51"/>
        <v>Small Business</v>
      </c>
      <c r="N195" t="s">
        <v>26</v>
      </c>
      <c r="O195" s="3" t="str">
        <f t="shared" si="52"/>
        <v>North</v>
      </c>
      <c r="P195" t="s">
        <v>153</v>
      </c>
      <c r="Q195" t="s">
        <v>154</v>
      </c>
      <c r="R195" t="s">
        <v>85</v>
      </c>
      <c r="S195" s="3" t="str">
        <f t="shared" si="53"/>
        <v>Technology</v>
      </c>
      <c r="T195" t="s">
        <v>93</v>
      </c>
      <c r="U195" t="s">
        <v>1044</v>
      </c>
      <c r="V195" t="s">
        <v>47</v>
      </c>
      <c r="W195" s="3" t="str">
        <f t="shared" si="54"/>
        <v>Same Day</v>
      </c>
      <c r="X195">
        <v>6</v>
      </c>
      <c r="Y195">
        <v>1956.63</v>
      </c>
      <c r="Z195">
        <v>0.2</v>
      </c>
      <c r="AA195">
        <f t="shared" ref="AA195:AA258" si="58">IF(Z195="",0,Z195)</f>
        <v>0.2</v>
      </c>
      <c r="AB195">
        <f t="shared" ref="AB195:AB258" si="59">X195*Y195*(1-Z195)</f>
        <v>9391.8240000000005</v>
      </c>
      <c r="AC195">
        <v>9391.82</v>
      </c>
      <c r="AD195">
        <v>6013.22</v>
      </c>
      <c r="AE195">
        <v>3378.6</v>
      </c>
      <c r="AF195" t="s">
        <v>123</v>
      </c>
      <c r="AG195" t="s">
        <v>124</v>
      </c>
      <c r="AH195" t="str">
        <f t="shared" si="55"/>
        <v>Returned</v>
      </c>
      <c r="AI195" t="str">
        <f t="shared" si="56"/>
        <v>Valid</v>
      </c>
      <c r="AJ195">
        <f t="shared" si="57"/>
        <v>3378.5999999999995</v>
      </c>
      <c r="AK195" s="12">
        <f t="shared" ref="AK195:AK258" si="60">IF(AB195=0,"",AJ195/AB195)</f>
        <v>0.35973842780699461</v>
      </c>
      <c r="AL195">
        <f t="shared" ref="AL195:AL258" si="61">MONTH(C195)</f>
        <v>6</v>
      </c>
      <c r="AM195">
        <f t="shared" ref="AM195:AM258" si="62">YEAR(C195)</f>
        <v>2024</v>
      </c>
      <c r="AN195" t="str">
        <f t="shared" ref="AN195:AN258" si="63">IF(H195="Invalid Shipping Record","Invalid","Clean")</f>
        <v>Clean</v>
      </c>
    </row>
    <row r="196" spans="1:40">
      <c r="A196" t="s">
        <v>1045</v>
      </c>
      <c r="B196" s="3" t="s">
        <v>1046</v>
      </c>
      <c r="C196" s="10">
        <v>45685</v>
      </c>
      <c r="D196" s="3" t="s">
        <v>1047</v>
      </c>
      <c r="E196" s="10">
        <v>45688</v>
      </c>
      <c r="F196" s="6" t="str">
        <f t="shared" si="48"/>
        <v>Valid</v>
      </c>
      <c r="G196" s="8">
        <f t="shared" si="49"/>
        <v>3</v>
      </c>
      <c r="H196" s="8" t="str">
        <f t="shared" si="50"/>
        <v>Valid</v>
      </c>
      <c r="I196" t="s">
        <v>1048</v>
      </c>
      <c r="J196" t="s">
        <v>141</v>
      </c>
      <c r="K196" t="s">
        <v>141</v>
      </c>
      <c r="L196" t="s">
        <v>25</v>
      </c>
      <c r="M196" s="3" t="str">
        <f t="shared" si="51"/>
        <v>Consumer</v>
      </c>
      <c r="N196" t="s">
        <v>1049</v>
      </c>
      <c r="O196" s="3" t="str">
        <f t="shared" si="52"/>
        <v>West</v>
      </c>
      <c r="P196" t="s">
        <v>73</v>
      </c>
      <c r="Q196" t="s">
        <v>74</v>
      </c>
      <c r="R196" t="s">
        <v>44</v>
      </c>
      <c r="S196" s="3" t="str">
        <f t="shared" si="53"/>
        <v>Furniture</v>
      </c>
      <c r="T196" t="s">
        <v>64</v>
      </c>
      <c r="U196" t="s">
        <v>1050</v>
      </c>
      <c r="V196" t="s">
        <v>55</v>
      </c>
      <c r="W196" s="3" t="str">
        <f t="shared" si="54"/>
        <v>First Class</v>
      </c>
      <c r="X196">
        <v>9</v>
      </c>
      <c r="Y196">
        <v>858.39</v>
      </c>
      <c r="Z196">
        <v>0.05</v>
      </c>
      <c r="AA196">
        <f t="shared" si="58"/>
        <v>0.05</v>
      </c>
      <c r="AB196">
        <f t="shared" si="59"/>
        <v>7339.2344999999996</v>
      </c>
      <c r="AC196">
        <v>7339.23</v>
      </c>
      <c r="AD196">
        <v>5434.12</v>
      </c>
      <c r="AE196">
        <v>1905.11</v>
      </c>
      <c r="AF196" t="s">
        <v>136</v>
      </c>
      <c r="AG196" t="s">
        <v>124</v>
      </c>
      <c r="AH196" t="str">
        <f t="shared" si="55"/>
        <v>Returned</v>
      </c>
      <c r="AI196" t="str">
        <f t="shared" si="56"/>
        <v>Valid</v>
      </c>
      <c r="AJ196">
        <f t="shared" si="57"/>
        <v>1905.1099999999997</v>
      </c>
      <c r="AK196" s="12">
        <f t="shared" si="60"/>
        <v>0.25957884299786305</v>
      </c>
      <c r="AL196">
        <f t="shared" si="61"/>
        <v>1</v>
      </c>
      <c r="AM196">
        <f t="shared" si="62"/>
        <v>2025</v>
      </c>
      <c r="AN196" t="str">
        <f t="shared" si="63"/>
        <v>Clean</v>
      </c>
    </row>
    <row r="197" spans="1:40">
      <c r="A197" t="s">
        <v>1051</v>
      </c>
      <c r="B197" s="3" t="s">
        <v>1052</v>
      </c>
      <c r="C197" s="10">
        <v>45860</v>
      </c>
      <c r="D197" s="3" t="s">
        <v>1053</v>
      </c>
      <c r="E197" s="10">
        <v>45862</v>
      </c>
      <c r="F197" s="6" t="str">
        <f t="shared" si="48"/>
        <v>Valid</v>
      </c>
      <c r="G197" s="8">
        <f t="shared" si="49"/>
        <v>2</v>
      </c>
      <c r="H197" s="8" t="str">
        <f t="shared" si="50"/>
        <v>Valid</v>
      </c>
      <c r="I197" t="s">
        <v>1054</v>
      </c>
      <c r="J197" t="s">
        <v>92</v>
      </c>
      <c r="K197" t="s">
        <v>92</v>
      </c>
      <c r="L197" t="s">
        <v>114</v>
      </c>
      <c r="M197" s="3" t="str">
        <f t="shared" si="51"/>
        <v>Home Office</v>
      </c>
      <c r="N197" t="s">
        <v>61</v>
      </c>
      <c r="O197" s="3" t="str">
        <f t="shared" si="52"/>
        <v>South</v>
      </c>
      <c r="P197" t="s">
        <v>99</v>
      </c>
      <c r="Q197" t="s">
        <v>100</v>
      </c>
      <c r="R197" t="s">
        <v>44</v>
      </c>
      <c r="S197" s="3" t="str">
        <f t="shared" si="53"/>
        <v>Furniture</v>
      </c>
      <c r="T197" t="s">
        <v>64</v>
      </c>
      <c r="U197" t="s">
        <v>1055</v>
      </c>
      <c r="V197" t="s">
        <v>47</v>
      </c>
      <c r="W197" s="3" t="str">
        <f t="shared" si="54"/>
        <v>Same Day</v>
      </c>
      <c r="X197">
        <v>5</v>
      </c>
      <c r="Y197">
        <v>1922.83</v>
      </c>
      <c r="Z197">
        <v>0</v>
      </c>
      <c r="AA197">
        <f t="shared" si="58"/>
        <v>0</v>
      </c>
      <c r="AB197">
        <f t="shared" si="59"/>
        <v>9614.15</v>
      </c>
      <c r="AC197">
        <v>9614.15</v>
      </c>
      <c r="AD197">
        <v>7576.84</v>
      </c>
      <c r="AE197">
        <v>2037.31</v>
      </c>
      <c r="AF197" t="s">
        <v>33</v>
      </c>
      <c r="AG197" t="s">
        <v>34</v>
      </c>
      <c r="AH197" t="str">
        <f t="shared" si="55"/>
        <v>Completed</v>
      </c>
      <c r="AI197" t="str">
        <f t="shared" si="56"/>
        <v>Valid</v>
      </c>
      <c r="AJ197">
        <f t="shared" si="57"/>
        <v>2037.3099999999995</v>
      </c>
      <c r="AK197" s="12">
        <f t="shared" si="60"/>
        <v>0.21190744891644084</v>
      </c>
      <c r="AL197">
        <f t="shared" si="61"/>
        <v>7</v>
      </c>
      <c r="AM197">
        <f t="shared" si="62"/>
        <v>2025</v>
      </c>
      <c r="AN197" t="str">
        <f t="shared" si="63"/>
        <v>Clean</v>
      </c>
    </row>
    <row r="198" spans="1:40">
      <c r="A198" t="s">
        <v>1056</v>
      </c>
      <c r="B198" s="3" t="s">
        <v>1057</v>
      </c>
      <c r="C198" s="10">
        <v>45313</v>
      </c>
      <c r="D198" s="3" t="s">
        <v>1058</v>
      </c>
      <c r="E198" s="10">
        <v>45316</v>
      </c>
      <c r="F198" s="6" t="str">
        <f t="shared" si="48"/>
        <v>Valid</v>
      </c>
      <c r="G198" s="8">
        <f t="shared" si="49"/>
        <v>3</v>
      </c>
      <c r="H198" s="8" t="str">
        <f t="shared" si="50"/>
        <v>Valid</v>
      </c>
      <c r="I198" t="s">
        <v>1059</v>
      </c>
      <c r="J198" t="s">
        <v>365</v>
      </c>
      <c r="K198" t="s">
        <v>365</v>
      </c>
      <c r="L198" t="s">
        <v>114</v>
      </c>
      <c r="M198" s="3" t="str">
        <f t="shared" si="51"/>
        <v>Home Office</v>
      </c>
      <c r="N198" t="s">
        <v>26</v>
      </c>
      <c r="O198" s="3" t="str">
        <f t="shared" si="52"/>
        <v>North</v>
      </c>
      <c r="P198" t="s">
        <v>173</v>
      </c>
      <c r="Q198" t="s">
        <v>174</v>
      </c>
      <c r="R198" t="s">
        <v>29</v>
      </c>
      <c r="S198" s="3" t="str">
        <f t="shared" si="53"/>
        <v>Office Supplies</v>
      </c>
      <c r="T198" t="s">
        <v>155</v>
      </c>
      <c r="U198" t="s">
        <v>1060</v>
      </c>
      <c r="V198" t="s">
        <v>55</v>
      </c>
      <c r="W198" s="3" t="str">
        <f t="shared" si="54"/>
        <v>First Class</v>
      </c>
      <c r="X198">
        <v>3</v>
      </c>
      <c r="Y198">
        <v>1212.03</v>
      </c>
      <c r="Z198">
        <v>0.1</v>
      </c>
      <c r="AA198">
        <f t="shared" si="58"/>
        <v>0.1</v>
      </c>
      <c r="AB198">
        <f t="shared" si="59"/>
        <v>3272.4810000000002</v>
      </c>
      <c r="AC198">
        <v>3272.48</v>
      </c>
      <c r="AD198">
        <v>2517.44</v>
      </c>
      <c r="AE198">
        <v>755.04</v>
      </c>
      <c r="AF198" t="s">
        <v>33</v>
      </c>
      <c r="AG198" t="s">
        <v>34</v>
      </c>
      <c r="AH198" t="str">
        <f t="shared" si="55"/>
        <v>Completed</v>
      </c>
      <c r="AI198" t="str">
        <f t="shared" si="56"/>
        <v>Valid</v>
      </c>
      <c r="AJ198">
        <f t="shared" si="57"/>
        <v>755.04</v>
      </c>
      <c r="AK198" s="12">
        <f t="shared" si="60"/>
        <v>0.23072402864982253</v>
      </c>
      <c r="AL198">
        <f t="shared" si="61"/>
        <v>1</v>
      </c>
      <c r="AM198">
        <f t="shared" si="62"/>
        <v>2024</v>
      </c>
      <c r="AN198" t="str">
        <f t="shared" si="63"/>
        <v>Clean</v>
      </c>
    </row>
    <row r="199" spans="1:40">
      <c r="A199" t="s">
        <v>1061</v>
      </c>
      <c r="B199" s="3" t="s">
        <v>368</v>
      </c>
      <c r="C199" s="10">
        <v>45747</v>
      </c>
      <c r="D199" s="3" t="s">
        <v>1062</v>
      </c>
      <c r="E199" s="10">
        <v>45754</v>
      </c>
      <c r="F199" s="6" t="str">
        <f t="shared" si="48"/>
        <v>Valid</v>
      </c>
      <c r="G199" s="8">
        <f t="shared" si="49"/>
        <v>7</v>
      </c>
      <c r="H199" s="8" t="str">
        <f t="shared" si="50"/>
        <v>Valid</v>
      </c>
      <c r="I199" t="s">
        <v>563</v>
      </c>
      <c r="J199" t="s">
        <v>147</v>
      </c>
      <c r="K199" t="s">
        <v>147</v>
      </c>
      <c r="L199" t="s">
        <v>700</v>
      </c>
      <c r="M199" s="3" t="str">
        <f t="shared" si="51"/>
        <v>Small Business</v>
      </c>
      <c r="N199" t="s">
        <v>41</v>
      </c>
      <c r="O199" s="3" t="str">
        <f t="shared" si="52"/>
        <v>East</v>
      </c>
      <c r="P199" t="s">
        <v>185</v>
      </c>
      <c r="Q199" t="s">
        <v>186</v>
      </c>
      <c r="R199" t="s">
        <v>29</v>
      </c>
      <c r="S199" s="3" t="str">
        <f t="shared" si="53"/>
        <v>Office Supplies</v>
      </c>
      <c r="T199" t="s">
        <v>155</v>
      </c>
      <c r="U199" t="s">
        <v>1063</v>
      </c>
      <c r="V199" t="s">
        <v>32</v>
      </c>
      <c r="W199" s="3" t="str">
        <f t="shared" si="54"/>
        <v>Second Class</v>
      </c>
      <c r="X199">
        <v>5</v>
      </c>
      <c r="Y199">
        <v>4096.4399999999996</v>
      </c>
      <c r="Z199">
        <v>0.15</v>
      </c>
      <c r="AA199">
        <f t="shared" si="58"/>
        <v>0.15</v>
      </c>
      <c r="AB199">
        <f t="shared" si="59"/>
        <v>17409.869999999995</v>
      </c>
      <c r="AC199">
        <v>17409.87</v>
      </c>
      <c r="AD199">
        <v>14076.25</v>
      </c>
      <c r="AE199">
        <v>3333.62</v>
      </c>
      <c r="AF199" t="s">
        <v>33</v>
      </c>
      <c r="AG199" t="s">
        <v>34</v>
      </c>
      <c r="AH199" t="str">
        <f t="shared" si="55"/>
        <v>Completed</v>
      </c>
      <c r="AI199" t="str">
        <f t="shared" si="56"/>
        <v>Valid</v>
      </c>
      <c r="AJ199">
        <f t="shared" si="57"/>
        <v>3333.619999999999</v>
      </c>
      <c r="AK199" s="12">
        <f t="shared" si="60"/>
        <v>0.19147874165631334</v>
      </c>
      <c r="AL199">
        <f t="shared" si="61"/>
        <v>3</v>
      </c>
      <c r="AM199">
        <f t="shared" si="62"/>
        <v>2025</v>
      </c>
      <c r="AN199" t="str">
        <f t="shared" si="63"/>
        <v>Clean</v>
      </c>
    </row>
    <row r="200" spans="1:40">
      <c r="A200" t="s">
        <v>1064</v>
      </c>
      <c r="B200" s="3" t="s">
        <v>1065</v>
      </c>
      <c r="C200" s="10">
        <v>45448</v>
      </c>
      <c r="D200" s="3" t="s">
        <v>1066</v>
      </c>
      <c r="E200" s="10">
        <v>45449</v>
      </c>
      <c r="F200" s="6" t="str">
        <f t="shared" si="48"/>
        <v>Valid</v>
      </c>
      <c r="G200" s="8">
        <f t="shared" si="49"/>
        <v>1</v>
      </c>
      <c r="H200" s="8" t="str">
        <f t="shared" si="50"/>
        <v>Valid</v>
      </c>
      <c r="I200" t="s">
        <v>1067</v>
      </c>
      <c r="J200" t="s">
        <v>167</v>
      </c>
      <c r="K200" t="s">
        <v>167</v>
      </c>
      <c r="L200" t="s">
        <v>25</v>
      </c>
      <c r="M200" s="3" t="str">
        <f t="shared" si="51"/>
        <v>Consumer</v>
      </c>
      <c r="N200" t="s">
        <v>72</v>
      </c>
      <c r="O200" s="3" t="str">
        <f t="shared" si="52"/>
        <v>West</v>
      </c>
      <c r="P200" t="s">
        <v>234</v>
      </c>
      <c r="Q200" t="s">
        <v>235</v>
      </c>
      <c r="R200" t="s">
        <v>29</v>
      </c>
      <c r="S200" s="3" t="str">
        <f t="shared" si="53"/>
        <v>Office Supplies</v>
      </c>
      <c r="T200" t="s">
        <v>53</v>
      </c>
      <c r="U200" t="s">
        <v>1068</v>
      </c>
      <c r="V200" t="s">
        <v>32</v>
      </c>
      <c r="W200" s="3" t="str">
        <f t="shared" si="54"/>
        <v>Second Class</v>
      </c>
      <c r="X200">
        <v>1</v>
      </c>
      <c r="Y200">
        <v>1184.58</v>
      </c>
      <c r="Z200">
        <v>0.05</v>
      </c>
      <c r="AA200">
        <f t="shared" si="58"/>
        <v>0.05</v>
      </c>
      <c r="AB200">
        <f t="shared" si="59"/>
        <v>1125.3509999999999</v>
      </c>
      <c r="AC200">
        <v>1125.3499999999999</v>
      </c>
      <c r="AD200">
        <v>676.97</v>
      </c>
      <c r="AE200">
        <v>448.38</v>
      </c>
      <c r="AF200" t="s">
        <v>199</v>
      </c>
      <c r="AG200" t="s">
        <v>77</v>
      </c>
      <c r="AH200" t="str">
        <f t="shared" si="55"/>
        <v>Cancelled</v>
      </c>
      <c r="AI200" t="str">
        <f t="shared" si="56"/>
        <v>Valid</v>
      </c>
      <c r="AJ200">
        <f t="shared" si="57"/>
        <v>448.37999999999988</v>
      </c>
      <c r="AK200" s="12">
        <f t="shared" si="60"/>
        <v>0.39843568806532353</v>
      </c>
      <c r="AL200">
        <f t="shared" si="61"/>
        <v>6</v>
      </c>
      <c r="AM200">
        <f t="shared" si="62"/>
        <v>2024</v>
      </c>
      <c r="AN200" t="str">
        <f t="shared" si="63"/>
        <v>Clean</v>
      </c>
    </row>
    <row r="201" spans="1:40">
      <c r="A201" t="s">
        <v>1069</v>
      </c>
      <c r="B201" s="3" t="s">
        <v>302</v>
      </c>
      <c r="C201" s="10">
        <v>45363</v>
      </c>
      <c r="D201" s="3" t="s">
        <v>1070</v>
      </c>
      <c r="E201" s="10">
        <v>45363</v>
      </c>
      <c r="F201" s="6" t="str">
        <f t="shared" si="48"/>
        <v>Valid</v>
      </c>
      <c r="G201" s="8">
        <f t="shared" si="49"/>
        <v>0</v>
      </c>
      <c r="H201" s="8" t="str">
        <f t="shared" si="50"/>
        <v>Valid</v>
      </c>
      <c r="I201" t="s">
        <v>1071</v>
      </c>
      <c r="J201" t="s">
        <v>147</v>
      </c>
      <c r="K201" t="s">
        <v>147</v>
      </c>
      <c r="L201" t="s">
        <v>114</v>
      </c>
      <c r="M201" s="3" t="str">
        <f t="shared" si="51"/>
        <v>Home Office</v>
      </c>
      <c r="N201" t="s">
        <v>41</v>
      </c>
      <c r="O201" s="3" t="str">
        <f t="shared" si="52"/>
        <v>East</v>
      </c>
      <c r="P201" t="s">
        <v>185</v>
      </c>
      <c r="Q201" t="s">
        <v>186</v>
      </c>
      <c r="R201" t="s">
        <v>85</v>
      </c>
      <c r="S201" s="3" t="str">
        <f t="shared" si="53"/>
        <v>Technology</v>
      </c>
      <c r="T201" t="s">
        <v>381</v>
      </c>
      <c r="U201" t="s">
        <v>1072</v>
      </c>
      <c r="W201" s="3" t="str">
        <f t="shared" si="54"/>
        <v>Unknown</v>
      </c>
      <c r="X201">
        <v>6</v>
      </c>
      <c r="Y201">
        <v>2185.58</v>
      </c>
      <c r="Z201">
        <v>0.25</v>
      </c>
      <c r="AA201">
        <f t="shared" si="58"/>
        <v>0.25</v>
      </c>
      <c r="AB201">
        <f t="shared" si="59"/>
        <v>9835.11</v>
      </c>
      <c r="AC201">
        <v>9835.11</v>
      </c>
      <c r="AD201">
        <v>5437.64</v>
      </c>
      <c r="AE201">
        <v>4397.47</v>
      </c>
      <c r="AF201" t="s">
        <v>33</v>
      </c>
      <c r="AG201" t="s">
        <v>34</v>
      </c>
      <c r="AH201" t="str">
        <f t="shared" si="55"/>
        <v>Completed</v>
      </c>
      <c r="AI201" t="str">
        <f t="shared" si="56"/>
        <v>Valid</v>
      </c>
      <c r="AJ201">
        <f t="shared" si="57"/>
        <v>4397.47</v>
      </c>
      <c r="AK201" s="12">
        <f t="shared" si="60"/>
        <v>0.44711955433136996</v>
      </c>
      <c r="AL201">
        <f t="shared" si="61"/>
        <v>3</v>
      </c>
      <c r="AM201">
        <f t="shared" si="62"/>
        <v>2024</v>
      </c>
      <c r="AN201" t="str">
        <f t="shared" si="63"/>
        <v>Clean</v>
      </c>
    </row>
    <row r="202" spans="1:40">
      <c r="A202" t="s">
        <v>1073</v>
      </c>
      <c r="B202" s="3" t="s">
        <v>996</v>
      </c>
      <c r="C202" s="10">
        <v>45835</v>
      </c>
      <c r="D202" s="3" t="s">
        <v>1074</v>
      </c>
      <c r="E202" s="10">
        <v>45843</v>
      </c>
      <c r="F202" s="6" t="str">
        <f t="shared" si="48"/>
        <v>Valid</v>
      </c>
      <c r="G202" s="8">
        <f t="shared" si="49"/>
        <v>8</v>
      </c>
      <c r="H202" s="8" t="str">
        <f t="shared" si="50"/>
        <v>Valid</v>
      </c>
      <c r="I202" t="s">
        <v>1075</v>
      </c>
      <c r="J202" t="s">
        <v>141</v>
      </c>
      <c r="K202" t="s">
        <v>141</v>
      </c>
      <c r="L202" t="s">
        <v>40</v>
      </c>
      <c r="M202" s="3" t="str">
        <f t="shared" si="51"/>
        <v>Small Business</v>
      </c>
      <c r="N202" t="s">
        <v>26</v>
      </c>
      <c r="O202" s="3" t="str">
        <f t="shared" si="52"/>
        <v>North</v>
      </c>
      <c r="P202" t="s">
        <v>27</v>
      </c>
      <c r="Q202" t="s">
        <v>28</v>
      </c>
      <c r="R202" t="s">
        <v>85</v>
      </c>
      <c r="S202" s="3" t="str">
        <f t="shared" si="53"/>
        <v>Technology</v>
      </c>
      <c r="T202" t="s">
        <v>93</v>
      </c>
      <c r="U202" t="s">
        <v>1076</v>
      </c>
      <c r="V202" t="s">
        <v>55</v>
      </c>
      <c r="W202" s="3" t="str">
        <f t="shared" si="54"/>
        <v>First Class</v>
      </c>
      <c r="X202">
        <v>5</v>
      </c>
      <c r="Y202">
        <v>2868.44</v>
      </c>
      <c r="Z202">
        <v>0.1</v>
      </c>
      <c r="AA202">
        <f t="shared" si="58"/>
        <v>0.1</v>
      </c>
      <c r="AB202">
        <f t="shared" si="59"/>
        <v>12907.980000000001</v>
      </c>
      <c r="AC202">
        <v>12907.98</v>
      </c>
      <c r="AD202">
        <v>9197.08</v>
      </c>
      <c r="AE202">
        <v>3710.9</v>
      </c>
      <c r="AF202" t="s">
        <v>136</v>
      </c>
      <c r="AG202" t="s">
        <v>77</v>
      </c>
      <c r="AH202" t="str">
        <f t="shared" si="55"/>
        <v>Cancelled</v>
      </c>
      <c r="AI202" t="str">
        <f t="shared" si="56"/>
        <v>Valid</v>
      </c>
      <c r="AJ202">
        <f t="shared" si="57"/>
        <v>3710.8999999999996</v>
      </c>
      <c r="AK202" s="12">
        <f t="shared" si="60"/>
        <v>0.28748882474252357</v>
      </c>
      <c r="AL202">
        <f t="shared" si="61"/>
        <v>6</v>
      </c>
      <c r="AM202">
        <f t="shared" si="62"/>
        <v>2025</v>
      </c>
      <c r="AN202" t="str">
        <f t="shared" si="63"/>
        <v>Clean</v>
      </c>
    </row>
    <row r="203" spans="1:40">
      <c r="A203" t="s">
        <v>1077</v>
      </c>
      <c r="B203" s="3" t="s">
        <v>1078</v>
      </c>
      <c r="C203" s="10">
        <v>45864</v>
      </c>
      <c r="D203" s="3" t="s">
        <v>1079</v>
      </c>
      <c r="E203" s="10">
        <v>45872</v>
      </c>
      <c r="F203" s="6" t="str">
        <f t="shared" si="48"/>
        <v>Valid</v>
      </c>
      <c r="G203" s="8">
        <f t="shared" si="49"/>
        <v>8</v>
      </c>
      <c r="H203" s="8" t="str">
        <f t="shared" si="50"/>
        <v>Valid</v>
      </c>
      <c r="I203" t="s">
        <v>1080</v>
      </c>
      <c r="J203" t="s">
        <v>82</v>
      </c>
      <c r="K203" t="s">
        <v>82</v>
      </c>
      <c r="L203" t="s">
        <v>25</v>
      </c>
      <c r="M203" s="3" t="str">
        <f t="shared" si="51"/>
        <v>Consumer</v>
      </c>
      <c r="N203" t="s">
        <v>72</v>
      </c>
      <c r="O203" s="3" t="str">
        <f t="shared" si="52"/>
        <v>West</v>
      </c>
      <c r="P203" t="s">
        <v>83</v>
      </c>
      <c r="Q203" t="s">
        <v>84</v>
      </c>
      <c r="R203" t="s">
        <v>29</v>
      </c>
      <c r="S203" s="3" t="str">
        <f t="shared" si="53"/>
        <v>Office Supplies</v>
      </c>
      <c r="T203" t="s">
        <v>108</v>
      </c>
      <c r="U203" t="s">
        <v>1081</v>
      </c>
      <c r="V203" t="s">
        <v>32</v>
      </c>
      <c r="W203" s="3" t="str">
        <f t="shared" si="54"/>
        <v>Second Class</v>
      </c>
      <c r="X203">
        <v>2</v>
      </c>
      <c r="Y203">
        <v>2503.5300000000002</v>
      </c>
      <c r="Z203">
        <v>-0.16</v>
      </c>
      <c r="AA203">
        <f t="shared" si="58"/>
        <v>-0.16</v>
      </c>
      <c r="AB203">
        <f t="shared" si="59"/>
        <v>5808.1895999999997</v>
      </c>
      <c r="AC203">
        <v>4756.71</v>
      </c>
      <c r="AD203">
        <v>2954.86</v>
      </c>
      <c r="AE203">
        <v>1801.85</v>
      </c>
      <c r="AF203" t="s">
        <v>123</v>
      </c>
      <c r="AG203" t="s">
        <v>77</v>
      </c>
      <c r="AH203" t="str">
        <f t="shared" si="55"/>
        <v>Cancelled</v>
      </c>
      <c r="AI203" t="str">
        <f t="shared" si="56"/>
        <v>Invalid - Negative Discount</v>
      </c>
      <c r="AJ203">
        <f t="shared" si="57"/>
        <v>1801.85</v>
      </c>
      <c r="AK203" s="12">
        <f t="shared" si="60"/>
        <v>0.31022575433832256</v>
      </c>
      <c r="AL203">
        <f t="shared" si="61"/>
        <v>7</v>
      </c>
      <c r="AM203">
        <f t="shared" si="62"/>
        <v>2025</v>
      </c>
      <c r="AN203" t="str">
        <f t="shared" si="63"/>
        <v>Clean</v>
      </c>
    </row>
    <row r="204" spans="1:40">
      <c r="A204" t="s">
        <v>1082</v>
      </c>
      <c r="B204" s="3" t="s">
        <v>1083</v>
      </c>
      <c r="C204" s="10">
        <v>45744</v>
      </c>
      <c r="D204" s="3" t="s">
        <v>1084</v>
      </c>
      <c r="E204" s="10">
        <v>45744</v>
      </c>
      <c r="F204" s="6" t="str">
        <f t="shared" si="48"/>
        <v>Valid</v>
      </c>
      <c r="G204" s="8">
        <f t="shared" si="49"/>
        <v>0</v>
      </c>
      <c r="H204" s="8" t="str">
        <f t="shared" si="50"/>
        <v>Valid</v>
      </c>
      <c r="I204" t="s">
        <v>1085</v>
      </c>
      <c r="J204" t="s">
        <v>167</v>
      </c>
      <c r="K204" t="s">
        <v>167</v>
      </c>
      <c r="L204" t="s">
        <v>107</v>
      </c>
      <c r="M204" s="3" t="str">
        <f t="shared" si="51"/>
        <v>Corporate</v>
      </c>
      <c r="N204" t="s">
        <v>72</v>
      </c>
      <c r="O204" s="3" t="str">
        <f t="shared" si="52"/>
        <v>West</v>
      </c>
      <c r="P204" t="s">
        <v>248</v>
      </c>
      <c r="Q204" t="s">
        <v>249</v>
      </c>
      <c r="R204" t="s">
        <v>85</v>
      </c>
      <c r="S204" s="3" t="str">
        <f t="shared" si="53"/>
        <v>Technology</v>
      </c>
      <c r="T204" t="s">
        <v>86</v>
      </c>
      <c r="U204" t="s">
        <v>1086</v>
      </c>
      <c r="V204" t="s">
        <v>66</v>
      </c>
      <c r="W204" s="3" t="str">
        <f t="shared" si="54"/>
        <v>Standard Class</v>
      </c>
      <c r="X204">
        <v>8</v>
      </c>
      <c r="Y204">
        <v>1740.94</v>
      </c>
      <c r="Z204">
        <v>0.05</v>
      </c>
      <c r="AA204">
        <f t="shared" si="58"/>
        <v>0.05</v>
      </c>
      <c r="AB204">
        <f t="shared" si="59"/>
        <v>13231.144</v>
      </c>
      <c r="AC204">
        <v>13231.14</v>
      </c>
      <c r="AD204">
        <v>11290.06</v>
      </c>
      <c r="AE204">
        <v>1941.08</v>
      </c>
      <c r="AF204" t="s">
        <v>33</v>
      </c>
      <c r="AG204" t="s">
        <v>34</v>
      </c>
      <c r="AH204" t="str">
        <f t="shared" si="55"/>
        <v>Completed</v>
      </c>
      <c r="AI204" t="str">
        <f t="shared" si="56"/>
        <v>Valid</v>
      </c>
      <c r="AJ204">
        <f t="shared" si="57"/>
        <v>1941.08</v>
      </c>
      <c r="AK204" s="12">
        <f t="shared" si="60"/>
        <v>0.14670537936855649</v>
      </c>
      <c r="AL204">
        <f t="shared" si="61"/>
        <v>3</v>
      </c>
      <c r="AM204">
        <f t="shared" si="62"/>
        <v>2025</v>
      </c>
      <c r="AN204" t="str">
        <f t="shared" si="63"/>
        <v>Clean</v>
      </c>
    </row>
    <row r="205" spans="1:40">
      <c r="A205" t="s">
        <v>1087</v>
      </c>
      <c r="B205" s="3" t="s">
        <v>1088</v>
      </c>
      <c r="C205" s="10">
        <v>45379</v>
      </c>
      <c r="D205" s="3" t="s">
        <v>1089</v>
      </c>
      <c r="E205" s="10">
        <v>45381</v>
      </c>
      <c r="F205" s="6" t="str">
        <f t="shared" si="48"/>
        <v>Valid</v>
      </c>
      <c r="G205" s="8">
        <f t="shared" si="49"/>
        <v>2</v>
      </c>
      <c r="H205" s="8" t="str">
        <f t="shared" si="50"/>
        <v>Valid</v>
      </c>
      <c r="I205" t="s">
        <v>1090</v>
      </c>
      <c r="J205" t="s">
        <v>167</v>
      </c>
      <c r="K205" t="s">
        <v>167</v>
      </c>
      <c r="L205" t="s">
        <v>107</v>
      </c>
      <c r="M205" s="3" t="str">
        <f t="shared" si="51"/>
        <v>Corporate</v>
      </c>
      <c r="N205" t="s">
        <v>72</v>
      </c>
      <c r="O205" s="3" t="str">
        <f t="shared" si="52"/>
        <v>West</v>
      </c>
      <c r="P205" t="s">
        <v>27</v>
      </c>
      <c r="Q205" t="s">
        <v>134</v>
      </c>
      <c r="R205" t="s">
        <v>85</v>
      </c>
      <c r="S205" s="3" t="str">
        <f t="shared" si="53"/>
        <v>Technology</v>
      </c>
      <c r="T205" t="s">
        <v>86</v>
      </c>
      <c r="U205" t="s">
        <v>1091</v>
      </c>
      <c r="V205" t="s">
        <v>32</v>
      </c>
      <c r="W205" s="3" t="str">
        <f t="shared" si="54"/>
        <v>Second Class</v>
      </c>
      <c r="X205">
        <v>1</v>
      </c>
      <c r="Y205">
        <v>570.34</v>
      </c>
      <c r="Z205">
        <v>0.15</v>
      </c>
      <c r="AA205">
        <f t="shared" si="58"/>
        <v>0.15</v>
      </c>
      <c r="AB205">
        <f t="shared" si="59"/>
        <v>484.78899999999999</v>
      </c>
      <c r="AC205">
        <v>484.79</v>
      </c>
      <c r="AD205">
        <v>333.54</v>
      </c>
      <c r="AE205">
        <v>151.25</v>
      </c>
      <c r="AF205" t="s">
        <v>33</v>
      </c>
      <c r="AG205" t="s">
        <v>34</v>
      </c>
      <c r="AH205" t="str">
        <f t="shared" si="55"/>
        <v>Completed</v>
      </c>
      <c r="AI205" t="str">
        <f t="shared" si="56"/>
        <v>Valid</v>
      </c>
      <c r="AJ205">
        <f t="shared" si="57"/>
        <v>151.25</v>
      </c>
      <c r="AK205" s="12">
        <f t="shared" si="60"/>
        <v>0.31199140244518753</v>
      </c>
      <c r="AL205">
        <f t="shared" si="61"/>
        <v>3</v>
      </c>
      <c r="AM205">
        <f t="shared" si="62"/>
        <v>2024</v>
      </c>
      <c r="AN205" t="str">
        <f t="shared" si="63"/>
        <v>Clean</v>
      </c>
    </row>
    <row r="206" spans="1:40">
      <c r="A206" t="s">
        <v>1092</v>
      </c>
      <c r="B206" s="3" t="s">
        <v>1093</v>
      </c>
      <c r="C206" s="10">
        <v>45858</v>
      </c>
      <c r="D206" s="3" t="s">
        <v>1094</v>
      </c>
      <c r="E206" s="10">
        <v>45861</v>
      </c>
      <c r="F206" s="6" t="str">
        <f t="shared" si="48"/>
        <v>Valid</v>
      </c>
      <c r="G206" s="8">
        <f t="shared" si="49"/>
        <v>3</v>
      </c>
      <c r="H206" s="8" t="str">
        <f t="shared" si="50"/>
        <v>Valid</v>
      </c>
      <c r="I206" t="s">
        <v>1095</v>
      </c>
      <c r="J206" t="s">
        <v>39</v>
      </c>
      <c r="K206" t="s">
        <v>39</v>
      </c>
      <c r="L206" t="s">
        <v>114</v>
      </c>
      <c r="M206" s="3" t="str">
        <f t="shared" si="51"/>
        <v>Home Office</v>
      </c>
      <c r="N206" t="s">
        <v>41</v>
      </c>
      <c r="O206" s="3" t="str">
        <f t="shared" si="52"/>
        <v>East</v>
      </c>
      <c r="P206" t="s">
        <v>120</v>
      </c>
      <c r="Q206" t="s">
        <v>121</v>
      </c>
      <c r="R206" t="s">
        <v>44</v>
      </c>
      <c r="S206" s="3" t="str">
        <f t="shared" si="53"/>
        <v>Furniture</v>
      </c>
      <c r="T206" t="s">
        <v>45</v>
      </c>
      <c r="U206" t="s">
        <v>1096</v>
      </c>
      <c r="V206" t="s">
        <v>32</v>
      </c>
      <c r="W206" s="3" t="str">
        <f t="shared" si="54"/>
        <v>Second Class</v>
      </c>
      <c r="X206">
        <v>4</v>
      </c>
      <c r="Y206">
        <v>477.69</v>
      </c>
      <c r="Z206">
        <v>0.15</v>
      </c>
      <c r="AA206">
        <f t="shared" si="58"/>
        <v>0.15</v>
      </c>
      <c r="AB206">
        <f t="shared" si="59"/>
        <v>1624.146</v>
      </c>
      <c r="AC206">
        <v>1624.15</v>
      </c>
      <c r="AD206">
        <v>1217.99</v>
      </c>
      <c r="AE206">
        <v>406.16</v>
      </c>
      <c r="AF206" t="s">
        <v>33</v>
      </c>
      <c r="AG206" t="s">
        <v>34</v>
      </c>
      <c r="AH206" t="str">
        <f t="shared" si="55"/>
        <v>Completed</v>
      </c>
      <c r="AI206" t="str">
        <f t="shared" si="56"/>
        <v>Valid</v>
      </c>
      <c r="AJ206">
        <f t="shared" si="57"/>
        <v>406.16000000000008</v>
      </c>
      <c r="AK206" s="12">
        <f t="shared" si="60"/>
        <v>0.25007603996192468</v>
      </c>
      <c r="AL206">
        <f t="shared" si="61"/>
        <v>7</v>
      </c>
      <c r="AM206">
        <f t="shared" si="62"/>
        <v>2025</v>
      </c>
      <c r="AN206" t="str">
        <f t="shared" si="63"/>
        <v>Clean</v>
      </c>
    </row>
    <row r="207" spans="1:40">
      <c r="A207" t="s">
        <v>1097</v>
      </c>
      <c r="B207" s="3" t="s">
        <v>1098</v>
      </c>
      <c r="C207" s="10">
        <v>45768</v>
      </c>
      <c r="D207" s="3" t="s">
        <v>1099</v>
      </c>
      <c r="E207" s="10">
        <v>45773</v>
      </c>
      <c r="F207" s="6" t="str">
        <f t="shared" si="48"/>
        <v>Valid</v>
      </c>
      <c r="G207" s="8">
        <f t="shared" si="49"/>
        <v>5</v>
      </c>
      <c r="H207" s="8" t="str">
        <f t="shared" si="50"/>
        <v>Valid</v>
      </c>
      <c r="I207" t="s">
        <v>1100</v>
      </c>
      <c r="J207" t="s">
        <v>71</v>
      </c>
      <c r="K207" t="s">
        <v>71</v>
      </c>
      <c r="L207" t="s">
        <v>25</v>
      </c>
      <c r="M207" s="3" t="str">
        <f t="shared" si="51"/>
        <v>Consumer</v>
      </c>
      <c r="N207" t="s">
        <v>72</v>
      </c>
      <c r="O207" s="3" t="str">
        <f t="shared" si="52"/>
        <v>West</v>
      </c>
      <c r="P207" t="s">
        <v>73</v>
      </c>
      <c r="Q207" t="s">
        <v>74</v>
      </c>
      <c r="R207" t="s">
        <v>917</v>
      </c>
      <c r="S207" s="3" t="str">
        <f t="shared" si="53"/>
        <v>Office Supplies</v>
      </c>
      <c r="T207" t="s">
        <v>108</v>
      </c>
      <c r="U207" t="s">
        <v>1101</v>
      </c>
      <c r="V207" t="s">
        <v>47</v>
      </c>
      <c r="W207" s="3" t="str">
        <f t="shared" si="54"/>
        <v>Same Day</v>
      </c>
      <c r="X207">
        <v>6</v>
      </c>
      <c r="Y207">
        <v>873.59</v>
      </c>
      <c r="Z207">
        <v>0.2</v>
      </c>
      <c r="AA207">
        <f t="shared" si="58"/>
        <v>0.2</v>
      </c>
      <c r="AB207">
        <f t="shared" si="59"/>
        <v>4193.232</v>
      </c>
      <c r="AC207">
        <v>4193.2299999999996</v>
      </c>
      <c r="AD207">
        <v>3329.99</v>
      </c>
      <c r="AE207">
        <v>863.24</v>
      </c>
      <c r="AF207" t="s">
        <v>33</v>
      </c>
      <c r="AG207" t="s">
        <v>34</v>
      </c>
      <c r="AH207" t="str">
        <f t="shared" si="55"/>
        <v>Completed</v>
      </c>
      <c r="AI207" t="str">
        <f t="shared" si="56"/>
        <v>Valid</v>
      </c>
      <c r="AJ207">
        <f t="shared" si="57"/>
        <v>863.23999999999978</v>
      </c>
      <c r="AK207" s="12">
        <f t="shared" si="60"/>
        <v>0.20586507018929545</v>
      </c>
      <c r="AL207">
        <f t="shared" si="61"/>
        <v>4</v>
      </c>
      <c r="AM207">
        <f t="shared" si="62"/>
        <v>2025</v>
      </c>
      <c r="AN207" t="str">
        <f t="shared" si="63"/>
        <v>Clean</v>
      </c>
    </row>
    <row r="208" spans="1:40">
      <c r="A208" t="s">
        <v>1102</v>
      </c>
      <c r="B208" s="3" t="s">
        <v>1103</v>
      </c>
      <c r="C208" s="10">
        <v>45795</v>
      </c>
      <c r="D208" s="3" t="s">
        <v>117</v>
      </c>
      <c r="E208" s="10">
        <v>45797</v>
      </c>
      <c r="F208" s="6" t="str">
        <f t="shared" si="48"/>
        <v>Valid</v>
      </c>
      <c r="G208" s="8">
        <f t="shared" si="49"/>
        <v>2</v>
      </c>
      <c r="H208" s="8" t="str">
        <f t="shared" si="50"/>
        <v>Valid</v>
      </c>
      <c r="I208" t="s">
        <v>1104</v>
      </c>
      <c r="J208" t="s">
        <v>209</v>
      </c>
      <c r="K208" t="s">
        <v>209</v>
      </c>
      <c r="L208" t="s">
        <v>40</v>
      </c>
      <c r="M208" s="3" t="str">
        <f t="shared" si="51"/>
        <v>Small Business</v>
      </c>
      <c r="N208" t="s">
        <v>26</v>
      </c>
      <c r="O208" s="3" t="str">
        <f t="shared" si="52"/>
        <v>North</v>
      </c>
      <c r="P208" t="s">
        <v>173</v>
      </c>
      <c r="Q208" t="s">
        <v>174</v>
      </c>
      <c r="R208" t="s">
        <v>44</v>
      </c>
      <c r="S208" s="3" t="str">
        <f t="shared" si="53"/>
        <v>Furniture</v>
      </c>
      <c r="T208" t="s">
        <v>64</v>
      </c>
      <c r="U208" t="s">
        <v>1105</v>
      </c>
      <c r="V208" t="s">
        <v>55</v>
      </c>
      <c r="W208" s="3" t="str">
        <f t="shared" si="54"/>
        <v>First Class</v>
      </c>
      <c r="X208">
        <v>2</v>
      </c>
      <c r="Y208">
        <v>215.13</v>
      </c>
      <c r="Z208">
        <v>0</v>
      </c>
      <c r="AA208">
        <f t="shared" si="58"/>
        <v>0</v>
      </c>
      <c r="AB208">
        <f t="shared" si="59"/>
        <v>430.26</v>
      </c>
      <c r="AC208">
        <v>430.26</v>
      </c>
      <c r="AD208">
        <v>286.38</v>
      </c>
      <c r="AE208">
        <v>143.88</v>
      </c>
      <c r="AF208" t="s">
        <v>33</v>
      </c>
      <c r="AG208" t="s">
        <v>34</v>
      </c>
      <c r="AH208" t="str">
        <f t="shared" si="55"/>
        <v>Completed</v>
      </c>
      <c r="AI208" t="str">
        <f t="shared" si="56"/>
        <v>Valid</v>
      </c>
      <c r="AJ208">
        <f t="shared" si="57"/>
        <v>143.88</v>
      </c>
      <c r="AK208" s="12">
        <f t="shared" si="60"/>
        <v>0.33440245432994004</v>
      </c>
      <c r="AL208">
        <f t="shared" si="61"/>
        <v>5</v>
      </c>
      <c r="AM208">
        <f t="shared" si="62"/>
        <v>2025</v>
      </c>
      <c r="AN208" t="str">
        <f t="shared" si="63"/>
        <v>Clean</v>
      </c>
    </row>
    <row r="209" spans="1:40">
      <c r="A209" t="s">
        <v>1106</v>
      </c>
      <c r="B209" s="3" t="s">
        <v>1107</v>
      </c>
      <c r="C209" s="10">
        <v>45483</v>
      </c>
      <c r="D209" s="3" t="s">
        <v>1108</v>
      </c>
      <c r="E209" s="10">
        <v>45489</v>
      </c>
      <c r="F209" s="6" t="str">
        <f t="shared" si="48"/>
        <v>Valid</v>
      </c>
      <c r="G209" s="8">
        <f t="shared" si="49"/>
        <v>6</v>
      </c>
      <c r="H209" s="8" t="str">
        <f t="shared" si="50"/>
        <v>Valid</v>
      </c>
      <c r="I209" t="s">
        <v>1109</v>
      </c>
      <c r="J209" t="s">
        <v>161</v>
      </c>
      <c r="K209" t="s">
        <v>161</v>
      </c>
      <c r="L209" t="s">
        <v>114</v>
      </c>
      <c r="M209" s="3" t="str">
        <f t="shared" si="51"/>
        <v>Home Office</v>
      </c>
      <c r="N209" t="s">
        <v>72</v>
      </c>
      <c r="O209" s="3" t="str">
        <f t="shared" si="52"/>
        <v>West</v>
      </c>
      <c r="P209" t="s">
        <v>248</v>
      </c>
      <c r="Q209" t="s">
        <v>249</v>
      </c>
      <c r="R209" t="s">
        <v>44</v>
      </c>
      <c r="S209" s="3" t="str">
        <f t="shared" si="53"/>
        <v>Furniture</v>
      </c>
      <c r="T209" t="s">
        <v>203</v>
      </c>
      <c r="U209" t="s">
        <v>1110</v>
      </c>
      <c r="V209" t="s">
        <v>32</v>
      </c>
      <c r="W209" s="3" t="str">
        <f t="shared" si="54"/>
        <v>Second Class</v>
      </c>
      <c r="X209">
        <v>2</v>
      </c>
      <c r="Y209">
        <v>1095.45</v>
      </c>
      <c r="Z209">
        <v>0.2</v>
      </c>
      <c r="AA209">
        <f t="shared" si="58"/>
        <v>0.2</v>
      </c>
      <c r="AB209">
        <f t="shared" si="59"/>
        <v>1752.7200000000003</v>
      </c>
      <c r="AC209">
        <v>1752.72</v>
      </c>
      <c r="AD209">
        <v>996.41</v>
      </c>
      <c r="AE209">
        <v>756.31</v>
      </c>
      <c r="AF209" t="s">
        <v>33</v>
      </c>
      <c r="AG209" t="s">
        <v>34</v>
      </c>
      <c r="AH209" t="str">
        <f t="shared" si="55"/>
        <v>Completed</v>
      </c>
      <c r="AI209" t="str">
        <f t="shared" si="56"/>
        <v>Valid</v>
      </c>
      <c r="AJ209">
        <f t="shared" si="57"/>
        <v>756.31000000000006</v>
      </c>
      <c r="AK209" s="12">
        <f t="shared" si="60"/>
        <v>0.43150645853302294</v>
      </c>
      <c r="AL209">
        <f t="shared" si="61"/>
        <v>7</v>
      </c>
      <c r="AM209">
        <f t="shared" si="62"/>
        <v>2024</v>
      </c>
      <c r="AN209" t="str">
        <f t="shared" si="63"/>
        <v>Clean</v>
      </c>
    </row>
    <row r="210" spans="1:40">
      <c r="A210" t="s">
        <v>1111</v>
      </c>
      <c r="B210" s="3" t="s">
        <v>1112</v>
      </c>
      <c r="C210" s="10">
        <v>45837</v>
      </c>
      <c r="D210" s="3" t="s">
        <v>1113</v>
      </c>
      <c r="E210" s="10">
        <v>45843</v>
      </c>
      <c r="F210" s="6" t="str">
        <f t="shared" si="48"/>
        <v>Valid</v>
      </c>
      <c r="G210" s="8">
        <f t="shared" si="49"/>
        <v>6</v>
      </c>
      <c r="H210" s="8" t="str">
        <f t="shared" si="50"/>
        <v>Valid</v>
      </c>
      <c r="I210" t="s">
        <v>1114</v>
      </c>
      <c r="J210" t="s">
        <v>209</v>
      </c>
      <c r="K210" t="s">
        <v>209</v>
      </c>
      <c r="L210" t="s">
        <v>25</v>
      </c>
      <c r="M210" s="3" t="str">
        <f t="shared" si="51"/>
        <v>Consumer</v>
      </c>
      <c r="N210" t="s">
        <v>26</v>
      </c>
      <c r="O210" s="3" t="str">
        <f t="shared" si="52"/>
        <v>North</v>
      </c>
      <c r="P210" t="s">
        <v>153</v>
      </c>
      <c r="Q210" t="s">
        <v>154</v>
      </c>
      <c r="R210" t="s">
        <v>44</v>
      </c>
      <c r="S210" s="3" t="str">
        <f t="shared" si="53"/>
        <v>Furniture</v>
      </c>
      <c r="T210" t="s">
        <v>75</v>
      </c>
      <c r="U210" t="s">
        <v>1115</v>
      </c>
      <c r="V210" t="s">
        <v>47</v>
      </c>
      <c r="W210" s="3" t="str">
        <f t="shared" si="54"/>
        <v>Same Day</v>
      </c>
      <c r="X210">
        <v>1</v>
      </c>
      <c r="Y210">
        <v>999.83</v>
      </c>
      <c r="Z210">
        <v>0</v>
      </c>
      <c r="AA210">
        <f t="shared" si="58"/>
        <v>0</v>
      </c>
      <c r="AB210">
        <f t="shared" si="59"/>
        <v>999.83</v>
      </c>
      <c r="AC210">
        <v>999.83</v>
      </c>
      <c r="AD210">
        <v>634.91</v>
      </c>
      <c r="AE210">
        <v>364.92</v>
      </c>
      <c r="AF210" t="s">
        <v>33</v>
      </c>
      <c r="AG210" t="s">
        <v>34</v>
      </c>
      <c r="AH210" t="str">
        <f t="shared" si="55"/>
        <v>Completed</v>
      </c>
      <c r="AI210" t="str">
        <f t="shared" si="56"/>
        <v>Valid</v>
      </c>
      <c r="AJ210">
        <f t="shared" si="57"/>
        <v>364.92000000000007</v>
      </c>
      <c r="AK210" s="12">
        <f t="shared" si="60"/>
        <v>0.3649820469479812</v>
      </c>
      <c r="AL210">
        <f t="shared" si="61"/>
        <v>6</v>
      </c>
      <c r="AM210">
        <f t="shared" si="62"/>
        <v>2025</v>
      </c>
      <c r="AN210" t="str">
        <f t="shared" si="63"/>
        <v>Clean</v>
      </c>
    </row>
    <row r="211" spans="1:40">
      <c r="A211" t="s">
        <v>1116</v>
      </c>
      <c r="B211" s="3" t="s">
        <v>1117</v>
      </c>
      <c r="C211" s="10">
        <v>45882</v>
      </c>
      <c r="D211" s="3" t="s">
        <v>1118</v>
      </c>
      <c r="E211" s="10">
        <v>45883</v>
      </c>
      <c r="F211" s="6" t="str">
        <f t="shared" si="48"/>
        <v>Valid</v>
      </c>
      <c r="G211" s="8">
        <f t="shared" si="49"/>
        <v>1</v>
      </c>
      <c r="H211" s="8" t="str">
        <f t="shared" si="50"/>
        <v>Valid</v>
      </c>
      <c r="I211" t="s">
        <v>1119</v>
      </c>
      <c r="J211" t="s">
        <v>179</v>
      </c>
      <c r="K211" t="s">
        <v>179</v>
      </c>
      <c r="L211" t="s">
        <v>40</v>
      </c>
      <c r="M211" s="3" t="str">
        <f t="shared" si="51"/>
        <v>Small Business</v>
      </c>
      <c r="N211" t="s">
        <v>61</v>
      </c>
      <c r="O211" s="3" t="str">
        <f t="shared" si="52"/>
        <v>South</v>
      </c>
      <c r="P211" t="s">
        <v>99</v>
      </c>
      <c r="Q211" t="s">
        <v>100</v>
      </c>
      <c r="R211" t="s">
        <v>29</v>
      </c>
      <c r="S211" s="3" t="str">
        <f t="shared" si="53"/>
        <v>Office Supplies</v>
      </c>
      <c r="T211" t="s">
        <v>30</v>
      </c>
      <c r="U211" t="s">
        <v>1120</v>
      </c>
      <c r="V211" t="s">
        <v>55</v>
      </c>
      <c r="W211" s="3" t="str">
        <f t="shared" si="54"/>
        <v>First Class</v>
      </c>
      <c r="X211">
        <v>9</v>
      </c>
      <c r="Y211">
        <v>864.98</v>
      </c>
      <c r="Z211">
        <v>0.1</v>
      </c>
      <c r="AA211">
        <f t="shared" si="58"/>
        <v>0.1</v>
      </c>
      <c r="AB211">
        <f t="shared" si="59"/>
        <v>7006.3379999999997</v>
      </c>
      <c r="AC211">
        <v>7006.34</v>
      </c>
      <c r="AD211">
        <v>4640.88</v>
      </c>
      <c r="AE211">
        <v>2365.46</v>
      </c>
      <c r="AF211" t="s">
        <v>33</v>
      </c>
      <c r="AG211" t="s">
        <v>34</v>
      </c>
      <c r="AH211" t="str">
        <f t="shared" si="55"/>
        <v>Completed</v>
      </c>
      <c r="AI211" t="str">
        <f t="shared" si="56"/>
        <v>Valid</v>
      </c>
      <c r="AJ211">
        <f t="shared" si="57"/>
        <v>2365.46</v>
      </c>
      <c r="AK211" s="12">
        <f t="shared" si="60"/>
        <v>0.33761716891191951</v>
      </c>
      <c r="AL211">
        <f t="shared" si="61"/>
        <v>8</v>
      </c>
      <c r="AM211">
        <f t="shared" si="62"/>
        <v>2025</v>
      </c>
      <c r="AN211" t="str">
        <f t="shared" si="63"/>
        <v>Clean</v>
      </c>
    </row>
    <row r="212" spans="1:40">
      <c r="A212" t="s">
        <v>1121</v>
      </c>
      <c r="B212" s="3" t="s">
        <v>1122</v>
      </c>
      <c r="C212" s="10">
        <v>45366</v>
      </c>
      <c r="D212" s="3" t="s">
        <v>1123</v>
      </c>
      <c r="E212" s="10">
        <v>45369</v>
      </c>
      <c r="F212" s="6" t="str">
        <f t="shared" si="48"/>
        <v>Valid</v>
      </c>
      <c r="G212" s="8">
        <f t="shared" si="49"/>
        <v>3</v>
      </c>
      <c r="H212" s="8" t="str">
        <f t="shared" si="50"/>
        <v>Valid</v>
      </c>
      <c r="I212" t="s">
        <v>1124</v>
      </c>
      <c r="J212" t="s">
        <v>365</v>
      </c>
      <c r="K212" t="s">
        <v>365</v>
      </c>
      <c r="L212" t="s">
        <v>114</v>
      </c>
      <c r="M212" s="3" t="str">
        <f t="shared" si="51"/>
        <v>Home Office</v>
      </c>
      <c r="N212" t="s">
        <v>61</v>
      </c>
      <c r="O212" s="3" t="str">
        <f t="shared" si="52"/>
        <v>South</v>
      </c>
      <c r="P212" t="s">
        <v>228</v>
      </c>
      <c r="Q212" t="s">
        <v>229</v>
      </c>
      <c r="R212" t="s">
        <v>85</v>
      </c>
      <c r="S212" s="3" t="str">
        <f t="shared" si="53"/>
        <v>Technology</v>
      </c>
      <c r="T212" t="s">
        <v>381</v>
      </c>
      <c r="U212" t="s">
        <v>1125</v>
      </c>
      <c r="V212" t="s">
        <v>32</v>
      </c>
      <c r="W212" s="3" t="str">
        <f t="shared" si="54"/>
        <v>Second Class</v>
      </c>
      <c r="X212">
        <v>1</v>
      </c>
      <c r="Y212">
        <v>4131.3599999999997</v>
      </c>
      <c r="Z212">
        <v>0</v>
      </c>
      <c r="AA212">
        <f t="shared" si="58"/>
        <v>0</v>
      </c>
      <c r="AB212">
        <f t="shared" si="59"/>
        <v>4131.3599999999997</v>
      </c>
      <c r="AC212">
        <v>4131.3599999999997</v>
      </c>
      <c r="AD212">
        <v>2937.07</v>
      </c>
      <c r="AE212">
        <v>1194.29</v>
      </c>
      <c r="AF212" t="s">
        <v>199</v>
      </c>
      <c r="AG212" t="s">
        <v>124</v>
      </c>
      <c r="AH212" t="str">
        <f t="shared" si="55"/>
        <v>Returned</v>
      </c>
      <c r="AI212" t="str">
        <f t="shared" si="56"/>
        <v>Valid</v>
      </c>
      <c r="AJ212">
        <f t="shared" si="57"/>
        <v>1194.2899999999995</v>
      </c>
      <c r="AK212" s="12">
        <f t="shared" si="60"/>
        <v>0.28907914100925591</v>
      </c>
      <c r="AL212">
        <f t="shared" si="61"/>
        <v>3</v>
      </c>
      <c r="AM212">
        <f t="shared" si="62"/>
        <v>2024</v>
      </c>
      <c r="AN212" t="str">
        <f t="shared" si="63"/>
        <v>Clean</v>
      </c>
    </row>
    <row r="213" spans="1:40">
      <c r="A213" t="s">
        <v>1126</v>
      </c>
      <c r="B213" s="3" t="s">
        <v>1127</v>
      </c>
      <c r="C213" s="10">
        <v>45428</v>
      </c>
      <c r="D213" s="3" t="s">
        <v>1128</v>
      </c>
      <c r="E213" s="10">
        <v>45429</v>
      </c>
      <c r="F213" s="6" t="str">
        <f t="shared" si="48"/>
        <v>Valid</v>
      </c>
      <c r="G213" s="8">
        <f t="shared" si="49"/>
        <v>1</v>
      </c>
      <c r="H213" s="8" t="str">
        <f t="shared" si="50"/>
        <v>Valid</v>
      </c>
      <c r="I213" t="s">
        <v>1129</v>
      </c>
      <c r="J213" t="s">
        <v>179</v>
      </c>
      <c r="K213" t="s">
        <v>179</v>
      </c>
      <c r="L213" t="s">
        <v>107</v>
      </c>
      <c r="M213" s="3" t="str">
        <f t="shared" si="51"/>
        <v>Corporate</v>
      </c>
      <c r="N213" t="s">
        <v>1130</v>
      </c>
      <c r="O213" s="3" t="str">
        <f t="shared" si="52"/>
        <v>East</v>
      </c>
      <c r="P213" t="s">
        <v>120</v>
      </c>
      <c r="Q213" t="s">
        <v>121</v>
      </c>
      <c r="R213" t="s">
        <v>85</v>
      </c>
      <c r="S213" s="3" t="str">
        <f t="shared" si="53"/>
        <v>Technology</v>
      </c>
      <c r="T213" t="s">
        <v>93</v>
      </c>
      <c r="U213" t="s">
        <v>1131</v>
      </c>
      <c r="V213" t="s">
        <v>32</v>
      </c>
      <c r="W213" s="3" t="str">
        <f t="shared" si="54"/>
        <v>Second Class</v>
      </c>
      <c r="X213">
        <v>8</v>
      </c>
      <c r="Y213">
        <v>4221.95</v>
      </c>
      <c r="Z213">
        <v>0.2</v>
      </c>
      <c r="AA213">
        <f t="shared" si="58"/>
        <v>0.2</v>
      </c>
      <c r="AB213">
        <f t="shared" si="59"/>
        <v>27020.48</v>
      </c>
      <c r="AC213">
        <v>27020.48</v>
      </c>
      <c r="AD213">
        <v>22885.24</v>
      </c>
      <c r="AE213">
        <v>4135.24</v>
      </c>
      <c r="AF213" t="s">
        <v>33</v>
      </c>
      <c r="AG213" t="s">
        <v>34</v>
      </c>
      <c r="AH213" t="str">
        <f t="shared" si="55"/>
        <v>Completed</v>
      </c>
      <c r="AI213" t="str">
        <f t="shared" si="56"/>
        <v>Valid</v>
      </c>
      <c r="AJ213">
        <f t="shared" si="57"/>
        <v>4135.239999999998</v>
      </c>
      <c r="AK213" s="12">
        <f t="shared" si="60"/>
        <v>0.15304095264036752</v>
      </c>
      <c r="AL213">
        <f t="shared" si="61"/>
        <v>5</v>
      </c>
      <c r="AM213">
        <f t="shared" si="62"/>
        <v>2024</v>
      </c>
      <c r="AN213" t="str">
        <f t="shared" si="63"/>
        <v>Clean</v>
      </c>
    </row>
    <row r="214" spans="1:40">
      <c r="A214" t="s">
        <v>1132</v>
      </c>
      <c r="B214" s="3" t="s">
        <v>1133</v>
      </c>
      <c r="C214" s="10">
        <v>45556</v>
      </c>
      <c r="D214" s="3" t="s">
        <v>1134</v>
      </c>
      <c r="E214" s="10">
        <v>45556</v>
      </c>
      <c r="F214" s="6" t="str">
        <f t="shared" si="48"/>
        <v>Valid</v>
      </c>
      <c r="G214" s="8">
        <f t="shared" si="49"/>
        <v>0</v>
      </c>
      <c r="H214" s="8" t="str">
        <f t="shared" si="50"/>
        <v>Valid</v>
      </c>
      <c r="I214" t="s">
        <v>1135</v>
      </c>
      <c r="J214" t="s">
        <v>71</v>
      </c>
      <c r="K214" t="s">
        <v>71</v>
      </c>
      <c r="L214" t="s">
        <v>40</v>
      </c>
      <c r="M214" s="3" t="str">
        <f t="shared" si="51"/>
        <v>Small Business</v>
      </c>
      <c r="N214" t="s">
        <v>41</v>
      </c>
      <c r="O214" s="3" t="str">
        <f t="shared" si="52"/>
        <v>East</v>
      </c>
      <c r="P214" t="s">
        <v>42</v>
      </c>
      <c r="Q214" t="s">
        <v>43</v>
      </c>
      <c r="R214" t="s">
        <v>85</v>
      </c>
      <c r="S214" s="3" t="str">
        <f t="shared" si="53"/>
        <v>Technology</v>
      </c>
      <c r="T214" t="s">
        <v>222</v>
      </c>
      <c r="U214" t="s">
        <v>1136</v>
      </c>
      <c r="V214" t="s">
        <v>47</v>
      </c>
      <c r="W214" s="3" t="str">
        <f t="shared" si="54"/>
        <v>Same Day</v>
      </c>
      <c r="X214">
        <v>2</v>
      </c>
      <c r="Y214">
        <v>214.5</v>
      </c>
      <c r="Z214">
        <v>0.15</v>
      </c>
      <c r="AA214">
        <f t="shared" si="58"/>
        <v>0.15</v>
      </c>
      <c r="AB214">
        <f t="shared" si="59"/>
        <v>364.65</v>
      </c>
      <c r="AC214">
        <v>364.65</v>
      </c>
      <c r="AD214">
        <v>280.74</v>
      </c>
      <c r="AE214">
        <v>83.91</v>
      </c>
      <c r="AF214" t="s">
        <v>33</v>
      </c>
      <c r="AG214" t="s">
        <v>34</v>
      </c>
      <c r="AH214" t="str">
        <f t="shared" si="55"/>
        <v>Completed</v>
      </c>
      <c r="AI214" t="str">
        <f t="shared" si="56"/>
        <v>Valid</v>
      </c>
      <c r="AJ214">
        <f t="shared" si="57"/>
        <v>83.909999999999968</v>
      </c>
      <c r="AK214" s="12">
        <f t="shared" si="60"/>
        <v>0.23011106540518297</v>
      </c>
      <c r="AL214">
        <f t="shared" si="61"/>
        <v>9</v>
      </c>
      <c r="AM214">
        <f t="shared" si="62"/>
        <v>2024</v>
      </c>
      <c r="AN214" t="str">
        <f t="shared" si="63"/>
        <v>Clean</v>
      </c>
    </row>
    <row r="215" spans="1:40">
      <c r="A215" t="s">
        <v>1137</v>
      </c>
      <c r="B215" s="3" t="s">
        <v>1138</v>
      </c>
      <c r="C215" s="10">
        <v>45427</v>
      </c>
      <c r="D215" s="3" t="s">
        <v>1139</v>
      </c>
      <c r="E215" s="10">
        <v>45433</v>
      </c>
      <c r="F215" s="6" t="str">
        <f t="shared" si="48"/>
        <v>Valid</v>
      </c>
      <c r="G215" s="8">
        <f t="shared" si="49"/>
        <v>6</v>
      </c>
      <c r="H215" s="8" t="str">
        <f t="shared" si="50"/>
        <v>Valid</v>
      </c>
      <c r="I215" t="s">
        <v>1140</v>
      </c>
      <c r="J215" t="s">
        <v>52</v>
      </c>
      <c r="K215" t="s">
        <v>52</v>
      </c>
      <c r="L215" t="s">
        <v>40</v>
      </c>
      <c r="M215" s="3" t="str">
        <f t="shared" si="51"/>
        <v>Small Business</v>
      </c>
      <c r="N215" t="s">
        <v>41</v>
      </c>
      <c r="O215" s="3" t="str">
        <f t="shared" si="52"/>
        <v>East</v>
      </c>
      <c r="P215" t="s">
        <v>185</v>
      </c>
      <c r="Q215" t="s">
        <v>186</v>
      </c>
      <c r="R215" t="s">
        <v>85</v>
      </c>
      <c r="S215" s="3" t="str">
        <f t="shared" si="53"/>
        <v>Technology</v>
      </c>
      <c r="T215" t="s">
        <v>86</v>
      </c>
      <c r="U215" t="s">
        <v>1141</v>
      </c>
      <c r="V215" t="s">
        <v>32</v>
      </c>
      <c r="W215" s="3" t="str">
        <f t="shared" si="54"/>
        <v>Second Class</v>
      </c>
      <c r="X215">
        <v>4</v>
      </c>
      <c r="Y215">
        <v>4332.7299999999996</v>
      </c>
      <c r="Z215">
        <v>0.2</v>
      </c>
      <c r="AA215">
        <f t="shared" si="58"/>
        <v>0.2</v>
      </c>
      <c r="AB215">
        <f t="shared" si="59"/>
        <v>13864.735999999999</v>
      </c>
      <c r="AC215">
        <v>13864.74</v>
      </c>
      <c r="AD215">
        <v>11294.06</v>
      </c>
      <c r="AE215">
        <v>2570.6799999999998</v>
      </c>
      <c r="AF215" t="s">
        <v>33</v>
      </c>
      <c r="AG215" t="s">
        <v>34</v>
      </c>
      <c r="AH215" t="str">
        <f t="shared" si="55"/>
        <v>Completed</v>
      </c>
      <c r="AI215" t="str">
        <f t="shared" si="56"/>
        <v>Valid</v>
      </c>
      <c r="AJ215">
        <f t="shared" si="57"/>
        <v>2570.6800000000003</v>
      </c>
      <c r="AK215" s="12">
        <f t="shared" si="60"/>
        <v>0.18541139189379449</v>
      </c>
      <c r="AL215">
        <f t="shared" si="61"/>
        <v>5</v>
      </c>
      <c r="AM215">
        <f t="shared" si="62"/>
        <v>2024</v>
      </c>
      <c r="AN215" t="str">
        <f t="shared" si="63"/>
        <v>Clean</v>
      </c>
    </row>
    <row r="216" spans="1:40">
      <c r="A216" t="s">
        <v>1142</v>
      </c>
      <c r="B216" s="3" t="s">
        <v>1143</v>
      </c>
      <c r="C216" s="10">
        <v>45368</v>
      </c>
      <c r="D216" s="3" t="s">
        <v>1144</v>
      </c>
      <c r="E216" s="10">
        <v>45374</v>
      </c>
      <c r="F216" s="6" t="str">
        <f t="shared" si="48"/>
        <v>Valid</v>
      </c>
      <c r="G216" s="8">
        <f t="shared" si="49"/>
        <v>6</v>
      </c>
      <c r="H216" s="8" t="str">
        <f t="shared" si="50"/>
        <v>Valid</v>
      </c>
      <c r="I216" t="s">
        <v>1145</v>
      </c>
      <c r="J216" t="s">
        <v>147</v>
      </c>
      <c r="K216" t="s">
        <v>147</v>
      </c>
      <c r="L216" t="s">
        <v>25</v>
      </c>
      <c r="M216" s="3" t="str">
        <f t="shared" si="51"/>
        <v>Consumer</v>
      </c>
      <c r="N216" t="s">
        <v>26</v>
      </c>
      <c r="O216" s="3" t="str">
        <f t="shared" si="52"/>
        <v>North</v>
      </c>
      <c r="P216" t="s">
        <v>322</v>
      </c>
      <c r="Q216" t="s">
        <v>323</v>
      </c>
      <c r="R216" t="s">
        <v>85</v>
      </c>
      <c r="S216" s="3" t="str">
        <f t="shared" si="53"/>
        <v>Technology</v>
      </c>
      <c r="T216" t="s">
        <v>86</v>
      </c>
      <c r="U216" t="s">
        <v>1146</v>
      </c>
      <c r="V216" t="s">
        <v>55</v>
      </c>
      <c r="W216" s="3" t="str">
        <f t="shared" si="54"/>
        <v>First Class</v>
      </c>
      <c r="X216">
        <v>3</v>
      </c>
      <c r="Y216">
        <v>248.18</v>
      </c>
      <c r="Z216">
        <v>0.05</v>
      </c>
      <c r="AA216">
        <f t="shared" si="58"/>
        <v>0.05</v>
      </c>
      <c r="AB216">
        <f t="shared" si="59"/>
        <v>707.31299999999999</v>
      </c>
      <c r="AC216">
        <v>707.31</v>
      </c>
      <c r="AD216">
        <v>569</v>
      </c>
      <c r="AE216">
        <v>138.31</v>
      </c>
      <c r="AF216" t="s">
        <v>33</v>
      </c>
      <c r="AG216" t="s">
        <v>34</v>
      </c>
      <c r="AH216" t="str">
        <f t="shared" si="55"/>
        <v>Completed</v>
      </c>
      <c r="AI216" t="str">
        <f t="shared" si="56"/>
        <v>Valid</v>
      </c>
      <c r="AJ216">
        <f t="shared" si="57"/>
        <v>138.30999999999995</v>
      </c>
      <c r="AK216" s="12">
        <f t="shared" si="60"/>
        <v>0.19554285019503381</v>
      </c>
      <c r="AL216">
        <f t="shared" si="61"/>
        <v>3</v>
      </c>
      <c r="AM216">
        <f t="shared" si="62"/>
        <v>2024</v>
      </c>
      <c r="AN216" t="str">
        <f t="shared" si="63"/>
        <v>Clean</v>
      </c>
    </row>
    <row r="217" spans="1:40">
      <c r="A217" t="s">
        <v>1147</v>
      </c>
      <c r="B217" s="3" t="s">
        <v>1148</v>
      </c>
      <c r="C217" s="10">
        <v>45352</v>
      </c>
      <c r="D217" s="3" t="s">
        <v>206</v>
      </c>
      <c r="E217" s="10">
        <v>45355</v>
      </c>
      <c r="F217" s="6" t="str">
        <f t="shared" si="48"/>
        <v>Valid</v>
      </c>
      <c r="G217" s="8">
        <f t="shared" si="49"/>
        <v>3</v>
      </c>
      <c r="H217" s="8" t="str">
        <f t="shared" si="50"/>
        <v>Valid</v>
      </c>
      <c r="I217" t="s">
        <v>1149</v>
      </c>
      <c r="J217" t="s">
        <v>39</v>
      </c>
      <c r="K217" t="s">
        <v>39</v>
      </c>
      <c r="L217" t="s">
        <v>25</v>
      </c>
      <c r="M217" s="3" t="str">
        <f t="shared" si="51"/>
        <v>Consumer</v>
      </c>
      <c r="N217" t="s">
        <v>72</v>
      </c>
      <c r="O217" s="3" t="str">
        <f t="shared" si="52"/>
        <v>West</v>
      </c>
      <c r="P217" t="s">
        <v>83</v>
      </c>
      <c r="Q217" t="s">
        <v>84</v>
      </c>
      <c r="R217" t="s">
        <v>29</v>
      </c>
      <c r="S217" s="3" t="str">
        <f t="shared" si="53"/>
        <v>Office Supplies</v>
      </c>
      <c r="T217" t="s">
        <v>30</v>
      </c>
      <c r="U217" t="s">
        <v>1150</v>
      </c>
      <c r="V217" t="s">
        <v>55</v>
      </c>
      <c r="W217" s="3" t="str">
        <f t="shared" si="54"/>
        <v>First Class</v>
      </c>
      <c r="X217">
        <v>8</v>
      </c>
      <c r="Y217">
        <v>3202.4</v>
      </c>
      <c r="Z217">
        <v>0.25</v>
      </c>
      <c r="AA217">
        <f t="shared" si="58"/>
        <v>0.25</v>
      </c>
      <c r="AB217">
        <f t="shared" si="59"/>
        <v>19214.400000000001</v>
      </c>
      <c r="AC217">
        <v>19214.400000000001</v>
      </c>
      <c r="AD217">
        <v>10916.01</v>
      </c>
      <c r="AE217">
        <v>8298.39</v>
      </c>
      <c r="AF217" t="s">
        <v>33</v>
      </c>
      <c r="AG217" t="s">
        <v>34</v>
      </c>
      <c r="AH217" t="str">
        <f t="shared" si="55"/>
        <v>Completed</v>
      </c>
      <c r="AI217" t="str">
        <f t="shared" si="56"/>
        <v>Valid</v>
      </c>
      <c r="AJ217">
        <f t="shared" si="57"/>
        <v>8298.3900000000012</v>
      </c>
      <c r="AK217" s="12">
        <f t="shared" si="60"/>
        <v>0.43188389957531853</v>
      </c>
      <c r="AL217">
        <f t="shared" si="61"/>
        <v>3</v>
      </c>
      <c r="AM217">
        <f t="shared" si="62"/>
        <v>2024</v>
      </c>
      <c r="AN217" t="str">
        <f t="shared" si="63"/>
        <v>Clean</v>
      </c>
    </row>
    <row r="218" spans="1:40">
      <c r="A218" t="s">
        <v>1151</v>
      </c>
      <c r="B218" s="3" t="s">
        <v>89</v>
      </c>
      <c r="C218" s="10">
        <v>45757</v>
      </c>
      <c r="D218" s="3" t="s">
        <v>1152</v>
      </c>
      <c r="E218" s="10">
        <v>45762</v>
      </c>
      <c r="F218" s="6" t="str">
        <f t="shared" si="48"/>
        <v>Valid</v>
      </c>
      <c r="G218" s="8">
        <f t="shared" si="49"/>
        <v>5</v>
      </c>
      <c r="H218" s="8" t="str">
        <f t="shared" si="50"/>
        <v>Valid</v>
      </c>
      <c r="I218" t="s">
        <v>1153</v>
      </c>
      <c r="J218" t="s">
        <v>52</v>
      </c>
      <c r="K218" t="s">
        <v>52</v>
      </c>
      <c r="L218" t="s">
        <v>25</v>
      </c>
      <c r="M218" s="3" t="str">
        <f t="shared" si="51"/>
        <v>Consumer</v>
      </c>
      <c r="N218" t="s">
        <v>72</v>
      </c>
      <c r="O218" s="3" t="str">
        <f t="shared" si="52"/>
        <v>West</v>
      </c>
      <c r="P218" t="s">
        <v>234</v>
      </c>
      <c r="Q218" t="s">
        <v>235</v>
      </c>
      <c r="R218" t="s">
        <v>44</v>
      </c>
      <c r="S218" s="3" t="str">
        <f t="shared" si="53"/>
        <v>Furniture</v>
      </c>
      <c r="T218" t="s">
        <v>45</v>
      </c>
      <c r="U218" t="s">
        <v>1154</v>
      </c>
      <c r="V218" t="s">
        <v>66</v>
      </c>
      <c r="W218" s="3" t="str">
        <f t="shared" si="54"/>
        <v>Standard Class</v>
      </c>
      <c r="X218">
        <v>8</v>
      </c>
      <c r="Y218">
        <v>1839.87</v>
      </c>
      <c r="Z218">
        <v>0.25</v>
      </c>
      <c r="AA218">
        <f t="shared" si="58"/>
        <v>0.25</v>
      </c>
      <c r="AB218">
        <f t="shared" si="59"/>
        <v>11039.22</v>
      </c>
      <c r="AC218">
        <v>11039.22</v>
      </c>
      <c r="AD218">
        <v>7642.91</v>
      </c>
      <c r="AE218">
        <v>3396.31</v>
      </c>
      <c r="AF218" t="s">
        <v>199</v>
      </c>
      <c r="AG218" t="s">
        <v>124</v>
      </c>
      <c r="AH218" t="str">
        <f t="shared" si="55"/>
        <v>Returned</v>
      </c>
      <c r="AI218" t="str">
        <f t="shared" si="56"/>
        <v>Valid</v>
      </c>
      <c r="AJ218">
        <f t="shared" si="57"/>
        <v>3396.3099999999995</v>
      </c>
      <c r="AK218" s="12">
        <f t="shared" si="60"/>
        <v>0.30765851210502188</v>
      </c>
      <c r="AL218">
        <f t="shared" si="61"/>
        <v>4</v>
      </c>
      <c r="AM218">
        <f t="shared" si="62"/>
        <v>2025</v>
      </c>
      <c r="AN218" t="str">
        <f t="shared" si="63"/>
        <v>Clean</v>
      </c>
    </row>
    <row r="219" spans="1:40">
      <c r="A219" t="s">
        <v>1155</v>
      </c>
      <c r="B219" s="3" t="s">
        <v>1156</v>
      </c>
      <c r="C219" s="10">
        <v>45748</v>
      </c>
      <c r="D219" s="3" t="s">
        <v>1157</v>
      </c>
      <c r="E219" s="10">
        <v>45755</v>
      </c>
      <c r="F219" s="6" t="str">
        <f t="shared" si="48"/>
        <v>Valid</v>
      </c>
      <c r="G219" s="8">
        <f t="shared" si="49"/>
        <v>7</v>
      </c>
      <c r="H219" s="8" t="str">
        <f t="shared" si="50"/>
        <v>Valid</v>
      </c>
      <c r="I219" t="s">
        <v>1158</v>
      </c>
      <c r="J219" t="s">
        <v>106</v>
      </c>
      <c r="K219" t="s">
        <v>106</v>
      </c>
      <c r="L219" t="s">
        <v>25</v>
      </c>
      <c r="M219" s="3" t="str">
        <f t="shared" si="51"/>
        <v>Consumer</v>
      </c>
      <c r="N219" t="s">
        <v>41</v>
      </c>
      <c r="O219" s="3" t="str">
        <f t="shared" si="52"/>
        <v>East</v>
      </c>
      <c r="P219" t="s">
        <v>42</v>
      </c>
      <c r="Q219" t="s">
        <v>43</v>
      </c>
      <c r="R219" t="s">
        <v>44</v>
      </c>
      <c r="S219" s="3" t="str">
        <f t="shared" si="53"/>
        <v>Furniture</v>
      </c>
      <c r="T219" t="s">
        <v>203</v>
      </c>
      <c r="U219" t="s">
        <v>1159</v>
      </c>
      <c r="V219" t="s">
        <v>32</v>
      </c>
      <c r="W219" s="3" t="str">
        <f t="shared" si="54"/>
        <v>Second Class</v>
      </c>
      <c r="X219">
        <v>5</v>
      </c>
      <c r="Y219">
        <v>1021.28</v>
      </c>
      <c r="Z219">
        <v>0.1</v>
      </c>
      <c r="AA219">
        <f t="shared" si="58"/>
        <v>0.1</v>
      </c>
      <c r="AB219">
        <f t="shared" si="59"/>
        <v>4595.76</v>
      </c>
      <c r="AC219">
        <v>4595.76</v>
      </c>
      <c r="AD219">
        <v>3396.8</v>
      </c>
      <c r="AE219">
        <v>1198.96</v>
      </c>
      <c r="AF219" t="s">
        <v>123</v>
      </c>
      <c r="AG219" t="s">
        <v>77</v>
      </c>
      <c r="AH219" t="str">
        <f t="shared" si="55"/>
        <v>Cancelled</v>
      </c>
      <c r="AI219" t="str">
        <f t="shared" si="56"/>
        <v>Valid</v>
      </c>
      <c r="AJ219">
        <f t="shared" si="57"/>
        <v>1198.96</v>
      </c>
      <c r="AK219" s="12">
        <f t="shared" si="60"/>
        <v>0.26088394520166414</v>
      </c>
      <c r="AL219">
        <f t="shared" si="61"/>
        <v>4</v>
      </c>
      <c r="AM219">
        <f t="shared" si="62"/>
        <v>2025</v>
      </c>
      <c r="AN219" t="str">
        <f t="shared" si="63"/>
        <v>Clean</v>
      </c>
    </row>
    <row r="220" spans="1:40">
      <c r="A220" t="s">
        <v>1160</v>
      </c>
      <c r="B220" s="3" t="s">
        <v>1161</v>
      </c>
      <c r="C220" s="10">
        <v>45714</v>
      </c>
      <c r="D220" s="3" t="s">
        <v>1162</v>
      </c>
      <c r="E220" s="10">
        <v>45715</v>
      </c>
      <c r="F220" s="6" t="str">
        <f t="shared" si="48"/>
        <v>Valid</v>
      </c>
      <c r="G220" s="8">
        <f t="shared" si="49"/>
        <v>1</v>
      </c>
      <c r="H220" s="8" t="str">
        <f t="shared" si="50"/>
        <v>Valid</v>
      </c>
      <c r="I220" t="s">
        <v>1163</v>
      </c>
      <c r="J220" t="s">
        <v>141</v>
      </c>
      <c r="K220" t="s">
        <v>141</v>
      </c>
      <c r="L220" t="s">
        <v>107</v>
      </c>
      <c r="M220" s="3" t="str">
        <f t="shared" si="51"/>
        <v>Corporate</v>
      </c>
      <c r="N220" t="s">
        <v>72</v>
      </c>
      <c r="O220" s="3" t="str">
        <f t="shared" si="52"/>
        <v>West</v>
      </c>
      <c r="P220" t="s">
        <v>234</v>
      </c>
      <c r="Q220" t="s">
        <v>235</v>
      </c>
      <c r="R220" t="s">
        <v>44</v>
      </c>
      <c r="S220" s="3" t="str">
        <f t="shared" si="53"/>
        <v>Furniture</v>
      </c>
      <c r="T220" t="s">
        <v>203</v>
      </c>
      <c r="U220" t="s">
        <v>1164</v>
      </c>
      <c r="V220" t="s">
        <v>66</v>
      </c>
      <c r="W220" s="3" t="str">
        <f t="shared" si="54"/>
        <v>Standard Class</v>
      </c>
      <c r="X220">
        <v>5</v>
      </c>
      <c r="Y220">
        <v>258.27999999999997</v>
      </c>
      <c r="Z220">
        <v>0</v>
      </c>
      <c r="AA220">
        <f t="shared" si="58"/>
        <v>0</v>
      </c>
      <c r="AB220">
        <f t="shared" si="59"/>
        <v>1291.3999999999999</v>
      </c>
      <c r="AC220">
        <v>1291.4000000000001</v>
      </c>
      <c r="AD220">
        <v>756.93</v>
      </c>
      <c r="AE220">
        <v>534.47</v>
      </c>
      <c r="AF220" t="s">
        <v>33</v>
      </c>
      <c r="AG220" t="s">
        <v>34</v>
      </c>
      <c r="AH220" t="str">
        <f t="shared" si="55"/>
        <v>Completed</v>
      </c>
      <c r="AI220" t="str">
        <f t="shared" si="56"/>
        <v>Valid</v>
      </c>
      <c r="AJ220">
        <f t="shared" si="57"/>
        <v>534.47000000000014</v>
      </c>
      <c r="AK220" s="12">
        <f t="shared" si="60"/>
        <v>0.41386866966083335</v>
      </c>
      <c r="AL220">
        <f t="shared" si="61"/>
        <v>2</v>
      </c>
      <c r="AM220">
        <f t="shared" si="62"/>
        <v>2025</v>
      </c>
      <c r="AN220" t="str">
        <f t="shared" si="63"/>
        <v>Clean</v>
      </c>
    </row>
    <row r="221" spans="1:40">
      <c r="A221" t="s">
        <v>1165</v>
      </c>
      <c r="B221" s="3" t="s">
        <v>683</v>
      </c>
      <c r="C221" s="10">
        <v>45461</v>
      </c>
      <c r="D221" s="3" t="s">
        <v>1166</v>
      </c>
      <c r="E221" s="10">
        <v>45462</v>
      </c>
      <c r="F221" s="6" t="str">
        <f t="shared" si="48"/>
        <v>Valid</v>
      </c>
      <c r="G221" s="8">
        <f t="shared" si="49"/>
        <v>1</v>
      </c>
      <c r="H221" s="8" t="str">
        <f t="shared" si="50"/>
        <v>Valid</v>
      </c>
      <c r="I221" t="s">
        <v>1167</v>
      </c>
      <c r="J221" t="s">
        <v>147</v>
      </c>
      <c r="K221" t="s">
        <v>147</v>
      </c>
      <c r="L221" t="s">
        <v>25</v>
      </c>
      <c r="M221" s="3" t="str">
        <f t="shared" si="51"/>
        <v>Consumer</v>
      </c>
      <c r="N221" t="s">
        <v>41</v>
      </c>
      <c r="O221" s="3" t="str">
        <f t="shared" si="52"/>
        <v>East</v>
      </c>
      <c r="P221" t="s">
        <v>185</v>
      </c>
      <c r="Q221" t="s">
        <v>186</v>
      </c>
      <c r="R221" t="s">
        <v>85</v>
      </c>
      <c r="S221" s="3" t="str">
        <f t="shared" si="53"/>
        <v>Technology</v>
      </c>
      <c r="T221" t="s">
        <v>381</v>
      </c>
      <c r="U221" t="s">
        <v>1168</v>
      </c>
      <c r="V221" t="s">
        <v>55</v>
      </c>
      <c r="W221" s="3" t="str">
        <f t="shared" si="54"/>
        <v>First Class</v>
      </c>
      <c r="X221">
        <v>2</v>
      </c>
      <c r="Y221">
        <v>121.49</v>
      </c>
      <c r="Z221" t="s">
        <v>1169</v>
      </c>
      <c r="AA221" t="str">
        <f t="shared" si="58"/>
        <v>85%</v>
      </c>
      <c r="AB221">
        <f t="shared" si="59"/>
        <v>36.447000000000003</v>
      </c>
      <c r="AC221">
        <v>242.98</v>
      </c>
      <c r="AD221">
        <v>161.41999999999999</v>
      </c>
      <c r="AE221">
        <v>81.56</v>
      </c>
      <c r="AF221" t="s">
        <v>33</v>
      </c>
      <c r="AG221" t="s">
        <v>34</v>
      </c>
      <c r="AH221" t="str">
        <f t="shared" si="55"/>
        <v>Completed</v>
      </c>
      <c r="AI221" t="str">
        <f t="shared" si="56"/>
        <v>Invalid - Discount Above Range</v>
      </c>
      <c r="AJ221">
        <f t="shared" si="57"/>
        <v>81.56</v>
      </c>
      <c r="AK221" s="12">
        <f t="shared" si="60"/>
        <v>2.2377699124756494</v>
      </c>
      <c r="AL221">
        <f t="shared" si="61"/>
        <v>6</v>
      </c>
      <c r="AM221">
        <f t="shared" si="62"/>
        <v>2024</v>
      </c>
      <c r="AN221" t="str">
        <f t="shared" si="63"/>
        <v>Clean</v>
      </c>
    </row>
    <row r="222" spans="1:40">
      <c r="A222" t="s">
        <v>1170</v>
      </c>
      <c r="B222" s="3" t="s">
        <v>1171</v>
      </c>
      <c r="C222" s="10">
        <v>45538</v>
      </c>
      <c r="D222" s="3" t="s">
        <v>1171</v>
      </c>
      <c r="E222" s="10">
        <v>45538</v>
      </c>
      <c r="F222" s="6" t="str">
        <f t="shared" si="48"/>
        <v>Valid</v>
      </c>
      <c r="G222" s="8">
        <f t="shared" si="49"/>
        <v>0</v>
      </c>
      <c r="H222" s="8" t="str">
        <f t="shared" si="50"/>
        <v>Valid</v>
      </c>
      <c r="I222" t="s">
        <v>1172</v>
      </c>
      <c r="J222" t="s">
        <v>167</v>
      </c>
      <c r="K222" t="s">
        <v>167</v>
      </c>
      <c r="L222" t="s">
        <v>25</v>
      </c>
      <c r="M222" s="3" t="str">
        <f t="shared" si="51"/>
        <v>Consumer</v>
      </c>
      <c r="N222" t="s">
        <v>61</v>
      </c>
      <c r="O222" s="3" t="str">
        <f t="shared" si="52"/>
        <v>South</v>
      </c>
      <c r="P222" t="s">
        <v>241</v>
      </c>
      <c r="Q222" t="s">
        <v>242</v>
      </c>
      <c r="R222" t="s">
        <v>29</v>
      </c>
      <c r="S222" s="3" t="str">
        <f t="shared" si="53"/>
        <v>Office Supplies</v>
      </c>
      <c r="T222" t="s">
        <v>155</v>
      </c>
      <c r="U222" t="s">
        <v>1173</v>
      </c>
      <c r="V222" t="s">
        <v>55</v>
      </c>
      <c r="W222" s="3" t="str">
        <f t="shared" si="54"/>
        <v>First Class</v>
      </c>
      <c r="X222">
        <v>4</v>
      </c>
      <c r="Y222">
        <v>2810.17</v>
      </c>
      <c r="Z222">
        <v>0.15</v>
      </c>
      <c r="AA222">
        <f t="shared" si="58"/>
        <v>0.15</v>
      </c>
      <c r="AB222">
        <f t="shared" si="59"/>
        <v>9554.5779999999995</v>
      </c>
      <c r="AC222">
        <v>9554.58</v>
      </c>
      <c r="AD222">
        <v>6068.47</v>
      </c>
      <c r="AE222">
        <v>3486.11</v>
      </c>
      <c r="AF222" t="s">
        <v>123</v>
      </c>
      <c r="AG222" t="s">
        <v>77</v>
      </c>
      <c r="AH222" t="str">
        <f t="shared" si="55"/>
        <v>Cancelled</v>
      </c>
      <c r="AI222" t="str">
        <f t="shared" si="56"/>
        <v>Valid</v>
      </c>
      <c r="AJ222">
        <f t="shared" si="57"/>
        <v>3486.1099999999997</v>
      </c>
      <c r="AK222" s="12">
        <f t="shared" si="60"/>
        <v>0.36486279142836031</v>
      </c>
      <c r="AL222">
        <f t="shared" si="61"/>
        <v>9</v>
      </c>
      <c r="AM222">
        <f t="shared" si="62"/>
        <v>2024</v>
      </c>
      <c r="AN222" t="str">
        <f t="shared" si="63"/>
        <v>Clean</v>
      </c>
    </row>
    <row r="223" spans="1:40">
      <c r="A223" t="s">
        <v>1174</v>
      </c>
      <c r="B223" s="3" t="s">
        <v>1175</v>
      </c>
      <c r="C223" s="10">
        <v>45669</v>
      </c>
      <c r="D223" s="3" t="s">
        <v>1176</v>
      </c>
      <c r="E223" s="10">
        <v>45672</v>
      </c>
      <c r="F223" s="6" t="str">
        <f t="shared" si="48"/>
        <v>Valid</v>
      </c>
      <c r="G223" s="8">
        <f t="shared" si="49"/>
        <v>3</v>
      </c>
      <c r="H223" s="8" t="str">
        <f t="shared" si="50"/>
        <v>Valid</v>
      </c>
      <c r="I223" t="s">
        <v>1177</v>
      </c>
      <c r="J223" t="s">
        <v>39</v>
      </c>
      <c r="K223" t="s">
        <v>39</v>
      </c>
      <c r="L223" t="s">
        <v>107</v>
      </c>
      <c r="M223" s="3" t="str">
        <f t="shared" si="51"/>
        <v>Corporate</v>
      </c>
      <c r="N223" t="s">
        <v>61</v>
      </c>
      <c r="O223" s="3" t="str">
        <f t="shared" si="52"/>
        <v>South</v>
      </c>
      <c r="P223" t="s">
        <v>228</v>
      </c>
      <c r="Q223" t="s">
        <v>229</v>
      </c>
      <c r="R223" t="s">
        <v>44</v>
      </c>
      <c r="S223" s="3" t="str">
        <f t="shared" si="53"/>
        <v>Furniture</v>
      </c>
      <c r="T223" t="s">
        <v>75</v>
      </c>
      <c r="U223" t="s">
        <v>1178</v>
      </c>
      <c r="V223" t="s">
        <v>47</v>
      </c>
      <c r="W223" s="3" t="str">
        <f t="shared" si="54"/>
        <v>Same Day</v>
      </c>
      <c r="X223">
        <v>4</v>
      </c>
      <c r="Y223">
        <v>1531.53</v>
      </c>
      <c r="Z223">
        <v>0.2</v>
      </c>
      <c r="AA223">
        <f t="shared" si="58"/>
        <v>0.2</v>
      </c>
      <c r="AB223">
        <f t="shared" si="59"/>
        <v>4900.8959999999997</v>
      </c>
      <c r="AC223">
        <v>4900.8999999999996</v>
      </c>
      <c r="AD223">
        <v>3552.69</v>
      </c>
      <c r="AE223">
        <v>1348.21</v>
      </c>
      <c r="AF223" t="s">
        <v>33</v>
      </c>
      <c r="AG223" t="s">
        <v>34</v>
      </c>
      <c r="AH223" t="str">
        <f t="shared" si="55"/>
        <v>Completed</v>
      </c>
      <c r="AI223" t="str">
        <f t="shared" si="56"/>
        <v>Valid</v>
      </c>
      <c r="AJ223">
        <f t="shared" si="57"/>
        <v>1348.2099999999996</v>
      </c>
      <c r="AK223" s="12">
        <f t="shared" si="60"/>
        <v>0.27509459494753608</v>
      </c>
      <c r="AL223">
        <f t="shared" si="61"/>
        <v>1</v>
      </c>
      <c r="AM223">
        <f t="shared" si="62"/>
        <v>2025</v>
      </c>
      <c r="AN223" t="str">
        <f t="shared" si="63"/>
        <v>Clean</v>
      </c>
    </row>
    <row r="224" spans="1:40">
      <c r="A224" t="s">
        <v>1179</v>
      </c>
      <c r="B224" s="3" t="s">
        <v>1180</v>
      </c>
      <c r="C224" s="10">
        <v>45776</v>
      </c>
      <c r="D224" s="3" t="s">
        <v>1012</v>
      </c>
      <c r="E224" s="10">
        <v>45779</v>
      </c>
      <c r="F224" s="6" t="str">
        <f t="shared" si="48"/>
        <v>Valid</v>
      </c>
      <c r="G224" s="8">
        <f t="shared" si="49"/>
        <v>3</v>
      </c>
      <c r="H224" s="8" t="str">
        <f t="shared" si="50"/>
        <v>Valid</v>
      </c>
      <c r="I224" t="s">
        <v>1181</v>
      </c>
      <c r="J224" t="s">
        <v>82</v>
      </c>
      <c r="K224" t="s">
        <v>82</v>
      </c>
      <c r="L224" t="s">
        <v>40</v>
      </c>
      <c r="M224" s="3" t="str">
        <f t="shared" si="51"/>
        <v>Small Business</v>
      </c>
      <c r="N224" t="s">
        <v>72</v>
      </c>
      <c r="O224" s="3" t="str">
        <f t="shared" si="52"/>
        <v>West</v>
      </c>
      <c r="P224" t="s">
        <v>248</v>
      </c>
      <c r="Q224" t="s">
        <v>249</v>
      </c>
      <c r="R224" t="s">
        <v>29</v>
      </c>
      <c r="S224" s="3" t="str">
        <f t="shared" si="53"/>
        <v>Office Supplies</v>
      </c>
      <c r="T224" t="s">
        <v>155</v>
      </c>
      <c r="U224" t="s">
        <v>1182</v>
      </c>
      <c r="V224" t="s">
        <v>55</v>
      </c>
      <c r="W224" s="3" t="str">
        <f t="shared" si="54"/>
        <v>First Class</v>
      </c>
      <c r="X224">
        <v>6</v>
      </c>
      <c r="Y224">
        <v>4308.09</v>
      </c>
      <c r="Z224">
        <v>0</v>
      </c>
      <c r="AA224">
        <f t="shared" si="58"/>
        <v>0</v>
      </c>
      <c r="AB224">
        <f t="shared" si="59"/>
        <v>25848.54</v>
      </c>
      <c r="AC224">
        <v>25848.54</v>
      </c>
      <c r="AD224">
        <v>17729.09</v>
      </c>
      <c r="AE224">
        <v>8119.45</v>
      </c>
      <c r="AF224" t="s">
        <v>33</v>
      </c>
      <c r="AG224" t="s">
        <v>34</v>
      </c>
      <c r="AH224" t="str">
        <f t="shared" si="55"/>
        <v>Completed</v>
      </c>
      <c r="AI224" t="str">
        <f t="shared" si="56"/>
        <v>Valid</v>
      </c>
      <c r="AJ224">
        <f t="shared" si="57"/>
        <v>8119.4500000000007</v>
      </c>
      <c r="AK224" s="12">
        <f t="shared" si="60"/>
        <v>0.31411638723115504</v>
      </c>
      <c r="AL224">
        <f t="shared" si="61"/>
        <v>4</v>
      </c>
      <c r="AM224">
        <f t="shared" si="62"/>
        <v>2025</v>
      </c>
      <c r="AN224" t="str">
        <f t="shared" si="63"/>
        <v>Clean</v>
      </c>
    </row>
    <row r="225" spans="1:40">
      <c r="A225" t="s">
        <v>1183</v>
      </c>
      <c r="B225" s="3" t="s">
        <v>1184</v>
      </c>
      <c r="C225" s="10">
        <v>45707</v>
      </c>
      <c r="D225" s="3" t="s">
        <v>1185</v>
      </c>
      <c r="E225" s="10">
        <v>45714</v>
      </c>
      <c r="F225" s="6" t="str">
        <f t="shared" si="48"/>
        <v>Valid</v>
      </c>
      <c r="G225" s="8">
        <f t="shared" si="49"/>
        <v>7</v>
      </c>
      <c r="H225" s="8" t="str">
        <f t="shared" si="50"/>
        <v>Valid</v>
      </c>
      <c r="I225" t="s">
        <v>1186</v>
      </c>
      <c r="J225" t="s">
        <v>39</v>
      </c>
      <c r="K225" t="s">
        <v>39</v>
      </c>
      <c r="L225" t="s">
        <v>107</v>
      </c>
      <c r="M225" s="3" t="str">
        <f t="shared" si="51"/>
        <v>Corporate</v>
      </c>
      <c r="N225" t="s">
        <v>72</v>
      </c>
      <c r="O225" s="3" t="str">
        <f t="shared" si="52"/>
        <v>West</v>
      </c>
      <c r="P225" t="s">
        <v>73</v>
      </c>
      <c r="Q225" t="s">
        <v>74</v>
      </c>
      <c r="R225" t="s">
        <v>44</v>
      </c>
      <c r="S225" s="3" t="str">
        <f t="shared" si="53"/>
        <v>Furniture</v>
      </c>
      <c r="T225" t="s">
        <v>64</v>
      </c>
      <c r="U225" t="s">
        <v>1187</v>
      </c>
      <c r="V225" t="s">
        <v>55</v>
      </c>
      <c r="W225" s="3" t="str">
        <f t="shared" si="54"/>
        <v>First Class</v>
      </c>
      <c r="X225">
        <v>3</v>
      </c>
      <c r="Y225">
        <v>490.3</v>
      </c>
      <c r="Z225">
        <v>0.2</v>
      </c>
      <c r="AA225">
        <f t="shared" si="58"/>
        <v>0.2</v>
      </c>
      <c r="AB225">
        <f t="shared" si="59"/>
        <v>1176.72</v>
      </c>
      <c r="AC225">
        <v>1176.72</v>
      </c>
      <c r="AD225">
        <v>654.33000000000004</v>
      </c>
      <c r="AE225">
        <v>522.39</v>
      </c>
      <c r="AF225" t="s">
        <v>136</v>
      </c>
      <c r="AG225" t="s">
        <v>124</v>
      </c>
      <c r="AH225" t="str">
        <f t="shared" si="55"/>
        <v>Returned</v>
      </c>
      <c r="AI225" t="str">
        <f t="shared" si="56"/>
        <v>Valid</v>
      </c>
      <c r="AJ225">
        <f t="shared" si="57"/>
        <v>522.39</v>
      </c>
      <c r="AK225" s="12">
        <f t="shared" si="60"/>
        <v>0.44393738527432181</v>
      </c>
      <c r="AL225">
        <f t="shared" si="61"/>
        <v>2</v>
      </c>
      <c r="AM225">
        <f t="shared" si="62"/>
        <v>2025</v>
      </c>
      <c r="AN225" t="str">
        <f t="shared" si="63"/>
        <v>Clean</v>
      </c>
    </row>
    <row r="226" spans="1:40">
      <c r="A226" t="s">
        <v>1188</v>
      </c>
      <c r="B226" s="3" t="s">
        <v>1189</v>
      </c>
      <c r="C226" s="10">
        <v>45932</v>
      </c>
      <c r="D226" s="3" t="s">
        <v>1190</v>
      </c>
      <c r="E226" s="10">
        <v>45938</v>
      </c>
      <c r="F226" s="6" t="str">
        <f t="shared" si="48"/>
        <v>Valid</v>
      </c>
      <c r="G226" s="8">
        <f t="shared" si="49"/>
        <v>6</v>
      </c>
      <c r="H226" s="8" t="str">
        <f t="shared" si="50"/>
        <v>Valid</v>
      </c>
      <c r="I226" t="s">
        <v>1191</v>
      </c>
      <c r="J226" t="s">
        <v>52</v>
      </c>
      <c r="K226" t="s">
        <v>52</v>
      </c>
      <c r="L226" t="s">
        <v>40</v>
      </c>
      <c r="M226" s="3" t="str">
        <f t="shared" si="51"/>
        <v>Small Business</v>
      </c>
      <c r="N226" t="s">
        <v>26</v>
      </c>
      <c r="O226" s="3" t="str">
        <f t="shared" si="52"/>
        <v>North</v>
      </c>
      <c r="P226" t="s">
        <v>153</v>
      </c>
      <c r="Q226" t="s">
        <v>154</v>
      </c>
      <c r="R226" t="s">
        <v>44</v>
      </c>
      <c r="S226" s="3" t="str">
        <f t="shared" si="53"/>
        <v>Furniture</v>
      </c>
      <c r="T226" t="s">
        <v>64</v>
      </c>
      <c r="U226" t="s">
        <v>1192</v>
      </c>
      <c r="V226" t="s">
        <v>66</v>
      </c>
      <c r="W226" s="3" t="str">
        <f t="shared" si="54"/>
        <v>Standard Class</v>
      </c>
      <c r="X226">
        <v>4</v>
      </c>
      <c r="Y226">
        <v>3944.64</v>
      </c>
      <c r="Z226">
        <v>0.25</v>
      </c>
      <c r="AA226">
        <f t="shared" si="58"/>
        <v>0.25</v>
      </c>
      <c r="AB226">
        <f t="shared" si="59"/>
        <v>11833.92</v>
      </c>
      <c r="AC226">
        <v>11833.92</v>
      </c>
      <c r="AD226">
        <v>6682.92</v>
      </c>
      <c r="AE226">
        <v>5151</v>
      </c>
      <c r="AF226" t="s">
        <v>33</v>
      </c>
      <c r="AG226" t="s">
        <v>77</v>
      </c>
      <c r="AH226" t="str">
        <f t="shared" si="55"/>
        <v>Cancelled</v>
      </c>
      <c r="AI226" t="str">
        <f t="shared" si="56"/>
        <v>Valid</v>
      </c>
      <c r="AJ226">
        <f t="shared" si="57"/>
        <v>5151</v>
      </c>
      <c r="AK226" s="12">
        <f t="shared" si="60"/>
        <v>0.43527419485681834</v>
      </c>
      <c r="AL226">
        <f t="shared" si="61"/>
        <v>10</v>
      </c>
      <c r="AM226">
        <f t="shared" si="62"/>
        <v>2025</v>
      </c>
      <c r="AN226" t="str">
        <f t="shared" si="63"/>
        <v>Clean</v>
      </c>
    </row>
    <row r="227" spans="1:40">
      <c r="A227" t="s">
        <v>1193</v>
      </c>
      <c r="B227" s="3" t="s">
        <v>1194</v>
      </c>
      <c r="C227" s="10">
        <v>45537</v>
      </c>
      <c r="D227" s="3" t="s">
        <v>1195</v>
      </c>
      <c r="E227" s="10">
        <v>45545</v>
      </c>
      <c r="F227" s="6" t="str">
        <f t="shared" si="48"/>
        <v>Valid</v>
      </c>
      <c r="G227" s="8">
        <f t="shared" si="49"/>
        <v>8</v>
      </c>
      <c r="H227" s="8" t="str">
        <f t="shared" si="50"/>
        <v>Valid</v>
      </c>
      <c r="I227" t="s">
        <v>1196</v>
      </c>
      <c r="J227" t="s">
        <v>39</v>
      </c>
      <c r="K227" t="s">
        <v>39</v>
      </c>
      <c r="L227" t="s">
        <v>107</v>
      </c>
      <c r="M227" s="3" t="str">
        <f t="shared" si="51"/>
        <v>Corporate</v>
      </c>
      <c r="N227" t="s">
        <v>72</v>
      </c>
      <c r="O227" s="3" t="str">
        <f t="shared" si="52"/>
        <v>West</v>
      </c>
      <c r="P227" t="s">
        <v>248</v>
      </c>
      <c r="Q227" t="s">
        <v>249</v>
      </c>
      <c r="R227" t="s">
        <v>85</v>
      </c>
      <c r="S227" s="3" t="str">
        <f t="shared" si="53"/>
        <v>Technology</v>
      </c>
      <c r="T227" t="s">
        <v>222</v>
      </c>
      <c r="U227" t="s">
        <v>1197</v>
      </c>
      <c r="V227" t="s">
        <v>66</v>
      </c>
      <c r="W227" s="3" t="str">
        <f t="shared" si="54"/>
        <v>Standard Class</v>
      </c>
      <c r="X227">
        <v>6</v>
      </c>
      <c r="Y227">
        <v>1032.47</v>
      </c>
      <c r="Z227">
        <v>0.15</v>
      </c>
      <c r="AA227">
        <f t="shared" si="58"/>
        <v>0.15</v>
      </c>
      <c r="AB227">
        <f t="shared" si="59"/>
        <v>5265.5969999999998</v>
      </c>
      <c r="AC227">
        <v>5265.6</v>
      </c>
      <c r="AD227">
        <v>4293.1099999999997</v>
      </c>
      <c r="AE227">
        <v>787.57</v>
      </c>
      <c r="AF227" t="s">
        <v>33</v>
      </c>
      <c r="AG227" t="s">
        <v>34</v>
      </c>
      <c r="AH227" t="str">
        <f t="shared" si="55"/>
        <v>Completed</v>
      </c>
      <c r="AI227" t="str">
        <f t="shared" si="56"/>
        <v>Valid</v>
      </c>
      <c r="AJ227">
        <f t="shared" si="57"/>
        <v>972.49000000000069</v>
      </c>
      <c r="AK227" s="12">
        <f t="shared" si="60"/>
        <v>0.18468751026711705</v>
      </c>
      <c r="AL227">
        <f t="shared" si="61"/>
        <v>9</v>
      </c>
      <c r="AM227">
        <f t="shared" si="62"/>
        <v>2024</v>
      </c>
      <c r="AN227" t="str">
        <f t="shared" si="63"/>
        <v>Clean</v>
      </c>
    </row>
    <row r="228" spans="1:40">
      <c r="A228" t="s">
        <v>1198</v>
      </c>
      <c r="B228" s="3" t="s">
        <v>1199</v>
      </c>
      <c r="C228" s="10">
        <v>45757</v>
      </c>
      <c r="D228" s="3" t="s">
        <v>1152</v>
      </c>
      <c r="E228" s="10">
        <v>45762</v>
      </c>
      <c r="F228" s="6" t="str">
        <f t="shared" si="48"/>
        <v>Valid</v>
      </c>
      <c r="G228" s="8">
        <f t="shared" si="49"/>
        <v>5</v>
      </c>
      <c r="H228" s="8" t="str">
        <f t="shared" si="50"/>
        <v>Valid</v>
      </c>
      <c r="I228" t="s">
        <v>1200</v>
      </c>
      <c r="J228" t="s">
        <v>209</v>
      </c>
      <c r="K228" t="s">
        <v>209</v>
      </c>
      <c r="L228" t="s">
        <v>114</v>
      </c>
      <c r="M228" s="3" t="str">
        <f t="shared" si="51"/>
        <v>Home Office</v>
      </c>
      <c r="O228" s="3" t="str">
        <f t="shared" si="52"/>
        <v>Unknown</v>
      </c>
      <c r="P228" t="s">
        <v>241</v>
      </c>
      <c r="Q228" t="s">
        <v>242</v>
      </c>
      <c r="R228" t="s">
        <v>85</v>
      </c>
      <c r="S228" s="3" t="str">
        <f t="shared" si="53"/>
        <v>Technology</v>
      </c>
      <c r="T228" t="s">
        <v>93</v>
      </c>
      <c r="U228" t="s">
        <v>1201</v>
      </c>
      <c r="V228" t="s">
        <v>47</v>
      </c>
      <c r="W228" s="3" t="str">
        <f t="shared" si="54"/>
        <v>Same Day</v>
      </c>
      <c r="X228">
        <v>1</v>
      </c>
      <c r="Y228">
        <v>2208.27</v>
      </c>
      <c r="Z228">
        <v>0.1</v>
      </c>
      <c r="AA228">
        <f t="shared" si="58"/>
        <v>0.1</v>
      </c>
      <c r="AB228">
        <f t="shared" si="59"/>
        <v>1987.443</v>
      </c>
      <c r="AC228">
        <v>1987.44</v>
      </c>
      <c r="AD228">
        <v>1110.23</v>
      </c>
      <c r="AE228">
        <v>877.21</v>
      </c>
      <c r="AF228" t="s">
        <v>33</v>
      </c>
      <c r="AG228" t="s">
        <v>34</v>
      </c>
      <c r="AH228" t="str">
        <f t="shared" si="55"/>
        <v>Completed</v>
      </c>
      <c r="AI228" t="str">
        <f t="shared" si="56"/>
        <v>Valid</v>
      </c>
      <c r="AJ228">
        <f t="shared" si="57"/>
        <v>877.21</v>
      </c>
      <c r="AK228" s="12">
        <f t="shared" si="60"/>
        <v>0.44137618034831694</v>
      </c>
      <c r="AL228">
        <f t="shared" si="61"/>
        <v>4</v>
      </c>
      <c r="AM228">
        <f t="shared" si="62"/>
        <v>2025</v>
      </c>
      <c r="AN228" t="str">
        <f t="shared" si="63"/>
        <v>Clean</v>
      </c>
    </row>
    <row r="229" spans="1:40">
      <c r="A229" t="s">
        <v>1202</v>
      </c>
      <c r="B229" s="3" t="s">
        <v>1203</v>
      </c>
      <c r="C229" s="10">
        <v>45478</v>
      </c>
      <c r="D229" s="3" t="s">
        <v>1204</v>
      </c>
      <c r="E229" s="10">
        <v>45485</v>
      </c>
      <c r="F229" s="6" t="str">
        <f t="shared" si="48"/>
        <v>Valid</v>
      </c>
      <c r="G229" s="8">
        <f t="shared" si="49"/>
        <v>7</v>
      </c>
      <c r="H229" s="8" t="str">
        <f t="shared" si="50"/>
        <v>Valid</v>
      </c>
      <c r="I229" t="s">
        <v>1205</v>
      </c>
      <c r="J229" t="s">
        <v>71</v>
      </c>
      <c r="K229" t="s">
        <v>71</v>
      </c>
      <c r="L229" t="s">
        <v>1206</v>
      </c>
      <c r="M229" s="3" t="str">
        <f t="shared" si="51"/>
        <v>Small Business</v>
      </c>
      <c r="N229" t="s">
        <v>72</v>
      </c>
      <c r="O229" s="3" t="str">
        <f t="shared" si="52"/>
        <v>West</v>
      </c>
      <c r="P229" t="s">
        <v>248</v>
      </c>
      <c r="Q229" t="s">
        <v>249</v>
      </c>
      <c r="R229" t="s">
        <v>29</v>
      </c>
      <c r="S229" s="3" t="str">
        <f t="shared" si="53"/>
        <v>Office Supplies</v>
      </c>
      <c r="T229" t="s">
        <v>197</v>
      </c>
      <c r="U229" t="s">
        <v>1207</v>
      </c>
      <c r="V229" t="s">
        <v>55</v>
      </c>
      <c r="W229" s="3" t="str">
        <f t="shared" si="54"/>
        <v>First Class</v>
      </c>
      <c r="X229">
        <v>3</v>
      </c>
      <c r="Y229">
        <v>577.75</v>
      </c>
      <c r="Z229">
        <v>0.15</v>
      </c>
      <c r="AA229">
        <f t="shared" si="58"/>
        <v>0.15</v>
      </c>
      <c r="AB229">
        <f t="shared" si="59"/>
        <v>1473.2625</v>
      </c>
      <c r="AC229">
        <v>1473.26</v>
      </c>
      <c r="AD229">
        <v>899.86</v>
      </c>
      <c r="AE229">
        <v>573.4</v>
      </c>
      <c r="AF229" t="s">
        <v>33</v>
      </c>
      <c r="AG229" t="s">
        <v>34</v>
      </c>
      <c r="AH229" t="str">
        <f t="shared" si="55"/>
        <v>Completed</v>
      </c>
      <c r="AI229" t="str">
        <f t="shared" si="56"/>
        <v>Valid</v>
      </c>
      <c r="AJ229">
        <f t="shared" si="57"/>
        <v>573.4</v>
      </c>
      <c r="AK229" s="12">
        <f t="shared" si="60"/>
        <v>0.38920423210391902</v>
      </c>
      <c r="AL229">
        <f t="shared" si="61"/>
        <v>7</v>
      </c>
      <c r="AM229">
        <f t="shared" si="62"/>
        <v>2024</v>
      </c>
      <c r="AN229" t="str">
        <f t="shared" si="63"/>
        <v>Clean</v>
      </c>
    </row>
    <row r="230" spans="1:40">
      <c r="A230" t="s">
        <v>1208</v>
      </c>
      <c r="B230" s="3" t="s">
        <v>1209</v>
      </c>
      <c r="C230" s="10">
        <v>45406</v>
      </c>
      <c r="D230" s="3" t="s">
        <v>1210</v>
      </c>
      <c r="E230" s="10">
        <v>45410</v>
      </c>
      <c r="F230" s="6" t="str">
        <f t="shared" si="48"/>
        <v>Valid</v>
      </c>
      <c r="G230" s="8">
        <f t="shared" si="49"/>
        <v>4</v>
      </c>
      <c r="H230" s="8" t="str">
        <f t="shared" si="50"/>
        <v>Valid</v>
      </c>
      <c r="I230" t="s">
        <v>1211</v>
      </c>
      <c r="J230" t="s">
        <v>24</v>
      </c>
      <c r="K230" t="s">
        <v>24</v>
      </c>
      <c r="L230" t="s">
        <v>40</v>
      </c>
      <c r="M230" s="3" t="str">
        <f t="shared" si="51"/>
        <v>Small Business</v>
      </c>
      <c r="N230" t="s">
        <v>61</v>
      </c>
      <c r="O230" s="3" t="str">
        <f t="shared" si="52"/>
        <v>South</v>
      </c>
      <c r="P230" t="s">
        <v>62</v>
      </c>
      <c r="Q230" t="s">
        <v>63</v>
      </c>
      <c r="R230" t="s">
        <v>29</v>
      </c>
      <c r="S230" s="3" t="str">
        <f t="shared" si="53"/>
        <v>Office Supplies</v>
      </c>
      <c r="T230" t="s">
        <v>108</v>
      </c>
      <c r="U230" t="s">
        <v>1212</v>
      </c>
      <c r="V230" t="s">
        <v>32</v>
      </c>
      <c r="W230" s="3" t="str">
        <f t="shared" si="54"/>
        <v>Second Class</v>
      </c>
      <c r="X230">
        <v>1</v>
      </c>
      <c r="Y230">
        <v>3194.37</v>
      </c>
      <c r="Z230">
        <v>0.15</v>
      </c>
      <c r="AA230">
        <f t="shared" si="58"/>
        <v>0.15</v>
      </c>
      <c r="AB230">
        <f t="shared" si="59"/>
        <v>2715.2145</v>
      </c>
      <c r="AC230">
        <v>2715.21</v>
      </c>
      <c r="AD230">
        <v>1551.55</v>
      </c>
      <c r="AE230">
        <v>1163.6600000000001</v>
      </c>
      <c r="AF230" t="s">
        <v>33</v>
      </c>
      <c r="AG230" t="s">
        <v>34</v>
      </c>
      <c r="AH230" t="str">
        <f t="shared" si="55"/>
        <v>Completed</v>
      </c>
      <c r="AI230" t="str">
        <f t="shared" si="56"/>
        <v>Valid</v>
      </c>
      <c r="AJ230">
        <f t="shared" si="57"/>
        <v>1163.6600000000001</v>
      </c>
      <c r="AK230" s="12">
        <f t="shared" si="60"/>
        <v>0.42857019215240638</v>
      </c>
      <c r="AL230">
        <f t="shared" si="61"/>
        <v>4</v>
      </c>
      <c r="AM230">
        <f t="shared" si="62"/>
        <v>2024</v>
      </c>
      <c r="AN230" t="str">
        <f t="shared" si="63"/>
        <v>Clean</v>
      </c>
    </row>
    <row r="231" spans="1:40">
      <c r="A231" t="s">
        <v>1213</v>
      </c>
      <c r="B231" s="3" t="s">
        <v>1214</v>
      </c>
      <c r="C231" s="10">
        <v>45836</v>
      </c>
      <c r="D231" s="3" t="s">
        <v>1215</v>
      </c>
      <c r="E231" s="10">
        <v>45842</v>
      </c>
      <c r="F231" s="6" t="str">
        <f t="shared" si="48"/>
        <v>Valid</v>
      </c>
      <c r="G231" s="8">
        <f t="shared" si="49"/>
        <v>6</v>
      </c>
      <c r="H231" s="8" t="str">
        <f t="shared" si="50"/>
        <v>Valid</v>
      </c>
      <c r="I231" t="s">
        <v>1216</v>
      </c>
      <c r="J231" t="s">
        <v>179</v>
      </c>
      <c r="K231" t="s">
        <v>179</v>
      </c>
      <c r="L231" t="s">
        <v>25</v>
      </c>
      <c r="M231" s="3" t="str">
        <f t="shared" si="51"/>
        <v>Consumer</v>
      </c>
      <c r="N231" t="s">
        <v>61</v>
      </c>
      <c r="O231" s="3" t="str">
        <f t="shared" si="52"/>
        <v>South</v>
      </c>
      <c r="P231" t="s">
        <v>62</v>
      </c>
      <c r="Q231" t="s">
        <v>63</v>
      </c>
      <c r="R231" t="s">
        <v>44</v>
      </c>
      <c r="S231" s="3" t="str">
        <f t="shared" si="53"/>
        <v>Furniture</v>
      </c>
      <c r="T231" t="s">
        <v>203</v>
      </c>
      <c r="U231" t="s">
        <v>1217</v>
      </c>
      <c r="V231" t="s">
        <v>55</v>
      </c>
      <c r="W231" s="3" t="str">
        <f t="shared" si="54"/>
        <v>First Class</v>
      </c>
      <c r="X231">
        <v>3</v>
      </c>
      <c r="Y231">
        <v>2886.23</v>
      </c>
      <c r="Z231">
        <v>0</v>
      </c>
      <c r="AA231">
        <f t="shared" si="58"/>
        <v>0</v>
      </c>
      <c r="AB231">
        <f t="shared" si="59"/>
        <v>8658.69</v>
      </c>
      <c r="AC231">
        <v>8658.69</v>
      </c>
      <c r="AD231">
        <v>5535.94</v>
      </c>
      <c r="AE231">
        <v>3122.75</v>
      </c>
      <c r="AF231" t="s">
        <v>123</v>
      </c>
      <c r="AG231" t="s">
        <v>124</v>
      </c>
      <c r="AH231" t="str">
        <f t="shared" si="55"/>
        <v>Returned</v>
      </c>
      <c r="AI231" t="str">
        <f t="shared" si="56"/>
        <v>Valid</v>
      </c>
      <c r="AJ231">
        <f t="shared" si="57"/>
        <v>3122.7500000000009</v>
      </c>
      <c r="AK231" s="12">
        <f t="shared" si="60"/>
        <v>0.36064924370776652</v>
      </c>
      <c r="AL231">
        <f t="shared" si="61"/>
        <v>6</v>
      </c>
      <c r="AM231">
        <f t="shared" si="62"/>
        <v>2025</v>
      </c>
      <c r="AN231" t="str">
        <f t="shared" si="63"/>
        <v>Clean</v>
      </c>
    </row>
    <row r="232" spans="1:40">
      <c r="A232" t="s">
        <v>1218</v>
      </c>
      <c r="B232" s="3" t="s">
        <v>80</v>
      </c>
      <c r="C232" s="10">
        <v>45440</v>
      </c>
      <c r="D232" s="3" t="s">
        <v>1219</v>
      </c>
      <c r="E232" s="10">
        <v>45446</v>
      </c>
      <c r="F232" s="6" t="str">
        <f t="shared" si="48"/>
        <v>Valid</v>
      </c>
      <c r="G232" s="8">
        <f t="shared" si="49"/>
        <v>6</v>
      </c>
      <c r="H232" s="8" t="str">
        <f t="shared" si="50"/>
        <v>Valid</v>
      </c>
      <c r="I232" t="s">
        <v>1220</v>
      </c>
      <c r="J232" t="s">
        <v>92</v>
      </c>
      <c r="K232" t="s">
        <v>92</v>
      </c>
      <c r="L232" t="s">
        <v>40</v>
      </c>
      <c r="M232" s="3" t="str">
        <f t="shared" si="51"/>
        <v>Small Business</v>
      </c>
      <c r="N232" t="s">
        <v>26</v>
      </c>
      <c r="O232" s="3" t="str">
        <f t="shared" si="52"/>
        <v>North</v>
      </c>
      <c r="P232" t="s">
        <v>27</v>
      </c>
      <c r="Q232" t="s">
        <v>28</v>
      </c>
      <c r="R232" t="s">
        <v>29</v>
      </c>
      <c r="S232" s="3" t="str">
        <f t="shared" si="53"/>
        <v>Office Supplies</v>
      </c>
      <c r="T232" t="s">
        <v>30</v>
      </c>
      <c r="U232" t="s">
        <v>1221</v>
      </c>
      <c r="V232" t="s">
        <v>66</v>
      </c>
      <c r="W232" s="3" t="str">
        <f t="shared" si="54"/>
        <v>Standard Class</v>
      </c>
      <c r="X232">
        <v>8</v>
      </c>
      <c r="Y232">
        <v>1540.33</v>
      </c>
      <c r="Z232">
        <v>0.1</v>
      </c>
      <c r="AA232">
        <f t="shared" si="58"/>
        <v>0.1</v>
      </c>
      <c r="AB232">
        <f t="shared" si="59"/>
        <v>11090.376</v>
      </c>
      <c r="AC232">
        <v>11090.38</v>
      </c>
      <c r="AD232">
        <v>8840.9500000000007</v>
      </c>
      <c r="AE232">
        <v>2249.4299999999998</v>
      </c>
      <c r="AF232" t="s">
        <v>33</v>
      </c>
      <c r="AG232" t="s">
        <v>34</v>
      </c>
      <c r="AH232" t="str">
        <f t="shared" si="55"/>
        <v>Completed</v>
      </c>
      <c r="AI232" t="str">
        <f t="shared" si="56"/>
        <v>Valid</v>
      </c>
      <c r="AJ232">
        <f t="shared" si="57"/>
        <v>2249.4299999999985</v>
      </c>
      <c r="AK232" s="12">
        <f t="shared" si="60"/>
        <v>0.20282720802252316</v>
      </c>
      <c r="AL232">
        <f t="shared" si="61"/>
        <v>5</v>
      </c>
      <c r="AM232">
        <f t="shared" si="62"/>
        <v>2024</v>
      </c>
      <c r="AN232" t="str">
        <f t="shared" si="63"/>
        <v>Clean</v>
      </c>
    </row>
    <row r="233" spans="1:40">
      <c r="A233" t="s">
        <v>1222</v>
      </c>
      <c r="B233" s="3" t="s">
        <v>1223</v>
      </c>
      <c r="C233" s="10">
        <v>45414</v>
      </c>
      <c r="D233" s="3" t="s">
        <v>1224</v>
      </c>
      <c r="E233" s="10">
        <v>45414</v>
      </c>
      <c r="F233" s="6" t="str">
        <f t="shared" si="48"/>
        <v>Valid</v>
      </c>
      <c r="G233" s="8">
        <f t="shared" si="49"/>
        <v>0</v>
      </c>
      <c r="H233" s="8" t="str">
        <f t="shared" si="50"/>
        <v>Valid</v>
      </c>
      <c r="I233" t="s">
        <v>1225</v>
      </c>
      <c r="J233" t="s">
        <v>71</v>
      </c>
      <c r="K233" t="s">
        <v>71</v>
      </c>
      <c r="L233" t="s">
        <v>107</v>
      </c>
      <c r="M233" s="3" t="str">
        <f t="shared" si="51"/>
        <v>Corporate</v>
      </c>
      <c r="N233" t="s">
        <v>26</v>
      </c>
      <c r="O233" s="3" t="str">
        <f t="shared" si="52"/>
        <v>North</v>
      </c>
      <c r="P233" t="s">
        <v>27</v>
      </c>
      <c r="Q233" t="s">
        <v>28</v>
      </c>
      <c r="R233" t="s">
        <v>1226</v>
      </c>
      <c r="S233" s="3" t="str">
        <f t="shared" si="53"/>
        <v>Office Supplies</v>
      </c>
      <c r="T233" t="s">
        <v>108</v>
      </c>
      <c r="U233" t="s">
        <v>1227</v>
      </c>
      <c r="V233" t="s">
        <v>55</v>
      </c>
      <c r="W233" s="3" t="str">
        <f t="shared" si="54"/>
        <v>First Class</v>
      </c>
      <c r="X233">
        <v>7</v>
      </c>
      <c r="Y233">
        <v>2183.38</v>
      </c>
      <c r="Z233">
        <v>0.25</v>
      </c>
      <c r="AA233">
        <f t="shared" si="58"/>
        <v>0.25</v>
      </c>
      <c r="AB233">
        <f t="shared" si="59"/>
        <v>11462.744999999999</v>
      </c>
      <c r="AC233">
        <v>11462.74</v>
      </c>
      <c r="AD233">
        <v>7163.54</v>
      </c>
      <c r="AE233">
        <v>4299.2</v>
      </c>
      <c r="AF233" t="s">
        <v>123</v>
      </c>
      <c r="AG233" t="s">
        <v>77</v>
      </c>
      <c r="AH233" t="str">
        <f t="shared" si="55"/>
        <v>Cancelled</v>
      </c>
      <c r="AI233" t="str">
        <f t="shared" si="56"/>
        <v>Valid</v>
      </c>
      <c r="AJ233">
        <f t="shared" si="57"/>
        <v>4299.2</v>
      </c>
      <c r="AK233" s="12">
        <f t="shared" si="60"/>
        <v>0.37505850474733582</v>
      </c>
      <c r="AL233">
        <f t="shared" si="61"/>
        <v>5</v>
      </c>
      <c r="AM233">
        <f t="shared" si="62"/>
        <v>2024</v>
      </c>
      <c r="AN233" t="str">
        <f t="shared" si="63"/>
        <v>Clean</v>
      </c>
    </row>
    <row r="234" spans="1:40">
      <c r="A234" t="s">
        <v>1228</v>
      </c>
      <c r="B234" s="3" t="s">
        <v>1229</v>
      </c>
      <c r="C234" s="10">
        <v>45812</v>
      </c>
      <c r="D234" s="3" t="s">
        <v>1230</v>
      </c>
      <c r="E234" s="10">
        <v>45818</v>
      </c>
      <c r="F234" s="6" t="str">
        <f t="shared" si="48"/>
        <v>Valid</v>
      </c>
      <c r="G234" s="8">
        <f t="shared" si="49"/>
        <v>6</v>
      </c>
      <c r="H234" s="8" t="str">
        <f t="shared" si="50"/>
        <v>Valid</v>
      </c>
      <c r="I234" t="s">
        <v>1231</v>
      </c>
      <c r="J234" t="s">
        <v>147</v>
      </c>
      <c r="K234" t="s">
        <v>147</v>
      </c>
      <c r="L234" t="s">
        <v>25</v>
      </c>
      <c r="M234" s="3" t="str">
        <f t="shared" si="51"/>
        <v>Consumer</v>
      </c>
      <c r="N234" t="s">
        <v>61</v>
      </c>
      <c r="O234" s="3" t="str">
        <f t="shared" si="52"/>
        <v>South</v>
      </c>
      <c r="P234" t="s">
        <v>99</v>
      </c>
      <c r="Q234" t="s">
        <v>100</v>
      </c>
      <c r="R234" t="s">
        <v>85</v>
      </c>
      <c r="S234" s="3" t="str">
        <f t="shared" si="53"/>
        <v>Technology</v>
      </c>
      <c r="T234" t="s">
        <v>222</v>
      </c>
      <c r="U234" t="s">
        <v>1232</v>
      </c>
      <c r="V234" t="s">
        <v>66</v>
      </c>
      <c r="W234" s="3" t="str">
        <f t="shared" si="54"/>
        <v>Standard Class</v>
      </c>
      <c r="X234">
        <v>4</v>
      </c>
      <c r="Y234">
        <v>223.37</v>
      </c>
      <c r="Z234">
        <v>0.25</v>
      </c>
      <c r="AA234">
        <f t="shared" si="58"/>
        <v>0.25</v>
      </c>
      <c r="AB234">
        <f t="shared" si="59"/>
        <v>670.11</v>
      </c>
      <c r="AC234">
        <v>670.11</v>
      </c>
      <c r="AD234">
        <v>559.57000000000005</v>
      </c>
      <c r="AE234">
        <v>110.54</v>
      </c>
      <c r="AF234" t="s">
        <v>33</v>
      </c>
      <c r="AG234" t="s">
        <v>34</v>
      </c>
      <c r="AH234" t="str">
        <f t="shared" si="55"/>
        <v>Completed</v>
      </c>
      <c r="AI234" t="str">
        <f t="shared" si="56"/>
        <v>Valid</v>
      </c>
      <c r="AJ234">
        <f t="shared" si="57"/>
        <v>110.53999999999996</v>
      </c>
      <c r="AK234" s="12">
        <f t="shared" si="60"/>
        <v>0.16495799197146732</v>
      </c>
      <c r="AL234">
        <f t="shared" si="61"/>
        <v>6</v>
      </c>
      <c r="AM234">
        <f t="shared" si="62"/>
        <v>2025</v>
      </c>
      <c r="AN234" t="str">
        <f t="shared" si="63"/>
        <v>Clean</v>
      </c>
    </row>
    <row r="235" spans="1:40">
      <c r="A235" t="s">
        <v>1233</v>
      </c>
      <c r="B235" s="3" t="s">
        <v>1234</v>
      </c>
      <c r="C235" s="10">
        <v>45579</v>
      </c>
      <c r="D235" s="3" t="s">
        <v>1235</v>
      </c>
      <c r="E235" s="10">
        <v>45579</v>
      </c>
      <c r="F235" s="6" t="str">
        <f t="shared" si="48"/>
        <v>Valid</v>
      </c>
      <c r="G235" s="8">
        <f t="shared" si="49"/>
        <v>0</v>
      </c>
      <c r="H235" s="8" t="str">
        <f t="shared" si="50"/>
        <v>Valid</v>
      </c>
      <c r="I235" t="s">
        <v>1236</v>
      </c>
      <c r="J235" t="s">
        <v>82</v>
      </c>
      <c r="K235" t="s">
        <v>82</v>
      </c>
      <c r="L235" t="s">
        <v>107</v>
      </c>
      <c r="M235" s="3" t="str">
        <f t="shared" si="51"/>
        <v>Corporate</v>
      </c>
      <c r="N235" t="s">
        <v>61</v>
      </c>
      <c r="O235" s="3" t="str">
        <f t="shared" si="52"/>
        <v>South</v>
      </c>
      <c r="P235" t="s">
        <v>228</v>
      </c>
      <c r="Q235" t="s">
        <v>229</v>
      </c>
      <c r="R235" t="s">
        <v>44</v>
      </c>
      <c r="S235" s="3" t="str">
        <f t="shared" si="53"/>
        <v>Furniture</v>
      </c>
      <c r="T235" t="s">
        <v>203</v>
      </c>
      <c r="U235" t="s">
        <v>1237</v>
      </c>
      <c r="W235" s="3" t="str">
        <f t="shared" si="54"/>
        <v>Unknown</v>
      </c>
      <c r="X235">
        <v>8</v>
      </c>
      <c r="Y235">
        <v>3904.59</v>
      </c>
      <c r="Z235">
        <v>0</v>
      </c>
      <c r="AA235">
        <f t="shared" si="58"/>
        <v>0</v>
      </c>
      <c r="AB235">
        <f t="shared" si="59"/>
        <v>31236.720000000001</v>
      </c>
      <c r="AC235">
        <v>31236.720000000001</v>
      </c>
      <c r="AD235">
        <v>26377.7</v>
      </c>
      <c r="AE235">
        <v>4859.0200000000004</v>
      </c>
      <c r="AF235" t="s">
        <v>33</v>
      </c>
      <c r="AG235" t="s">
        <v>34</v>
      </c>
      <c r="AH235" t="str">
        <f t="shared" si="55"/>
        <v>Completed</v>
      </c>
      <c r="AI235" t="str">
        <f t="shared" si="56"/>
        <v>Valid</v>
      </c>
      <c r="AJ235">
        <f t="shared" si="57"/>
        <v>4859.0200000000004</v>
      </c>
      <c r="AK235" s="12">
        <f t="shared" si="60"/>
        <v>0.15555474454424154</v>
      </c>
      <c r="AL235">
        <f t="shared" si="61"/>
        <v>10</v>
      </c>
      <c r="AM235">
        <f t="shared" si="62"/>
        <v>2024</v>
      </c>
      <c r="AN235" t="str">
        <f t="shared" si="63"/>
        <v>Clean</v>
      </c>
    </row>
    <row r="236" spans="1:40">
      <c r="A236" t="s">
        <v>1238</v>
      </c>
      <c r="B236" s="3" t="s">
        <v>1239</v>
      </c>
      <c r="C236" s="10">
        <v>45537</v>
      </c>
      <c r="D236" s="3" t="s">
        <v>1240</v>
      </c>
      <c r="E236" s="10">
        <v>45538</v>
      </c>
      <c r="F236" s="6" t="str">
        <f t="shared" si="48"/>
        <v>Valid</v>
      </c>
      <c r="G236" s="8">
        <f t="shared" si="49"/>
        <v>1</v>
      </c>
      <c r="H236" s="8" t="str">
        <f t="shared" si="50"/>
        <v>Valid</v>
      </c>
      <c r="I236" t="s">
        <v>1241</v>
      </c>
      <c r="J236" t="s">
        <v>365</v>
      </c>
      <c r="K236" t="s">
        <v>365</v>
      </c>
      <c r="L236" t="s">
        <v>114</v>
      </c>
      <c r="M236" s="3" t="str">
        <f t="shared" si="51"/>
        <v>Home Office</v>
      </c>
      <c r="N236" t="s">
        <v>26</v>
      </c>
      <c r="O236" s="3" t="str">
        <f t="shared" si="52"/>
        <v>North</v>
      </c>
      <c r="P236" t="s">
        <v>505</v>
      </c>
      <c r="Q236" t="s">
        <v>506</v>
      </c>
      <c r="R236" t="s">
        <v>44</v>
      </c>
      <c r="S236" s="3" t="str">
        <f t="shared" si="53"/>
        <v>Furniture</v>
      </c>
      <c r="T236" t="s">
        <v>64</v>
      </c>
      <c r="U236" t="s">
        <v>1242</v>
      </c>
      <c r="V236" t="s">
        <v>55</v>
      </c>
      <c r="W236" s="3" t="str">
        <f t="shared" si="54"/>
        <v>First Class</v>
      </c>
      <c r="X236">
        <v>9</v>
      </c>
      <c r="Y236">
        <v>1353.61</v>
      </c>
      <c r="Z236">
        <v>0.1</v>
      </c>
      <c r="AA236">
        <f t="shared" si="58"/>
        <v>0.1</v>
      </c>
      <c r="AB236">
        <f t="shared" si="59"/>
        <v>10964.241</v>
      </c>
      <c r="AC236">
        <v>10964.24</v>
      </c>
      <c r="AD236">
        <v>9262.4699999999993</v>
      </c>
      <c r="AE236">
        <v>1701.77</v>
      </c>
      <c r="AF236" t="s">
        <v>33</v>
      </c>
      <c r="AG236" t="s">
        <v>34</v>
      </c>
      <c r="AH236" t="str">
        <f t="shared" si="55"/>
        <v>Completed</v>
      </c>
      <c r="AI236" t="str">
        <f t="shared" si="56"/>
        <v>Valid</v>
      </c>
      <c r="AJ236">
        <f t="shared" si="57"/>
        <v>1701.7700000000004</v>
      </c>
      <c r="AK236" s="12">
        <f t="shared" si="60"/>
        <v>0.15521092613706688</v>
      </c>
      <c r="AL236">
        <f t="shared" si="61"/>
        <v>9</v>
      </c>
      <c r="AM236">
        <f t="shared" si="62"/>
        <v>2024</v>
      </c>
      <c r="AN236" t="str">
        <f t="shared" si="63"/>
        <v>Clean</v>
      </c>
    </row>
    <row r="237" spans="1:40">
      <c r="A237" t="s">
        <v>1243</v>
      </c>
      <c r="B237" s="3" t="s">
        <v>1244</v>
      </c>
      <c r="C237" s="10">
        <v>45598</v>
      </c>
      <c r="D237" s="3" t="s">
        <v>1245</v>
      </c>
      <c r="E237" s="10">
        <v>45599</v>
      </c>
      <c r="F237" s="6" t="str">
        <f t="shared" si="48"/>
        <v>Valid</v>
      </c>
      <c r="G237" s="8">
        <f t="shared" si="49"/>
        <v>1</v>
      </c>
      <c r="H237" s="8" t="str">
        <f t="shared" si="50"/>
        <v>Valid</v>
      </c>
      <c r="I237" t="s">
        <v>1246</v>
      </c>
      <c r="J237" t="s">
        <v>147</v>
      </c>
      <c r="K237" t="s">
        <v>147</v>
      </c>
      <c r="L237" t="s">
        <v>40</v>
      </c>
      <c r="M237" s="3" t="str">
        <f t="shared" si="51"/>
        <v>Small Business</v>
      </c>
      <c r="N237" t="s">
        <v>72</v>
      </c>
      <c r="O237" s="3" t="str">
        <f t="shared" si="52"/>
        <v>West</v>
      </c>
      <c r="P237" t="s">
        <v>27</v>
      </c>
      <c r="Q237" t="s">
        <v>134</v>
      </c>
      <c r="R237" t="s">
        <v>29</v>
      </c>
      <c r="S237" s="3" t="str">
        <f t="shared" si="53"/>
        <v>Office Supplies</v>
      </c>
      <c r="T237" t="s">
        <v>155</v>
      </c>
      <c r="U237" t="s">
        <v>1247</v>
      </c>
      <c r="V237" t="s">
        <v>66</v>
      </c>
      <c r="W237" s="3" t="str">
        <f t="shared" si="54"/>
        <v>Standard Class</v>
      </c>
      <c r="X237">
        <v>6</v>
      </c>
      <c r="Y237">
        <v>2671.29</v>
      </c>
      <c r="Z237">
        <v>0.05</v>
      </c>
      <c r="AA237">
        <f t="shared" si="58"/>
        <v>0.05</v>
      </c>
      <c r="AB237">
        <f t="shared" si="59"/>
        <v>15226.352999999999</v>
      </c>
      <c r="AC237">
        <v>15226.35</v>
      </c>
      <c r="AD237">
        <v>11145.28</v>
      </c>
      <c r="AE237">
        <v>4081.07</v>
      </c>
      <c r="AF237" t="s">
        <v>33</v>
      </c>
      <c r="AG237" t="s">
        <v>34</v>
      </c>
      <c r="AH237" t="str">
        <f t="shared" si="55"/>
        <v>Completed</v>
      </c>
      <c r="AI237" t="str">
        <f t="shared" si="56"/>
        <v>Valid</v>
      </c>
      <c r="AJ237">
        <f t="shared" si="57"/>
        <v>4081.0699999999997</v>
      </c>
      <c r="AK237" s="12">
        <f t="shared" si="60"/>
        <v>0.26802675598024028</v>
      </c>
      <c r="AL237">
        <f t="shared" si="61"/>
        <v>11</v>
      </c>
      <c r="AM237">
        <f t="shared" si="62"/>
        <v>2024</v>
      </c>
      <c r="AN237" t="str">
        <f t="shared" si="63"/>
        <v>Clean</v>
      </c>
    </row>
    <row r="238" spans="1:40">
      <c r="A238" t="s">
        <v>1248</v>
      </c>
      <c r="B238" s="3" t="s">
        <v>1235</v>
      </c>
      <c r="C238" s="10">
        <v>45579</v>
      </c>
      <c r="D238" s="3" t="s">
        <v>1249</v>
      </c>
      <c r="E238" s="10">
        <v>45586</v>
      </c>
      <c r="F238" s="6" t="str">
        <f t="shared" si="48"/>
        <v>Valid</v>
      </c>
      <c r="G238" s="8">
        <f t="shared" si="49"/>
        <v>7</v>
      </c>
      <c r="H238" s="8" t="str">
        <f t="shared" si="50"/>
        <v>Valid</v>
      </c>
      <c r="I238" t="s">
        <v>1250</v>
      </c>
      <c r="J238" t="s">
        <v>141</v>
      </c>
      <c r="K238" t="s">
        <v>141</v>
      </c>
      <c r="L238" t="s">
        <v>107</v>
      </c>
      <c r="M238" s="3" t="str">
        <f t="shared" si="51"/>
        <v>Corporate</v>
      </c>
      <c r="N238" t="s">
        <v>26</v>
      </c>
      <c r="O238" s="3" t="str">
        <f t="shared" si="52"/>
        <v>North</v>
      </c>
      <c r="P238" t="s">
        <v>173</v>
      </c>
      <c r="Q238" t="s">
        <v>174</v>
      </c>
      <c r="R238" t="s">
        <v>44</v>
      </c>
      <c r="S238" s="3" t="str">
        <f t="shared" si="53"/>
        <v>Furniture</v>
      </c>
      <c r="T238" t="s">
        <v>203</v>
      </c>
      <c r="U238" t="s">
        <v>1251</v>
      </c>
      <c r="V238" t="s">
        <v>55</v>
      </c>
      <c r="W238" s="3" t="str">
        <f t="shared" si="54"/>
        <v>First Class</v>
      </c>
      <c r="X238">
        <v>6</v>
      </c>
      <c r="Y238">
        <v>4062.78</v>
      </c>
      <c r="Z238">
        <v>0</v>
      </c>
      <c r="AA238">
        <f t="shared" si="58"/>
        <v>0</v>
      </c>
      <c r="AB238">
        <f t="shared" si="59"/>
        <v>24376.68</v>
      </c>
      <c r="AC238">
        <v>24376.68</v>
      </c>
      <c r="AD238">
        <v>18533.39</v>
      </c>
      <c r="AE238">
        <v>5843.29</v>
      </c>
      <c r="AF238" t="s">
        <v>33</v>
      </c>
      <c r="AG238" t="s">
        <v>34</v>
      </c>
      <c r="AH238" t="str">
        <f t="shared" si="55"/>
        <v>Completed</v>
      </c>
      <c r="AI238" t="str">
        <f t="shared" si="56"/>
        <v>Valid</v>
      </c>
      <c r="AJ238">
        <f t="shared" si="57"/>
        <v>5843.2900000000009</v>
      </c>
      <c r="AK238" s="12">
        <f t="shared" si="60"/>
        <v>0.23970819652224998</v>
      </c>
      <c r="AL238">
        <f t="shared" si="61"/>
        <v>10</v>
      </c>
      <c r="AM238">
        <f t="shared" si="62"/>
        <v>2024</v>
      </c>
      <c r="AN238" t="str">
        <f t="shared" si="63"/>
        <v>Clean</v>
      </c>
    </row>
    <row r="239" spans="1:40">
      <c r="A239" t="s">
        <v>1252</v>
      </c>
      <c r="B239" s="3" t="s">
        <v>1253</v>
      </c>
      <c r="C239" s="10">
        <v>45531</v>
      </c>
      <c r="D239" s="3" t="s">
        <v>1253</v>
      </c>
      <c r="E239" s="10">
        <v>45531</v>
      </c>
      <c r="F239" s="6" t="str">
        <f t="shared" si="48"/>
        <v>Valid</v>
      </c>
      <c r="G239" s="8">
        <f t="shared" si="49"/>
        <v>0</v>
      </c>
      <c r="H239" s="8" t="str">
        <f t="shared" si="50"/>
        <v>Valid</v>
      </c>
      <c r="I239" t="s">
        <v>1254</v>
      </c>
      <c r="J239" t="s">
        <v>39</v>
      </c>
      <c r="K239" t="s">
        <v>39</v>
      </c>
      <c r="L239" t="s">
        <v>25</v>
      </c>
      <c r="M239" s="3" t="str">
        <f t="shared" si="51"/>
        <v>Consumer</v>
      </c>
      <c r="N239" t="s">
        <v>26</v>
      </c>
      <c r="O239" s="3" t="str">
        <f t="shared" si="52"/>
        <v>North</v>
      </c>
      <c r="P239" t="s">
        <v>322</v>
      </c>
      <c r="Q239" t="s">
        <v>323</v>
      </c>
      <c r="R239" t="s">
        <v>85</v>
      </c>
      <c r="S239" s="3" t="str">
        <f t="shared" si="53"/>
        <v>Technology</v>
      </c>
      <c r="T239" t="s">
        <v>93</v>
      </c>
      <c r="U239" t="s">
        <v>1255</v>
      </c>
      <c r="V239" t="s">
        <v>66</v>
      </c>
      <c r="W239" s="3" t="str">
        <f t="shared" si="54"/>
        <v>Standard Class</v>
      </c>
      <c r="X239">
        <v>9</v>
      </c>
      <c r="Y239">
        <v>2330.3000000000002</v>
      </c>
      <c r="Z239">
        <v>0</v>
      </c>
      <c r="AA239">
        <f t="shared" si="58"/>
        <v>0</v>
      </c>
      <c r="AB239">
        <f t="shared" si="59"/>
        <v>20972.7</v>
      </c>
      <c r="AC239">
        <v>20972.7</v>
      </c>
      <c r="AD239">
        <v>13504.88</v>
      </c>
      <c r="AE239">
        <v>7467.82</v>
      </c>
      <c r="AF239" t="s">
        <v>33</v>
      </c>
      <c r="AG239" t="s">
        <v>34</v>
      </c>
      <c r="AH239" t="str">
        <f t="shared" si="55"/>
        <v>Completed</v>
      </c>
      <c r="AI239" t="str">
        <f t="shared" si="56"/>
        <v>Valid</v>
      </c>
      <c r="AJ239">
        <f t="shared" si="57"/>
        <v>7467.8200000000015</v>
      </c>
      <c r="AK239" s="12">
        <f t="shared" si="60"/>
        <v>0.35607337157352181</v>
      </c>
      <c r="AL239">
        <f t="shared" si="61"/>
        <v>8</v>
      </c>
      <c r="AM239">
        <f t="shared" si="62"/>
        <v>2024</v>
      </c>
      <c r="AN239" t="str">
        <f t="shared" si="63"/>
        <v>Clean</v>
      </c>
    </row>
    <row r="240" spans="1:40">
      <c r="A240" t="s">
        <v>1256</v>
      </c>
      <c r="B240" s="3" t="s">
        <v>1257</v>
      </c>
      <c r="C240" s="10">
        <v>45303</v>
      </c>
      <c r="D240" s="3" t="s">
        <v>1258</v>
      </c>
      <c r="E240" s="10">
        <v>45308</v>
      </c>
      <c r="F240" s="6" t="str">
        <f t="shared" si="48"/>
        <v>Valid</v>
      </c>
      <c r="G240" s="8">
        <f t="shared" si="49"/>
        <v>5</v>
      </c>
      <c r="H240" s="8" t="str">
        <f t="shared" si="50"/>
        <v>Valid</v>
      </c>
      <c r="I240" t="s">
        <v>1259</v>
      </c>
      <c r="J240" t="s">
        <v>60</v>
      </c>
      <c r="K240" t="s">
        <v>60</v>
      </c>
      <c r="L240" t="s">
        <v>25</v>
      </c>
      <c r="M240" s="3" t="str">
        <f t="shared" si="51"/>
        <v>Consumer</v>
      </c>
      <c r="N240" t="s">
        <v>61</v>
      </c>
      <c r="O240" s="3" t="str">
        <f t="shared" si="52"/>
        <v>South</v>
      </c>
      <c r="P240" t="s">
        <v>99</v>
      </c>
      <c r="Q240" t="s">
        <v>100</v>
      </c>
      <c r="R240" t="s">
        <v>29</v>
      </c>
      <c r="S240" s="3" t="str">
        <f t="shared" si="53"/>
        <v>Office Supplies</v>
      </c>
      <c r="T240" t="s">
        <v>155</v>
      </c>
      <c r="U240" t="s">
        <v>1260</v>
      </c>
      <c r="V240" t="s">
        <v>55</v>
      </c>
      <c r="W240" s="3" t="str">
        <f t="shared" si="54"/>
        <v>First Class</v>
      </c>
      <c r="X240">
        <v>7</v>
      </c>
      <c r="Y240">
        <v>4005.05</v>
      </c>
      <c r="Z240">
        <v>0.55000000000000004</v>
      </c>
      <c r="AA240">
        <f t="shared" si="58"/>
        <v>0.55000000000000004</v>
      </c>
      <c r="AB240">
        <f t="shared" si="59"/>
        <v>12615.907499999999</v>
      </c>
      <c r="AC240">
        <v>26633.58</v>
      </c>
      <c r="AD240">
        <v>18838.75</v>
      </c>
      <c r="AE240">
        <v>7794.83</v>
      </c>
      <c r="AF240" t="s">
        <v>33</v>
      </c>
      <c r="AG240" t="s">
        <v>34</v>
      </c>
      <c r="AH240" t="str">
        <f t="shared" si="55"/>
        <v>Completed</v>
      </c>
      <c r="AI240" t="str">
        <f t="shared" si="56"/>
        <v>Valid</v>
      </c>
      <c r="AJ240">
        <f t="shared" si="57"/>
        <v>7794.8300000000017</v>
      </c>
      <c r="AK240" s="12">
        <f t="shared" si="60"/>
        <v>0.617857256800591</v>
      </c>
      <c r="AL240">
        <f t="shared" si="61"/>
        <v>1</v>
      </c>
      <c r="AM240">
        <f t="shared" si="62"/>
        <v>2024</v>
      </c>
      <c r="AN240" t="str">
        <f t="shared" si="63"/>
        <v>Clean</v>
      </c>
    </row>
    <row r="241" spans="1:40">
      <c r="A241" t="s">
        <v>1261</v>
      </c>
      <c r="B241" s="3" t="s">
        <v>1262</v>
      </c>
      <c r="C241" s="10">
        <v>45556</v>
      </c>
      <c r="D241" s="3" t="s">
        <v>1133</v>
      </c>
      <c r="E241" s="10">
        <v>45556</v>
      </c>
      <c r="F241" s="6" t="str">
        <f t="shared" si="48"/>
        <v>Valid</v>
      </c>
      <c r="G241" s="8">
        <f t="shared" si="49"/>
        <v>0</v>
      </c>
      <c r="H241" s="8" t="str">
        <f t="shared" si="50"/>
        <v>Valid</v>
      </c>
      <c r="I241" t="s">
        <v>1263</v>
      </c>
      <c r="J241" t="s">
        <v>365</v>
      </c>
      <c r="K241" t="s">
        <v>365</v>
      </c>
      <c r="L241" t="s">
        <v>107</v>
      </c>
      <c r="M241" s="3" t="str">
        <f t="shared" si="51"/>
        <v>Corporate</v>
      </c>
      <c r="N241" t="s">
        <v>61</v>
      </c>
      <c r="O241" s="3" t="str">
        <f t="shared" si="52"/>
        <v>South</v>
      </c>
      <c r="P241" t="s">
        <v>228</v>
      </c>
      <c r="Q241" t="s">
        <v>229</v>
      </c>
      <c r="R241" t="s">
        <v>85</v>
      </c>
      <c r="S241" s="3" t="str">
        <f t="shared" si="53"/>
        <v>Technology</v>
      </c>
      <c r="T241" t="s">
        <v>381</v>
      </c>
      <c r="U241" t="s">
        <v>1264</v>
      </c>
      <c r="V241" t="s">
        <v>55</v>
      </c>
      <c r="W241" s="3" t="str">
        <f t="shared" si="54"/>
        <v>First Class</v>
      </c>
      <c r="X241">
        <v>2</v>
      </c>
      <c r="Y241">
        <v>1960.06</v>
      </c>
      <c r="Z241">
        <v>0.2</v>
      </c>
      <c r="AA241">
        <f t="shared" si="58"/>
        <v>0.2</v>
      </c>
      <c r="AB241">
        <f t="shared" si="59"/>
        <v>3136.096</v>
      </c>
      <c r="AC241">
        <v>3136.1</v>
      </c>
      <c r="AD241">
        <v>2279.4899999999998</v>
      </c>
      <c r="AE241">
        <v>856.61</v>
      </c>
      <c r="AF241" t="s">
        <v>33</v>
      </c>
      <c r="AG241" t="s">
        <v>34</v>
      </c>
      <c r="AH241" t="str">
        <f t="shared" si="55"/>
        <v>Completed</v>
      </c>
      <c r="AI241" t="str">
        <f t="shared" si="56"/>
        <v>Valid</v>
      </c>
      <c r="AJ241">
        <f t="shared" si="57"/>
        <v>856.61000000000013</v>
      </c>
      <c r="AK241" s="12">
        <f t="shared" si="60"/>
        <v>0.27314533738763103</v>
      </c>
      <c r="AL241">
        <f t="shared" si="61"/>
        <v>9</v>
      </c>
      <c r="AM241">
        <f t="shared" si="62"/>
        <v>2024</v>
      </c>
      <c r="AN241" t="str">
        <f t="shared" si="63"/>
        <v>Clean</v>
      </c>
    </row>
    <row r="242" spans="1:40">
      <c r="A242" t="s">
        <v>1265</v>
      </c>
      <c r="B242" s="3" t="s">
        <v>1266</v>
      </c>
      <c r="C242" s="10">
        <v>45643</v>
      </c>
      <c r="D242" s="3" t="s">
        <v>823</v>
      </c>
      <c r="E242" s="10">
        <v>45649</v>
      </c>
      <c r="F242" s="6" t="str">
        <f t="shared" si="48"/>
        <v>Valid</v>
      </c>
      <c r="G242" s="8">
        <f t="shared" si="49"/>
        <v>6</v>
      </c>
      <c r="H242" s="8" t="str">
        <f t="shared" si="50"/>
        <v>Valid</v>
      </c>
      <c r="I242" t="s">
        <v>1267</v>
      </c>
      <c r="J242" t="s">
        <v>161</v>
      </c>
      <c r="K242" t="s">
        <v>161</v>
      </c>
      <c r="L242" t="s">
        <v>107</v>
      </c>
      <c r="M242" s="3" t="str">
        <f t="shared" si="51"/>
        <v>Corporate</v>
      </c>
      <c r="N242" t="s">
        <v>61</v>
      </c>
      <c r="O242" s="3" t="str">
        <f t="shared" si="52"/>
        <v>South</v>
      </c>
      <c r="P242" t="s">
        <v>62</v>
      </c>
      <c r="Q242" t="s">
        <v>63</v>
      </c>
      <c r="R242" t="s">
        <v>29</v>
      </c>
      <c r="S242" s="3" t="str">
        <f t="shared" si="53"/>
        <v>Office Supplies</v>
      </c>
      <c r="T242" t="s">
        <v>197</v>
      </c>
      <c r="U242" t="s">
        <v>1268</v>
      </c>
      <c r="V242" t="s">
        <v>55</v>
      </c>
      <c r="W242" s="3" t="str">
        <f t="shared" si="54"/>
        <v>First Class</v>
      </c>
      <c r="X242">
        <v>9</v>
      </c>
      <c r="Y242">
        <v>2315.1</v>
      </c>
      <c r="Z242">
        <v>0</v>
      </c>
      <c r="AA242">
        <f t="shared" si="58"/>
        <v>0</v>
      </c>
      <c r="AB242">
        <f t="shared" si="59"/>
        <v>20835.899999999998</v>
      </c>
      <c r="AC242">
        <v>20835.900000000001</v>
      </c>
      <c r="AD242">
        <v>13928.19</v>
      </c>
      <c r="AE242">
        <v>6907.71</v>
      </c>
      <c r="AF242" t="s">
        <v>33</v>
      </c>
      <c r="AG242" t="s">
        <v>34</v>
      </c>
      <c r="AH242" t="str">
        <f t="shared" si="55"/>
        <v>Completed</v>
      </c>
      <c r="AI242" t="str">
        <f t="shared" si="56"/>
        <v>Valid</v>
      </c>
      <c r="AJ242">
        <f t="shared" si="57"/>
        <v>6907.7100000000009</v>
      </c>
      <c r="AK242" s="12">
        <f t="shared" si="60"/>
        <v>0.33152923559817438</v>
      </c>
      <c r="AL242">
        <f t="shared" si="61"/>
        <v>12</v>
      </c>
      <c r="AM242">
        <f t="shared" si="62"/>
        <v>2024</v>
      </c>
      <c r="AN242" t="str">
        <f t="shared" si="63"/>
        <v>Clean</v>
      </c>
    </row>
    <row r="243" spans="1:40">
      <c r="A243" t="s">
        <v>1269</v>
      </c>
      <c r="B243" s="3" t="s">
        <v>1270</v>
      </c>
      <c r="C243" s="10">
        <v>45844</v>
      </c>
      <c r="D243" s="3" t="s">
        <v>1271</v>
      </c>
      <c r="E243" s="10">
        <v>45844</v>
      </c>
      <c r="F243" s="6" t="str">
        <f t="shared" si="48"/>
        <v>Valid</v>
      </c>
      <c r="G243" s="8">
        <f t="shared" si="49"/>
        <v>0</v>
      </c>
      <c r="H243" s="8" t="str">
        <f t="shared" si="50"/>
        <v>Valid</v>
      </c>
      <c r="I243" t="s">
        <v>1272</v>
      </c>
      <c r="J243" t="s">
        <v>167</v>
      </c>
      <c r="K243" t="s">
        <v>167</v>
      </c>
      <c r="L243" t="s">
        <v>107</v>
      </c>
      <c r="M243" s="3" t="str">
        <f t="shared" si="51"/>
        <v>Corporate</v>
      </c>
      <c r="N243" t="s">
        <v>26</v>
      </c>
      <c r="O243" s="3" t="str">
        <f t="shared" si="52"/>
        <v>North</v>
      </c>
      <c r="P243" t="s">
        <v>322</v>
      </c>
      <c r="Q243" t="s">
        <v>323</v>
      </c>
      <c r="R243" t="s">
        <v>29</v>
      </c>
      <c r="S243" s="3" t="str">
        <f t="shared" si="53"/>
        <v>Office Supplies</v>
      </c>
      <c r="T243" t="s">
        <v>155</v>
      </c>
      <c r="U243" t="s">
        <v>1273</v>
      </c>
      <c r="V243" t="s">
        <v>66</v>
      </c>
      <c r="W243" s="3" t="str">
        <f t="shared" si="54"/>
        <v>Standard Class</v>
      </c>
      <c r="X243">
        <v>1</v>
      </c>
      <c r="Y243">
        <v>1617.2</v>
      </c>
      <c r="Z243">
        <v>0.25</v>
      </c>
      <c r="AA243">
        <f t="shared" si="58"/>
        <v>0.25</v>
      </c>
      <c r="AB243">
        <f t="shared" si="59"/>
        <v>1212.9000000000001</v>
      </c>
      <c r="AC243">
        <v>1212.9000000000001</v>
      </c>
      <c r="AD243">
        <v>690.52</v>
      </c>
      <c r="AE243">
        <v>522.38</v>
      </c>
      <c r="AF243" t="s">
        <v>136</v>
      </c>
      <c r="AG243" t="s">
        <v>124</v>
      </c>
      <c r="AH243" t="str">
        <f t="shared" si="55"/>
        <v>Returned</v>
      </c>
      <c r="AI243" t="str">
        <f t="shared" si="56"/>
        <v>Valid</v>
      </c>
      <c r="AJ243">
        <f t="shared" si="57"/>
        <v>522.38000000000011</v>
      </c>
      <c r="AK243" s="12">
        <f t="shared" si="60"/>
        <v>0.4306867837414462</v>
      </c>
      <c r="AL243">
        <f t="shared" si="61"/>
        <v>7</v>
      </c>
      <c r="AM243">
        <f t="shared" si="62"/>
        <v>2025</v>
      </c>
      <c r="AN243" t="str">
        <f t="shared" si="63"/>
        <v>Clean</v>
      </c>
    </row>
    <row r="244" spans="1:40">
      <c r="A244" t="s">
        <v>1274</v>
      </c>
      <c r="B244" s="3" t="s">
        <v>1275</v>
      </c>
      <c r="C244" s="10">
        <v>45695</v>
      </c>
      <c r="D244" s="3" t="s">
        <v>1276</v>
      </c>
      <c r="E244" s="10">
        <v>45695</v>
      </c>
      <c r="F244" s="6" t="str">
        <f t="shared" si="48"/>
        <v>Valid</v>
      </c>
      <c r="G244" s="8">
        <f t="shared" si="49"/>
        <v>0</v>
      </c>
      <c r="H244" s="8" t="str">
        <f t="shared" si="50"/>
        <v>Valid</v>
      </c>
      <c r="I244" t="s">
        <v>1277</v>
      </c>
      <c r="J244" t="s">
        <v>60</v>
      </c>
      <c r="K244" t="s">
        <v>60</v>
      </c>
      <c r="L244" t="s">
        <v>25</v>
      </c>
      <c r="M244" s="3" t="str">
        <f t="shared" si="51"/>
        <v>Consumer</v>
      </c>
      <c r="N244" t="s">
        <v>26</v>
      </c>
      <c r="O244" s="3" t="str">
        <f t="shared" si="52"/>
        <v>North</v>
      </c>
      <c r="P244" t="s">
        <v>173</v>
      </c>
      <c r="Q244" t="s">
        <v>174</v>
      </c>
      <c r="R244" t="s">
        <v>29</v>
      </c>
      <c r="S244" s="3" t="str">
        <f t="shared" si="53"/>
        <v>Office Supplies</v>
      </c>
      <c r="T244" t="s">
        <v>53</v>
      </c>
      <c r="U244" t="s">
        <v>1278</v>
      </c>
      <c r="V244" t="s">
        <v>32</v>
      </c>
      <c r="W244" s="3" t="str">
        <f t="shared" si="54"/>
        <v>Second Class</v>
      </c>
      <c r="X244">
        <v>3</v>
      </c>
      <c r="Y244">
        <v>1999.24</v>
      </c>
      <c r="Z244">
        <v>0.05</v>
      </c>
      <c r="AA244">
        <f t="shared" si="58"/>
        <v>0.05</v>
      </c>
      <c r="AB244">
        <f t="shared" si="59"/>
        <v>5697.8339999999998</v>
      </c>
      <c r="AC244">
        <v>5697.83</v>
      </c>
      <c r="AD244">
        <v>4251.5</v>
      </c>
      <c r="AE244">
        <v>1446.33</v>
      </c>
      <c r="AF244" t="s">
        <v>33</v>
      </c>
      <c r="AG244" t="s">
        <v>34</v>
      </c>
      <c r="AH244" t="str">
        <f t="shared" si="55"/>
        <v>Completed</v>
      </c>
      <c r="AI244" t="str">
        <f t="shared" si="56"/>
        <v>Valid</v>
      </c>
      <c r="AJ244">
        <f t="shared" si="57"/>
        <v>1446.33</v>
      </c>
      <c r="AK244" s="12">
        <f t="shared" si="60"/>
        <v>0.25383856391744652</v>
      </c>
      <c r="AL244">
        <f t="shared" si="61"/>
        <v>2</v>
      </c>
      <c r="AM244">
        <f t="shared" si="62"/>
        <v>2025</v>
      </c>
      <c r="AN244" t="str">
        <f t="shared" si="63"/>
        <v>Clean</v>
      </c>
    </row>
    <row r="245" spans="1:40">
      <c r="A245" t="s">
        <v>1279</v>
      </c>
      <c r="B245" s="3" t="s">
        <v>282</v>
      </c>
      <c r="C245" s="10">
        <v>45867</v>
      </c>
      <c r="D245" s="3" t="s">
        <v>1280</v>
      </c>
      <c r="E245" s="10">
        <v>45871</v>
      </c>
      <c r="F245" s="6" t="str">
        <f t="shared" si="48"/>
        <v>Valid</v>
      </c>
      <c r="G245" s="8">
        <f t="shared" si="49"/>
        <v>4</v>
      </c>
      <c r="H245" s="8" t="str">
        <f t="shared" si="50"/>
        <v>Valid</v>
      </c>
      <c r="I245" t="s">
        <v>1281</v>
      </c>
      <c r="J245" t="s">
        <v>167</v>
      </c>
      <c r="K245" t="s">
        <v>167</v>
      </c>
      <c r="L245" t="s">
        <v>40</v>
      </c>
      <c r="M245" s="3" t="str">
        <f t="shared" si="51"/>
        <v>Small Business</v>
      </c>
      <c r="O245" s="3" t="str">
        <f t="shared" si="52"/>
        <v>Unknown</v>
      </c>
      <c r="P245" t="s">
        <v>83</v>
      </c>
      <c r="Q245" t="s">
        <v>84</v>
      </c>
      <c r="R245" t="s">
        <v>85</v>
      </c>
      <c r="S245" s="3" t="str">
        <f t="shared" si="53"/>
        <v>Technology</v>
      </c>
      <c r="T245" t="s">
        <v>86</v>
      </c>
      <c r="U245" t="s">
        <v>1282</v>
      </c>
      <c r="V245" t="s">
        <v>55</v>
      </c>
      <c r="W245" s="3" t="str">
        <f t="shared" si="54"/>
        <v>First Class</v>
      </c>
      <c r="X245">
        <v>1</v>
      </c>
      <c r="Y245">
        <v>4499.46</v>
      </c>
      <c r="Z245">
        <v>0.1</v>
      </c>
      <c r="AA245">
        <f t="shared" si="58"/>
        <v>0.1</v>
      </c>
      <c r="AB245">
        <f t="shared" si="59"/>
        <v>4049.5140000000001</v>
      </c>
      <c r="AC245">
        <v>4049.51</v>
      </c>
      <c r="AD245">
        <v>2509.1999999999998</v>
      </c>
      <c r="AE245">
        <v>1540.31</v>
      </c>
      <c r="AF245" t="s">
        <v>33</v>
      </c>
      <c r="AG245" t="s">
        <v>1025</v>
      </c>
      <c r="AH245" t="str">
        <f t="shared" si="55"/>
        <v>Completed</v>
      </c>
      <c r="AI245" t="str">
        <f t="shared" si="56"/>
        <v>Valid</v>
      </c>
      <c r="AJ245">
        <f t="shared" si="57"/>
        <v>1540.3100000000004</v>
      </c>
      <c r="AK245" s="12">
        <f t="shared" si="60"/>
        <v>0.38036910108225341</v>
      </c>
      <c r="AL245">
        <f t="shared" si="61"/>
        <v>7</v>
      </c>
      <c r="AM245">
        <f t="shared" si="62"/>
        <v>2025</v>
      </c>
      <c r="AN245" t="str">
        <f t="shared" si="63"/>
        <v>Clean</v>
      </c>
    </row>
    <row r="246" spans="1:40">
      <c r="A246" t="s">
        <v>1283</v>
      </c>
      <c r="B246" s="3" t="s">
        <v>635</v>
      </c>
      <c r="C246" s="10">
        <v>45527</v>
      </c>
      <c r="D246" s="3" t="s">
        <v>1284</v>
      </c>
      <c r="E246" s="10">
        <v>45528</v>
      </c>
      <c r="F246" s="6" t="str">
        <f t="shared" si="48"/>
        <v>Valid</v>
      </c>
      <c r="G246" s="8">
        <f t="shared" si="49"/>
        <v>1</v>
      </c>
      <c r="H246" s="8" t="str">
        <f t="shared" si="50"/>
        <v>Valid</v>
      </c>
      <c r="I246" t="s">
        <v>1285</v>
      </c>
      <c r="J246" t="s">
        <v>92</v>
      </c>
      <c r="K246" t="s">
        <v>92</v>
      </c>
      <c r="L246" t="s">
        <v>25</v>
      </c>
      <c r="M246" s="3" t="str">
        <f t="shared" si="51"/>
        <v>Consumer</v>
      </c>
      <c r="N246" t="s">
        <v>61</v>
      </c>
      <c r="O246" s="3" t="str">
        <f t="shared" si="52"/>
        <v>South</v>
      </c>
      <c r="P246" t="s">
        <v>62</v>
      </c>
      <c r="Q246" t="s">
        <v>63</v>
      </c>
      <c r="R246" t="s">
        <v>44</v>
      </c>
      <c r="S246" s="3" t="str">
        <f t="shared" si="53"/>
        <v>Furniture</v>
      </c>
      <c r="T246" t="s">
        <v>203</v>
      </c>
      <c r="U246" t="s">
        <v>1286</v>
      </c>
      <c r="V246" t="s">
        <v>47</v>
      </c>
      <c r="W246" s="3" t="str">
        <f t="shared" si="54"/>
        <v>Same Day</v>
      </c>
      <c r="X246">
        <v>6</v>
      </c>
      <c r="Y246">
        <v>1021.89</v>
      </c>
      <c r="Z246">
        <v>0</v>
      </c>
      <c r="AA246">
        <f t="shared" si="58"/>
        <v>0</v>
      </c>
      <c r="AB246">
        <f t="shared" si="59"/>
        <v>6131.34</v>
      </c>
      <c r="AC246">
        <v>6131.34</v>
      </c>
      <c r="AD246">
        <v>4060.88</v>
      </c>
      <c r="AE246">
        <v>2070.46</v>
      </c>
      <c r="AF246" t="s">
        <v>33</v>
      </c>
      <c r="AG246" t="s">
        <v>34</v>
      </c>
      <c r="AH246" t="str">
        <f t="shared" si="55"/>
        <v>Completed</v>
      </c>
      <c r="AI246" t="str">
        <f t="shared" si="56"/>
        <v>Valid</v>
      </c>
      <c r="AJ246">
        <f t="shared" si="57"/>
        <v>2070.46</v>
      </c>
      <c r="AK246" s="12">
        <f t="shared" si="60"/>
        <v>0.33768474754295147</v>
      </c>
      <c r="AL246">
        <f t="shared" si="61"/>
        <v>8</v>
      </c>
      <c r="AM246">
        <f t="shared" si="62"/>
        <v>2024</v>
      </c>
      <c r="AN246" t="str">
        <f t="shared" si="63"/>
        <v>Clean</v>
      </c>
    </row>
    <row r="247" spans="1:40">
      <c r="A247" t="s">
        <v>1287</v>
      </c>
      <c r="B247" s="3" t="s">
        <v>643</v>
      </c>
      <c r="C247" s="10">
        <v>45583</v>
      </c>
      <c r="D247" s="3" t="s">
        <v>871</v>
      </c>
      <c r="E247" s="10">
        <v>45589</v>
      </c>
      <c r="F247" s="6" t="str">
        <f t="shared" si="48"/>
        <v>Valid</v>
      </c>
      <c r="G247" s="8">
        <f t="shared" si="49"/>
        <v>6</v>
      </c>
      <c r="H247" s="8" t="str">
        <f t="shared" si="50"/>
        <v>Valid</v>
      </c>
      <c r="I247" t="s">
        <v>1288</v>
      </c>
      <c r="J247" t="s">
        <v>92</v>
      </c>
      <c r="K247" t="s">
        <v>92</v>
      </c>
      <c r="L247" t="s">
        <v>114</v>
      </c>
      <c r="M247" s="3" t="str">
        <f t="shared" si="51"/>
        <v>Home Office</v>
      </c>
      <c r="N247" t="s">
        <v>61</v>
      </c>
      <c r="O247" s="3" t="str">
        <f t="shared" si="52"/>
        <v>South</v>
      </c>
      <c r="P247" t="s">
        <v>241</v>
      </c>
      <c r="Q247" t="s">
        <v>242</v>
      </c>
      <c r="R247" t="s">
        <v>1289</v>
      </c>
      <c r="S247" s="3" t="str">
        <f t="shared" si="53"/>
        <v>Furniture</v>
      </c>
      <c r="T247" t="s">
        <v>75</v>
      </c>
      <c r="U247" t="s">
        <v>1290</v>
      </c>
      <c r="V247" t="s">
        <v>32</v>
      </c>
      <c r="W247" s="3" t="str">
        <f t="shared" si="54"/>
        <v>Second Class</v>
      </c>
      <c r="X247">
        <v>3</v>
      </c>
      <c r="Y247">
        <v>3275.93</v>
      </c>
      <c r="Z247">
        <v>0</v>
      </c>
      <c r="AA247">
        <f t="shared" si="58"/>
        <v>0</v>
      </c>
      <c r="AB247">
        <f t="shared" si="59"/>
        <v>9827.7899999999991</v>
      </c>
      <c r="AC247">
        <v>9827.7900000000009</v>
      </c>
      <c r="AD247">
        <v>5478.28</v>
      </c>
      <c r="AE247">
        <v>4349.51</v>
      </c>
      <c r="AF247" t="s">
        <v>33</v>
      </c>
      <c r="AG247" t="s">
        <v>34</v>
      </c>
      <c r="AH247" t="str">
        <f t="shared" si="55"/>
        <v>Completed</v>
      </c>
      <c r="AI247" t="str">
        <f t="shared" si="56"/>
        <v>Valid</v>
      </c>
      <c r="AJ247">
        <f t="shared" si="57"/>
        <v>4349.5100000000011</v>
      </c>
      <c r="AK247" s="12">
        <f t="shared" si="60"/>
        <v>0.44257254174132754</v>
      </c>
      <c r="AL247">
        <f t="shared" si="61"/>
        <v>10</v>
      </c>
      <c r="AM247">
        <f t="shared" si="62"/>
        <v>2024</v>
      </c>
      <c r="AN247" t="str">
        <f t="shared" si="63"/>
        <v>Clean</v>
      </c>
    </row>
    <row r="248" spans="1:40">
      <c r="A248" t="s">
        <v>1291</v>
      </c>
      <c r="B248" s="3" t="s">
        <v>1292</v>
      </c>
      <c r="C248" s="10">
        <v>45416</v>
      </c>
      <c r="D248" s="3" t="s">
        <v>1293</v>
      </c>
      <c r="E248" s="10">
        <v>45421</v>
      </c>
      <c r="F248" s="6" t="str">
        <f t="shared" si="48"/>
        <v>Valid</v>
      </c>
      <c r="G248" s="8">
        <f t="shared" si="49"/>
        <v>5</v>
      </c>
      <c r="H248" s="8" t="str">
        <f t="shared" si="50"/>
        <v>Valid</v>
      </c>
      <c r="I248" t="s">
        <v>1294</v>
      </c>
      <c r="J248" t="s">
        <v>71</v>
      </c>
      <c r="K248" t="s">
        <v>71</v>
      </c>
      <c r="L248" t="s">
        <v>107</v>
      </c>
      <c r="M248" s="3" t="str">
        <f t="shared" si="51"/>
        <v>Corporate</v>
      </c>
      <c r="N248" t="s">
        <v>26</v>
      </c>
      <c r="O248" s="3" t="str">
        <f t="shared" si="52"/>
        <v>North</v>
      </c>
      <c r="P248" t="s">
        <v>153</v>
      </c>
      <c r="Q248" t="s">
        <v>154</v>
      </c>
      <c r="R248" t="s">
        <v>85</v>
      </c>
      <c r="S248" s="3" t="str">
        <f t="shared" si="53"/>
        <v>Technology</v>
      </c>
      <c r="T248" t="s">
        <v>381</v>
      </c>
      <c r="U248" t="s">
        <v>1295</v>
      </c>
      <c r="V248" t="s">
        <v>47</v>
      </c>
      <c r="W248" s="3" t="str">
        <f t="shared" si="54"/>
        <v>Same Day</v>
      </c>
      <c r="X248">
        <v>3</v>
      </c>
      <c r="Y248">
        <v>231.95</v>
      </c>
      <c r="Z248">
        <v>0.25</v>
      </c>
      <c r="AA248">
        <f t="shared" si="58"/>
        <v>0.25</v>
      </c>
      <c r="AB248">
        <f t="shared" si="59"/>
        <v>521.88749999999993</v>
      </c>
      <c r="AC248">
        <v>521.89</v>
      </c>
      <c r="AD248">
        <v>444.52</v>
      </c>
      <c r="AE248">
        <v>77.37</v>
      </c>
      <c r="AF248" t="s">
        <v>123</v>
      </c>
      <c r="AG248" t="s">
        <v>77</v>
      </c>
      <c r="AH248" t="str">
        <f t="shared" si="55"/>
        <v>Cancelled</v>
      </c>
      <c r="AI248" t="str">
        <f t="shared" si="56"/>
        <v>Valid</v>
      </c>
      <c r="AJ248">
        <f t="shared" si="57"/>
        <v>77.37</v>
      </c>
      <c r="AK248" s="12">
        <f t="shared" si="60"/>
        <v>0.14825034130919024</v>
      </c>
      <c r="AL248">
        <f t="shared" si="61"/>
        <v>5</v>
      </c>
      <c r="AM248">
        <f t="shared" si="62"/>
        <v>2024</v>
      </c>
      <c r="AN248" t="str">
        <f t="shared" si="63"/>
        <v>Clean</v>
      </c>
    </row>
    <row r="249" spans="1:40">
      <c r="A249" t="s">
        <v>1296</v>
      </c>
      <c r="B249" s="3" t="s">
        <v>1297</v>
      </c>
      <c r="C249" s="10">
        <v>45498</v>
      </c>
      <c r="D249" s="3" t="s">
        <v>1298</v>
      </c>
      <c r="E249" s="10">
        <v>45505</v>
      </c>
      <c r="F249" s="6" t="str">
        <f t="shared" si="48"/>
        <v>Valid</v>
      </c>
      <c r="G249" s="8">
        <f t="shared" si="49"/>
        <v>7</v>
      </c>
      <c r="H249" s="8" t="str">
        <f t="shared" si="50"/>
        <v>Valid</v>
      </c>
      <c r="I249" t="s">
        <v>1299</v>
      </c>
      <c r="J249" t="s">
        <v>147</v>
      </c>
      <c r="K249" t="s">
        <v>147</v>
      </c>
      <c r="L249" t="s">
        <v>107</v>
      </c>
      <c r="M249" s="3" t="str">
        <f t="shared" si="51"/>
        <v>Corporate</v>
      </c>
      <c r="N249" t="s">
        <v>26</v>
      </c>
      <c r="O249" s="3" t="str">
        <f t="shared" si="52"/>
        <v>North</v>
      </c>
      <c r="P249" t="s">
        <v>27</v>
      </c>
      <c r="Q249" t="s">
        <v>28</v>
      </c>
      <c r="R249" t="s">
        <v>85</v>
      </c>
      <c r="S249" s="3" t="str">
        <f t="shared" si="53"/>
        <v>Technology</v>
      </c>
      <c r="T249" t="s">
        <v>86</v>
      </c>
      <c r="U249" t="s">
        <v>1300</v>
      </c>
      <c r="V249" t="s">
        <v>32</v>
      </c>
      <c r="W249" s="3" t="str">
        <f t="shared" si="54"/>
        <v>Second Class</v>
      </c>
      <c r="X249">
        <v>8</v>
      </c>
      <c r="Y249">
        <v>2493.4</v>
      </c>
      <c r="Z249">
        <v>0.25</v>
      </c>
      <c r="AA249">
        <f t="shared" si="58"/>
        <v>0.25</v>
      </c>
      <c r="AB249">
        <f t="shared" si="59"/>
        <v>14960.400000000001</v>
      </c>
      <c r="AC249">
        <v>14960.4</v>
      </c>
      <c r="AD249">
        <v>12500.84</v>
      </c>
      <c r="AE249">
        <v>2459.56</v>
      </c>
      <c r="AF249" t="s">
        <v>33</v>
      </c>
      <c r="AG249" t="s">
        <v>34</v>
      </c>
      <c r="AH249" t="str">
        <f t="shared" si="55"/>
        <v>Completed</v>
      </c>
      <c r="AI249" t="str">
        <f t="shared" si="56"/>
        <v>Valid</v>
      </c>
      <c r="AJ249">
        <f t="shared" si="57"/>
        <v>2459.5599999999995</v>
      </c>
      <c r="AK249" s="12">
        <f t="shared" si="60"/>
        <v>0.16440469506162933</v>
      </c>
      <c r="AL249">
        <f t="shared" si="61"/>
        <v>7</v>
      </c>
      <c r="AM249">
        <f t="shared" si="62"/>
        <v>2024</v>
      </c>
      <c r="AN249" t="str">
        <f t="shared" si="63"/>
        <v>Clean</v>
      </c>
    </row>
    <row r="250" spans="1:40">
      <c r="A250" t="s">
        <v>1301</v>
      </c>
      <c r="B250" s="3" t="s">
        <v>1302</v>
      </c>
      <c r="C250" s="10">
        <v>45445</v>
      </c>
      <c r="D250" s="3" t="s">
        <v>577</v>
      </c>
      <c r="E250" s="10">
        <v>45450</v>
      </c>
      <c r="F250" s="6" t="str">
        <f t="shared" si="48"/>
        <v>Valid</v>
      </c>
      <c r="G250" s="8">
        <f t="shared" si="49"/>
        <v>5</v>
      </c>
      <c r="H250" s="8" t="str">
        <f t="shared" si="50"/>
        <v>Valid</v>
      </c>
      <c r="I250" t="s">
        <v>1303</v>
      </c>
      <c r="J250" t="s">
        <v>179</v>
      </c>
      <c r="K250" t="s">
        <v>179</v>
      </c>
      <c r="L250" t="s">
        <v>114</v>
      </c>
      <c r="M250" s="3" t="str">
        <f t="shared" si="51"/>
        <v>Home Office</v>
      </c>
      <c r="N250" t="s">
        <v>41</v>
      </c>
      <c r="O250" s="3" t="str">
        <f t="shared" si="52"/>
        <v>East</v>
      </c>
      <c r="P250" t="s">
        <v>42</v>
      </c>
      <c r="Q250" t="s">
        <v>43</v>
      </c>
      <c r="R250" t="s">
        <v>29</v>
      </c>
      <c r="S250" s="3" t="str">
        <f t="shared" si="53"/>
        <v>Office Supplies</v>
      </c>
      <c r="T250" t="s">
        <v>108</v>
      </c>
      <c r="U250" t="s">
        <v>1304</v>
      </c>
      <c r="V250" t="s">
        <v>32</v>
      </c>
      <c r="W250" s="3" t="str">
        <f t="shared" si="54"/>
        <v>Second Class</v>
      </c>
      <c r="X250">
        <v>9</v>
      </c>
      <c r="Y250">
        <v>787.91</v>
      </c>
      <c r="Z250">
        <v>0.15</v>
      </c>
      <c r="AA250">
        <f t="shared" si="58"/>
        <v>0.15</v>
      </c>
      <c r="AB250">
        <f t="shared" si="59"/>
        <v>6027.5114999999996</v>
      </c>
      <c r="AC250">
        <v>6027.51</v>
      </c>
      <c r="AD250">
        <v>4883.82</v>
      </c>
      <c r="AE250">
        <v>1143.69</v>
      </c>
      <c r="AF250" t="s">
        <v>33</v>
      </c>
      <c r="AG250" t="s">
        <v>34</v>
      </c>
      <c r="AH250" t="str">
        <f t="shared" si="55"/>
        <v>Completed</v>
      </c>
      <c r="AI250" t="str">
        <f t="shared" si="56"/>
        <v>Valid</v>
      </c>
      <c r="AJ250">
        <f t="shared" si="57"/>
        <v>1143.6900000000005</v>
      </c>
      <c r="AK250" s="12">
        <f t="shared" si="60"/>
        <v>0.18974497186774353</v>
      </c>
      <c r="AL250">
        <f t="shared" si="61"/>
        <v>6</v>
      </c>
      <c r="AM250">
        <f t="shared" si="62"/>
        <v>2024</v>
      </c>
      <c r="AN250" t="str">
        <f t="shared" si="63"/>
        <v>Clean</v>
      </c>
    </row>
    <row r="251" spans="1:40">
      <c r="A251" t="s">
        <v>1305</v>
      </c>
      <c r="B251" s="3" t="s">
        <v>819</v>
      </c>
      <c r="C251" s="10">
        <v>45870</v>
      </c>
      <c r="D251" s="3" t="s">
        <v>1306</v>
      </c>
      <c r="E251" s="10">
        <v>45871</v>
      </c>
      <c r="F251" s="6" t="str">
        <f t="shared" si="48"/>
        <v>Valid</v>
      </c>
      <c r="G251" s="8">
        <f t="shared" si="49"/>
        <v>1</v>
      </c>
      <c r="H251" s="8" t="str">
        <f t="shared" si="50"/>
        <v>Valid</v>
      </c>
      <c r="I251" t="s">
        <v>1307</v>
      </c>
      <c r="J251" t="s">
        <v>39</v>
      </c>
      <c r="K251" t="s">
        <v>39</v>
      </c>
      <c r="L251" t="s">
        <v>107</v>
      </c>
      <c r="M251" s="3" t="str">
        <f t="shared" si="51"/>
        <v>Corporate</v>
      </c>
      <c r="N251" t="s">
        <v>26</v>
      </c>
      <c r="O251" s="3" t="str">
        <f t="shared" si="52"/>
        <v>North</v>
      </c>
      <c r="P251" t="s">
        <v>27</v>
      </c>
      <c r="Q251" t="s">
        <v>28</v>
      </c>
      <c r="R251" t="s">
        <v>44</v>
      </c>
      <c r="S251" s="3" t="str">
        <f t="shared" si="53"/>
        <v>Furniture</v>
      </c>
      <c r="T251" t="s">
        <v>64</v>
      </c>
      <c r="U251" t="s">
        <v>1308</v>
      </c>
      <c r="V251" t="s">
        <v>55</v>
      </c>
      <c r="W251" s="3" t="str">
        <f t="shared" si="54"/>
        <v>First Class</v>
      </c>
      <c r="X251">
        <v>4</v>
      </c>
      <c r="Y251">
        <v>2790.29</v>
      </c>
      <c r="Z251">
        <v>0.2</v>
      </c>
      <c r="AA251">
        <f t="shared" si="58"/>
        <v>0.2</v>
      </c>
      <c r="AB251">
        <f t="shared" si="59"/>
        <v>8928.9279999999999</v>
      </c>
      <c r="AC251">
        <v>8928.93</v>
      </c>
      <c r="AD251">
        <v>5634.38</v>
      </c>
      <c r="AE251">
        <v>3294.55</v>
      </c>
      <c r="AF251" t="s">
        <v>33</v>
      </c>
      <c r="AG251" t="s">
        <v>34</v>
      </c>
      <c r="AH251" t="str">
        <f t="shared" si="55"/>
        <v>Completed</v>
      </c>
      <c r="AI251" t="str">
        <f t="shared" si="56"/>
        <v>Valid</v>
      </c>
      <c r="AJ251">
        <f t="shared" si="57"/>
        <v>3294.55</v>
      </c>
      <c r="AK251" s="12">
        <f t="shared" si="60"/>
        <v>0.36897486461980655</v>
      </c>
      <c r="AL251">
        <f t="shared" si="61"/>
        <v>8</v>
      </c>
      <c r="AM251">
        <f t="shared" si="62"/>
        <v>2025</v>
      </c>
      <c r="AN251" t="str">
        <f t="shared" si="63"/>
        <v>Clean</v>
      </c>
    </row>
    <row r="252" spans="1:40">
      <c r="A252" t="s">
        <v>1309</v>
      </c>
      <c r="B252" s="3" t="s">
        <v>1310</v>
      </c>
      <c r="C252" s="10">
        <v>45343</v>
      </c>
      <c r="D252" s="3" t="s">
        <v>1311</v>
      </c>
      <c r="E252" s="10">
        <v>45349</v>
      </c>
      <c r="F252" s="6" t="str">
        <f t="shared" si="48"/>
        <v>Valid</v>
      </c>
      <c r="G252" s="8">
        <f t="shared" si="49"/>
        <v>6</v>
      </c>
      <c r="H252" s="8" t="str">
        <f t="shared" si="50"/>
        <v>Valid</v>
      </c>
      <c r="I252" t="s">
        <v>1312</v>
      </c>
      <c r="J252" t="s">
        <v>60</v>
      </c>
      <c r="K252" t="s">
        <v>60</v>
      </c>
      <c r="L252" t="s">
        <v>40</v>
      </c>
      <c r="M252" s="3" t="str">
        <f t="shared" si="51"/>
        <v>Small Business</v>
      </c>
      <c r="N252" t="s">
        <v>41</v>
      </c>
      <c r="O252" s="3" t="str">
        <f t="shared" si="52"/>
        <v>East</v>
      </c>
      <c r="P252" t="s">
        <v>120</v>
      </c>
      <c r="Q252" t="s">
        <v>121</v>
      </c>
      <c r="R252" t="s">
        <v>44</v>
      </c>
      <c r="S252" s="3" t="str">
        <f t="shared" si="53"/>
        <v>Furniture</v>
      </c>
      <c r="T252" t="s">
        <v>64</v>
      </c>
      <c r="U252" t="s">
        <v>1313</v>
      </c>
      <c r="V252" t="s">
        <v>66</v>
      </c>
      <c r="W252" s="3" t="str">
        <f t="shared" si="54"/>
        <v>Standard Class</v>
      </c>
      <c r="X252">
        <v>5</v>
      </c>
      <c r="Y252">
        <v>3373.86</v>
      </c>
      <c r="Z252">
        <v>0.15</v>
      </c>
      <c r="AA252">
        <f t="shared" si="58"/>
        <v>0.15</v>
      </c>
      <c r="AB252">
        <f t="shared" si="59"/>
        <v>14338.904999999999</v>
      </c>
      <c r="AC252">
        <v>14338.9</v>
      </c>
      <c r="AD252">
        <v>11897.65</v>
      </c>
      <c r="AE252">
        <v>2441.25</v>
      </c>
      <c r="AF252" t="s">
        <v>136</v>
      </c>
      <c r="AG252" t="s">
        <v>124</v>
      </c>
      <c r="AH252" t="str">
        <f t="shared" si="55"/>
        <v>Returned</v>
      </c>
      <c r="AI252" t="str">
        <f t="shared" si="56"/>
        <v>Valid</v>
      </c>
      <c r="AJ252">
        <f t="shared" si="57"/>
        <v>2441.25</v>
      </c>
      <c r="AK252" s="12">
        <f t="shared" si="60"/>
        <v>0.17025358630941487</v>
      </c>
      <c r="AL252">
        <f t="shared" si="61"/>
        <v>2</v>
      </c>
      <c r="AM252">
        <f t="shared" si="62"/>
        <v>2024</v>
      </c>
      <c r="AN252" t="str">
        <f t="shared" si="63"/>
        <v>Clean</v>
      </c>
    </row>
    <row r="253" spans="1:40">
      <c r="A253" t="s">
        <v>1314</v>
      </c>
      <c r="B253" s="3" t="s">
        <v>1315</v>
      </c>
      <c r="C253" s="10">
        <v>45753</v>
      </c>
      <c r="D253" s="3" t="s">
        <v>89</v>
      </c>
      <c r="E253" s="10">
        <v>45757</v>
      </c>
      <c r="F253" s="6" t="str">
        <f t="shared" si="48"/>
        <v>Valid</v>
      </c>
      <c r="G253" s="8">
        <f t="shared" si="49"/>
        <v>4</v>
      </c>
      <c r="H253" s="8" t="str">
        <f t="shared" si="50"/>
        <v>Valid</v>
      </c>
      <c r="I253" t="s">
        <v>1316</v>
      </c>
      <c r="J253" t="s">
        <v>71</v>
      </c>
      <c r="K253" t="s">
        <v>71</v>
      </c>
      <c r="L253" t="s">
        <v>107</v>
      </c>
      <c r="M253" s="3" t="str">
        <f t="shared" si="51"/>
        <v>Corporate</v>
      </c>
      <c r="N253" t="s">
        <v>72</v>
      </c>
      <c r="O253" s="3" t="str">
        <f t="shared" si="52"/>
        <v>West</v>
      </c>
      <c r="P253" t="s">
        <v>234</v>
      </c>
      <c r="Q253" t="s">
        <v>235</v>
      </c>
      <c r="R253" t="s">
        <v>44</v>
      </c>
      <c r="S253" s="3" t="str">
        <f t="shared" si="53"/>
        <v>Furniture</v>
      </c>
      <c r="T253" t="s">
        <v>45</v>
      </c>
      <c r="U253" t="s">
        <v>1317</v>
      </c>
      <c r="V253" t="s">
        <v>32</v>
      </c>
      <c r="W253" s="3" t="str">
        <f t="shared" si="54"/>
        <v>Second Class</v>
      </c>
      <c r="X253">
        <v>6</v>
      </c>
      <c r="Y253">
        <v>1022.16</v>
      </c>
      <c r="Z253">
        <v>0</v>
      </c>
      <c r="AA253">
        <f t="shared" si="58"/>
        <v>0</v>
      </c>
      <c r="AB253">
        <f t="shared" si="59"/>
        <v>6132.96</v>
      </c>
      <c r="AC253">
        <v>6132.96</v>
      </c>
      <c r="AD253">
        <v>4881.1000000000004</v>
      </c>
      <c r="AE253">
        <v>1251.8599999999999</v>
      </c>
      <c r="AF253" t="s">
        <v>33</v>
      </c>
      <c r="AG253" t="s">
        <v>34</v>
      </c>
      <c r="AH253" t="str">
        <f t="shared" si="55"/>
        <v>Completed</v>
      </c>
      <c r="AI253" t="str">
        <f t="shared" si="56"/>
        <v>Valid</v>
      </c>
      <c r="AJ253">
        <f t="shared" si="57"/>
        <v>1251.8599999999997</v>
      </c>
      <c r="AK253" s="12">
        <f t="shared" si="60"/>
        <v>0.20412003339333692</v>
      </c>
      <c r="AL253">
        <f t="shared" si="61"/>
        <v>4</v>
      </c>
      <c r="AM253">
        <f t="shared" si="62"/>
        <v>2025</v>
      </c>
      <c r="AN253" t="str">
        <f t="shared" si="63"/>
        <v>Clean</v>
      </c>
    </row>
    <row r="254" spans="1:40">
      <c r="A254" t="s">
        <v>1318</v>
      </c>
      <c r="B254" s="3" t="s">
        <v>1319</v>
      </c>
      <c r="C254" s="10">
        <v>45833</v>
      </c>
      <c r="D254" s="3" t="s">
        <v>1214</v>
      </c>
      <c r="E254" s="10">
        <v>45836</v>
      </c>
      <c r="F254" s="6" t="str">
        <f t="shared" si="48"/>
        <v>Valid</v>
      </c>
      <c r="G254" s="8">
        <f t="shared" si="49"/>
        <v>3</v>
      </c>
      <c r="H254" s="8" t="str">
        <f t="shared" si="50"/>
        <v>Valid</v>
      </c>
      <c r="I254" t="s">
        <v>1320</v>
      </c>
      <c r="J254" t="s">
        <v>60</v>
      </c>
      <c r="K254" t="s">
        <v>60</v>
      </c>
      <c r="L254" t="s">
        <v>107</v>
      </c>
      <c r="M254" s="3" t="str">
        <f t="shared" si="51"/>
        <v>Corporate</v>
      </c>
      <c r="N254" t="s">
        <v>26</v>
      </c>
      <c r="O254" s="3" t="str">
        <f t="shared" si="52"/>
        <v>North</v>
      </c>
      <c r="P254" t="s">
        <v>322</v>
      </c>
      <c r="Q254" t="s">
        <v>323</v>
      </c>
      <c r="R254" t="s">
        <v>29</v>
      </c>
      <c r="S254" s="3" t="str">
        <f t="shared" si="53"/>
        <v>Office Supplies</v>
      </c>
      <c r="T254" t="s">
        <v>155</v>
      </c>
      <c r="U254" t="s">
        <v>1321</v>
      </c>
      <c r="V254" t="s">
        <v>55</v>
      </c>
      <c r="W254" s="3" t="str">
        <f t="shared" si="54"/>
        <v>First Class</v>
      </c>
      <c r="X254">
        <v>2</v>
      </c>
      <c r="Y254">
        <v>1455.92</v>
      </c>
      <c r="Z254">
        <v>0.2</v>
      </c>
      <c r="AA254">
        <f t="shared" si="58"/>
        <v>0.2</v>
      </c>
      <c r="AB254">
        <f t="shared" si="59"/>
        <v>2329.4720000000002</v>
      </c>
      <c r="AC254">
        <v>2329.4699999999998</v>
      </c>
      <c r="AD254">
        <v>1603.62</v>
      </c>
      <c r="AE254">
        <v>725.85</v>
      </c>
      <c r="AF254" t="s">
        <v>136</v>
      </c>
      <c r="AG254" t="s">
        <v>124</v>
      </c>
      <c r="AH254" t="str">
        <f t="shared" si="55"/>
        <v>Returned</v>
      </c>
      <c r="AI254" t="str">
        <f t="shared" si="56"/>
        <v>Valid</v>
      </c>
      <c r="AJ254">
        <f t="shared" si="57"/>
        <v>725.84999999999991</v>
      </c>
      <c r="AK254" s="12">
        <f t="shared" si="60"/>
        <v>0.31159421534150222</v>
      </c>
      <c r="AL254">
        <f t="shared" si="61"/>
        <v>6</v>
      </c>
      <c r="AM254">
        <f t="shared" si="62"/>
        <v>2025</v>
      </c>
      <c r="AN254" t="str">
        <f t="shared" si="63"/>
        <v>Clean</v>
      </c>
    </row>
    <row r="255" spans="1:40">
      <c r="A255" t="s">
        <v>1322</v>
      </c>
      <c r="B255" s="3" t="s">
        <v>1323</v>
      </c>
      <c r="C255" s="10">
        <v>45547</v>
      </c>
      <c r="D255" s="3" t="s">
        <v>1324</v>
      </c>
      <c r="E255" s="10">
        <v>45548</v>
      </c>
      <c r="F255" s="6" t="str">
        <f t="shared" si="48"/>
        <v>Valid</v>
      </c>
      <c r="G255" s="8">
        <f t="shared" si="49"/>
        <v>1</v>
      </c>
      <c r="H255" s="8" t="str">
        <f t="shared" si="50"/>
        <v>Valid</v>
      </c>
      <c r="I255" t="s">
        <v>1325</v>
      </c>
      <c r="J255" t="s">
        <v>141</v>
      </c>
      <c r="K255" t="s">
        <v>141</v>
      </c>
      <c r="L255" t="s">
        <v>40</v>
      </c>
      <c r="M255" s="3" t="str">
        <f t="shared" si="51"/>
        <v>Small Business</v>
      </c>
      <c r="N255" t="s">
        <v>26</v>
      </c>
      <c r="O255" s="3" t="str">
        <f t="shared" si="52"/>
        <v>North</v>
      </c>
      <c r="P255" t="s">
        <v>27</v>
      </c>
      <c r="Q255" t="s">
        <v>28</v>
      </c>
      <c r="R255" t="s">
        <v>85</v>
      </c>
      <c r="S255" s="3" t="str">
        <f t="shared" si="53"/>
        <v>Technology</v>
      </c>
      <c r="T255" t="s">
        <v>222</v>
      </c>
      <c r="U255" t="s">
        <v>1326</v>
      </c>
      <c r="V255" t="s">
        <v>47</v>
      </c>
      <c r="W255" s="3" t="str">
        <f t="shared" si="54"/>
        <v>Same Day</v>
      </c>
      <c r="X255">
        <v>6</v>
      </c>
      <c r="Y255">
        <v>832.79</v>
      </c>
      <c r="Z255">
        <v>0.05</v>
      </c>
      <c r="AA255">
        <f t="shared" si="58"/>
        <v>0.05</v>
      </c>
      <c r="AB255">
        <f t="shared" si="59"/>
        <v>4746.9029999999993</v>
      </c>
      <c r="AC255">
        <v>4746.8999999999996</v>
      </c>
      <c r="AD255">
        <v>2825.38</v>
      </c>
      <c r="AE255">
        <v>1472.89</v>
      </c>
      <c r="AF255" t="s">
        <v>123</v>
      </c>
      <c r="AG255" t="s">
        <v>77</v>
      </c>
      <c r="AH255" t="str">
        <f t="shared" si="55"/>
        <v>Cancelled</v>
      </c>
      <c r="AI255" t="str">
        <f t="shared" si="56"/>
        <v>Valid</v>
      </c>
      <c r="AJ255">
        <f t="shared" si="57"/>
        <v>1921.5199999999995</v>
      </c>
      <c r="AK255" s="12">
        <f t="shared" si="60"/>
        <v>0.40479445229868816</v>
      </c>
      <c r="AL255">
        <f t="shared" si="61"/>
        <v>9</v>
      </c>
      <c r="AM255">
        <f t="shared" si="62"/>
        <v>2024</v>
      </c>
      <c r="AN255" t="str">
        <f t="shared" si="63"/>
        <v>Clean</v>
      </c>
    </row>
    <row r="256" spans="1:40">
      <c r="A256" t="s">
        <v>1327</v>
      </c>
      <c r="B256" s="3" t="s">
        <v>1328</v>
      </c>
      <c r="C256" s="10">
        <v>45658</v>
      </c>
      <c r="D256" s="3" t="s">
        <v>1329</v>
      </c>
      <c r="E256" s="10">
        <v>45660</v>
      </c>
      <c r="F256" s="6" t="str">
        <f t="shared" si="48"/>
        <v>Valid</v>
      </c>
      <c r="G256" s="8">
        <f t="shared" si="49"/>
        <v>2</v>
      </c>
      <c r="H256" s="8" t="str">
        <f t="shared" si="50"/>
        <v>Valid</v>
      </c>
      <c r="I256" t="s">
        <v>1330</v>
      </c>
      <c r="J256" t="s">
        <v>71</v>
      </c>
      <c r="K256" t="s">
        <v>71</v>
      </c>
      <c r="L256" t="s">
        <v>25</v>
      </c>
      <c r="M256" s="3" t="str">
        <f t="shared" si="51"/>
        <v>Consumer</v>
      </c>
      <c r="N256" t="s">
        <v>72</v>
      </c>
      <c r="O256" s="3" t="str">
        <f t="shared" si="52"/>
        <v>West</v>
      </c>
      <c r="P256" t="s">
        <v>83</v>
      </c>
      <c r="Q256" t="s">
        <v>84</v>
      </c>
      <c r="R256" t="s">
        <v>85</v>
      </c>
      <c r="S256" s="3" t="str">
        <f t="shared" si="53"/>
        <v>Technology</v>
      </c>
      <c r="T256" t="s">
        <v>86</v>
      </c>
      <c r="U256" t="s">
        <v>1331</v>
      </c>
      <c r="V256" t="s">
        <v>47</v>
      </c>
      <c r="W256" s="3" t="str">
        <f t="shared" si="54"/>
        <v>Same Day</v>
      </c>
      <c r="X256">
        <v>7</v>
      </c>
      <c r="Y256">
        <v>1000.55</v>
      </c>
      <c r="Z256">
        <v>0.2</v>
      </c>
      <c r="AA256">
        <f t="shared" si="58"/>
        <v>0.2</v>
      </c>
      <c r="AB256">
        <f t="shared" si="59"/>
        <v>5603.08</v>
      </c>
      <c r="AC256">
        <v>5603.08</v>
      </c>
      <c r="AD256">
        <v>3132.52</v>
      </c>
      <c r="AE256">
        <v>2470.56</v>
      </c>
      <c r="AF256" t="s">
        <v>33</v>
      </c>
      <c r="AG256" t="s">
        <v>124</v>
      </c>
      <c r="AH256" t="str">
        <f t="shared" si="55"/>
        <v>Returned</v>
      </c>
      <c r="AI256" t="str">
        <f t="shared" si="56"/>
        <v>Valid</v>
      </c>
      <c r="AJ256">
        <f t="shared" si="57"/>
        <v>2470.56</v>
      </c>
      <c r="AK256" s="12">
        <f t="shared" si="60"/>
        <v>0.44092891766671188</v>
      </c>
      <c r="AL256">
        <f t="shared" si="61"/>
        <v>1</v>
      </c>
      <c r="AM256">
        <f t="shared" si="62"/>
        <v>2025</v>
      </c>
      <c r="AN256" t="str">
        <f t="shared" si="63"/>
        <v>Clean</v>
      </c>
    </row>
    <row r="257" spans="1:40">
      <c r="A257" t="s">
        <v>1332</v>
      </c>
      <c r="B257" s="3" t="s">
        <v>1333</v>
      </c>
      <c r="C257" s="10">
        <v>45692</v>
      </c>
      <c r="D257" s="3" t="s">
        <v>1334</v>
      </c>
      <c r="E257" s="10">
        <v>45698</v>
      </c>
      <c r="F257" s="6" t="str">
        <f t="shared" si="48"/>
        <v>Valid</v>
      </c>
      <c r="G257" s="8">
        <f t="shared" si="49"/>
        <v>6</v>
      </c>
      <c r="H257" s="8" t="str">
        <f t="shared" si="50"/>
        <v>Valid</v>
      </c>
      <c r="I257" t="s">
        <v>1335</v>
      </c>
      <c r="J257" t="s">
        <v>52</v>
      </c>
      <c r="K257" t="s">
        <v>52</v>
      </c>
      <c r="L257" t="s">
        <v>107</v>
      </c>
      <c r="M257" s="3" t="str">
        <f t="shared" si="51"/>
        <v>Corporate</v>
      </c>
      <c r="N257" t="s">
        <v>72</v>
      </c>
      <c r="O257" s="3" t="str">
        <f t="shared" si="52"/>
        <v>West</v>
      </c>
      <c r="P257" t="s">
        <v>73</v>
      </c>
      <c r="Q257" t="s">
        <v>74</v>
      </c>
      <c r="R257" t="s">
        <v>85</v>
      </c>
      <c r="S257" s="3" t="str">
        <f t="shared" si="53"/>
        <v>Technology</v>
      </c>
      <c r="T257" t="s">
        <v>222</v>
      </c>
      <c r="U257" t="s">
        <v>1336</v>
      </c>
      <c r="V257" t="s">
        <v>55</v>
      </c>
      <c r="W257" s="3" t="str">
        <f t="shared" si="54"/>
        <v>First Class</v>
      </c>
      <c r="X257">
        <v>7</v>
      </c>
      <c r="Y257">
        <v>1830</v>
      </c>
      <c r="Z257">
        <v>0</v>
      </c>
      <c r="AA257">
        <f t="shared" si="58"/>
        <v>0</v>
      </c>
      <c r="AB257">
        <f t="shared" si="59"/>
        <v>12810</v>
      </c>
      <c r="AC257">
        <v>12810</v>
      </c>
      <c r="AD257">
        <v>9334.1200000000008</v>
      </c>
      <c r="AE257">
        <v>3475.88</v>
      </c>
      <c r="AF257" t="s">
        <v>33</v>
      </c>
      <c r="AG257" t="s">
        <v>34</v>
      </c>
      <c r="AH257" t="str">
        <f t="shared" si="55"/>
        <v>Completed</v>
      </c>
      <c r="AI257" t="str">
        <f t="shared" si="56"/>
        <v>Valid</v>
      </c>
      <c r="AJ257">
        <f t="shared" si="57"/>
        <v>3475.8799999999992</v>
      </c>
      <c r="AK257" s="12">
        <f t="shared" si="60"/>
        <v>0.27134113973458229</v>
      </c>
      <c r="AL257">
        <f t="shared" si="61"/>
        <v>2</v>
      </c>
      <c r="AM257">
        <f t="shared" si="62"/>
        <v>2025</v>
      </c>
      <c r="AN257" t="str">
        <f t="shared" si="63"/>
        <v>Clean</v>
      </c>
    </row>
    <row r="258" spans="1:40">
      <c r="A258" t="s">
        <v>1337</v>
      </c>
      <c r="B258" s="3" t="s">
        <v>1338</v>
      </c>
      <c r="C258" s="10">
        <v>45601</v>
      </c>
      <c r="D258" s="3" t="s">
        <v>482</v>
      </c>
      <c r="E258" s="10">
        <v>45599</v>
      </c>
      <c r="F258" s="6" t="str">
        <f t="shared" ref="F258:F321" si="64">IF(E258&lt;C258,"Invalid Shipping Record","Valid")</f>
        <v>Invalid Shipping Record</v>
      </c>
      <c r="G258" s="8">
        <f t="shared" ref="G258:G321" si="65">E258-C258</f>
        <v>-2</v>
      </c>
      <c r="H258" s="8" t="str">
        <f t="shared" ref="H258:H321" si="66">IF(OR(C258="",E258=""),"Missing Date",IF(OR(NOT(ISNUMBER(C258)),NOT(ISNUMBER(E258))),"Invalid Date",IF(E258&lt;C258,"Invalid Shipping Record","Valid")))</f>
        <v>Invalid Shipping Record</v>
      </c>
      <c r="I258" t="s">
        <v>1339</v>
      </c>
      <c r="J258" t="s">
        <v>71</v>
      </c>
      <c r="K258" t="s">
        <v>71</v>
      </c>
      <c r="L258" t="s">
        <v>25</v>
      </c>
      <c r="M258" s="3" t="str">
        <f t="shared" ref="M258:M321" si="67">PROPER(TRIM(L258))</f>
        <v>Consumer</v>
      </c>
      <c r="N258" t="s">
        <v>41</v>
      </c>
      <c r="O258" s="3" t="str">
        <f t="shared" ref="O258:O321" si="68">IF(TRIM(N258)="","Unknown",PROPER(TRIM(N258)))</f>
        <v>East</v>
      </c>
      <c r="P258" t="s">
        <v>120</v>
      </c>
      <c r="Q258" t="s">
        <v>121</v>
      </c>
      <c r="R258" t="s">
        <v>44</v>
      </c>
      <c r="S258" s="3" t="str">
        <f t="shared" ref="S258:S321" si="69">PROPER(TRIM(R258))</f>
        <v>Furniture</v>
      </c>
      <c r="T258" t="s">
        <v>45</v>
      </c>
      <c r="U258" t="s">
        <v>1340</v>
      </c>
      <c r="V258" t="s">
        <v>55</v>
      </c>
      <c r="W258" s="3" t="str">
        <f t="shared" ref="W258:W321" si="70">IF(TRIM(V258)="","Unknown",PROPER(TRIM(V258)))</f>
        <v>First Class</v>
      </c>
      <c r="X258">
        <v>9</v>
      </c>
      <c r="Y258">
        <v>2260.61</v>
      </c>
      <c r="Z258">
        <v>0.05</v>
      </c>
      <c r="AA258">
        <f t="shared" si="58"/>
        <v>0.05</v>
      </c>
      <c r="AB258">
        <f t="shared" si="59"/>
        <v>19328.215500000002</v>
      </c>
      <c r="AC258">
        <v>19328.22</v>
      </c>
      <c r="AD258">
        <v>12039.5</v>
      </c>
      <c r="AE258">
        <v>7288.72</v>
      </c>
      <c r="AF258" t="s">
        <v>33</v>
      </c>
      <c r="AG258" t="s">
        <v>34</v>
      </c>
      <c r="AH258" t="str">
        <f t="shared" ref="AH258:AH321" si="71">PROPER(TRIM(AG258))</f>
        <v>Completed</v>
      </c>
      <c r="AI258" t="str">
        <f t="shared" ref="AI258:AI321" si="72">IF(Z258&lt;0,"Invalid - Negative Discount",IF(Z258&gt;1,"Invalid - Discount Above Range","Valid"))</f>
        <v>Valid</v>
      </c>
      <c r="AJ258">
        <f t="shared" ref="AJ258:AJ321" si="73">AC258-AD258</f>
        <v>7288.7200000000012</v>
      </c>
      <c r="AK258" s="12">
        <f t="shared" si="60"/>
        <v>0.37710258352614084</v>
      </c>
      <c r="AL258">
        <f t="shared" si="61"/>
        <v>11</v>
      </c>
      <c r="AM258">
        <f t="shared" si="62"/>
        <v>2024</v>
      </c>
      <c r="AN258" t="str">
        <f t="shared" si="63"/>
        <v>Invalid</v>
      </c>
    </row>
    <row r="259" spans="1:40">
      <c r="A259" t="s">
        <v>1341</v>
      </c>
      <c r="B259" s="3" t="s">
        <v>1342</v>
      </c>
      <c r="C259" s="10">
        <v>45878</v>
      </c>
      <c r="D259" s="3" t="s">
        <v>1343</v>
      </c>
      <c r="E259" s="10">
        <v>45881</v>
      </c>
      <c r="F259" s="6" t="str">
        <f t="shared" si="64"/>
        <v>Valid</v>
      </c>
      <c r="G259" s="8">
        <f t="shared" si="65"/>
        <v>3</v>
      </c>
      <c r="H259" s="8" t="str">
        <f t="shared" si="66"/>
        <v>Valid</v>
      </c>
      <c r="I259" t="s">
        <v>1344</v>
      </c>
      <c r="J259" t="s">
        <v>209</v>
      </c>
      <c r="K259" t="s">
        <v>209</v>
      </c>
      <c r="L259" t="s">
        <v>107</v>
      </c>
      <c r="M259" s="3" t="str">
        <f t="shared" si="67"/>
        <v>Corporate</v>
      </c>
      <c r="N259" t="s">
        <v>61</v>
      </c>
      <c r="O259" s="3" t="str">
        <f t="shared" si="68"/>
        <v>South</v>
      </c>
      <c r="P259" t="s">
        <v>228</v>
      </c>
      <c r="Q259" t="s">
        <v>229</v>
      </c>
      <c r="R259" t="s">
        <v>85</v>
      </c>
      <c r="S259" s="3" t="str">
        <f t="shared" si="69"/>
        <v>Technology</v>
      </c>
      <c r="T259" t="s">
        <v>86</v>
      </c>
      <c r="U259" t="s">
        <v>1345</v>
      </c>
      <c r="V259" t="s">
        <v>32</v>
      </c>
      <c r="W259" s="3" t="str">
        <f t="shared" si="70"/>
        <v>Second Class</v>
      </c>
      <c r="X259">
        <v>2</v>
      </c>
      <c r="Y259">
        <v>3237.27</v>
      </c>
      <c r="Z259">
        <v>0</v>
      </c>
      <c r="AA259">
        <f t="shared" ref="AA259:AA322" si="74">IF(Z259="",0,Z259)</f>
        <v>0</v>
      </c>
      <c r="AB259">
        <f t="shared" ref="AB259:AB322" si="75">X259*Y259*(1-Z259)</f>
        <v>6474.54</v>
      </c>
      <c r="AC259">
        <v>6474.54</v>
      </c>
      <c r="AD259">
        <v>5095.91</v>
      </c>
      <c r="AE259">
        <v>1378.63</v>
      </c>
      <c r="AF259" t="s">
        <v>33</v>
      </c>
      <c r="AG259" t="s">
        <v>77</v>
      </c>
      <c r="AH259" t="str">
        <f t="shared" si="71"/>
        <v>Cancelled</v>
      </c>
      <c r="AI259" t="str">
        <f t="shared" si="72"/>
        <v>Valid</v>
      </c>
      <c r="AJ259">
        <f t="shared" si="73"/>
        <v>1378.63</v>
      </c>
      <c r="AK259" s="12">
        <f t="shared" ref="AK259:AK322" si="76">IF(AB259=0,"",AJ259/AB259)</f>
        <v>0.21293095725719513</v>
      </c>
      <c r="AL259">
        <f t="shared" ref="AL259:AL322" si="77">MONTH(C259)</f>
        <v>8</v>
      </c>
      <c r="AM259">
        <f t="shared" ref="AM259:AM322" si="78">YEAR(C259)</f>
        <v>2025</v>
      </c>
      <c r="AN259" t="str">
        <f t="shared" ref="AN259:AN322" si="79">IF(H259="Invalid Shipping Record","Invalid","Clean")</f>
        <v>Clean</v>
      </c>
    </row>
    <row r="260" spans="1:40">
      <c r="A260" t="s">
        <v>1346</v>
      </c>
      <c r="B260" s="3" t="s">
        <v>824</v>
      </c>
      <c r="C260" s="10">
        <v>45656</v>
      </c>
      <c r="D260" s="3" t="s">
        <v>1347</v>
      </c>
      <c r="E260" s="10">
        <v>45661</v>
      </c>
      <c r="F260" s="6" t="str">
        <f t="shared" si="64"/>
        <v>Valid</v>
      </c>
      <c r="G260" s="8">
        <f t="shared" si="65"/>
        <v>5</v>
      </c>
      <c r="H260" s="8" t="str">
        <f t="shared" si="66"/>
        <v>Valid</v>
      </c>
      <c r="I260" t="s">
        <v>1348</v>
      </c>
      <c r="J260" t="s">
        <v>167</v>
      </c>
      <c r="K260" t="s">
        <v>167</v>
      </c>
      <c r="L260" t="s">
        <v>107</v>
      </c>
      <c r="M260" s="3" t="str">
        <f t="shared" si="67"/>
        <v>Corporate</v>
      </c>
      <c r="N260" t="s">
        <v>61</v>
      </c>
      <c r="O260" s="3" t="str">
        <f t="shared" si="68"/>
        <v>South</v>
      </c>
      <c r="P260" t="s">
        <v>338</v>
      </c>
      <c r="Q260" t="s">
        <v>339</v>
      </c>
      <c r="R260" t="s">
        <v>44</v>
      </c>
      <c r="S260" s="3" t="str">
        <f t="shared" si="69"/>
        <v>Furniture</v>
      </c>
      <c r="T260" t="s">
        <v>45</v>
      </c>
      <c r="U260" t="s">
        <v>1349</v>
      </c>
      <c r="V260" t="s">
        <v>47</v>
      </c>
      <c r="W260" s="3" t="str">
        <f t="shared" si="70"/>
        <v>Same Day</v>
      </c>
      <c r="X260">
        <v>2</v>
      </c>
      <c r="Y260">
        <v>3720.07</v>
      </c>
      <c r="Z260">
        <v>0.25</v>
      </c>
      <c r="AA260">
        <f t="shared" si="74"/>
        <v>0.25</v>
      </c>
      <c r="AB260">
        <f t="shared" si="75"/>
        <v>5580.1050000000005</v>
      </c>
      <c r="AC260">
        <v>5580.11</v>
      </c>
      <c r="AD260">
        <v>4307.01</v>
      </c>
      <c r="AE260">
        <v>1273.0999999999999</v>
      </c>
      <c r="AF260" t="s">
        <v>33</v>
      </c>
      <c r="AG260" t="s">
        <v>34</v>
      </c>
      <c r="AH260" t="str">
        <f t="shared" si="71"/>
        <v>Completed</v>
      </c>
      <c r="AI260" t="str">
        <f t="shared" si="72"/>
        <v>Valid</v>
      </c>
      <c r="AJ260">
        <f t="shared" si="73"/>
        <v>1273.0999999999995</v>
      </c>
      <c r="AK260" s="12">
        <f t="shared" si="76"/>
        <v>0.22814982872186085</v>
      </c>
      <c r="AL260">
        <f t="shared" si="77"/>
        <v>12</v>
      </c>
      <c r="AM260">
        <f t="shared" si="78"/>
        <v>2024</v>
      </c>
      <c r="AN260" t="str">
        <f t="shared" si="79"/>
        <v>Clean</v>
      </c>
    </row>
    <row r="261" spans="1:40">
      <c r="A261" t="s">
        <v>1350</v>
      </c>
      <c r="B261" s="3" t="s">
        <v>1351</v>
      </c>
      <c r="C261" s="10">
        <v>45464</v>
      </c>
      <c r="D261" s="3" t="s">
        <v>1352</v>
      </c>
      <c r="E261" s="10">
        <v>45472</v>
      </c>
      <c r="F261" s="6" t="str">
        <f t="shared" si="64"/>
        <v>Valid</v>
      </c>
      <c r="G261" s="8">
        <f t="shared" si="65"/>
        <v>8</v>
      </c>
      <c r="H261" s="8" t="str">
        <f t="shared" si="66"/>
        <v>Valid</v>
      </c>
      <c r="I261" t="s">
        <v>1353</v>
      </c>
      <c r="J261" t="s">
        <v>92</v>
      </c>
      <c r="K261" t="s">
        <v>92</v>
      </c>
      <c r="L261" t="s">
        <v>25</v>
      </c>
      <c r="M261" s="3" t="str">
        <f t="shared" si="67"/>
        <v>Consumer</v>
      </c>
      <c r="N261" t="s">
        <v>61</v>
      </c>
      <c r="O261" s="3" t="str">
        <f t="shared" si="68"/>
        <v>South</v>
      </c>
      <c r="P261" t="s">
        <v>338</v>
      </c>
      <c r="Q261" t="s">
        <v>339</v>
      </c>
      <c r="R261" t="s">
        <v>85</v>
      </c>
      <c r="S261" s="3" t="str">
        <f t="shared" si="69"/>
        <v>Technology</v>
      </c>
      <c r="T261" t="s">
        <v>381</v>
      </c>
      <c r="U261" t="s">
        <v>1354</v>
      </c>
      <c r="V261" t="s">
        <v>66</v>
      </c>
      <c r="W261" s="3" t="str">
        <f t="shared" si="70"/>
        <v>Standard Class</v>
      </c>
      <c r="X261">
        <v>8</v>
      </c>
      <c r="Y261">
        <v>2853.92</v>
      </c>
      <c r="Z261">
        <v>0.2</v>
      </c>
      <c r="AA261">
        <f t="shared" si="74"/>
        <v>0.2</v>
      </c>
      <c r="AB261">
        <f t="shared" si="75"/>
        <v>18265.088</v>
      </c>
      <c r="AC261">
        <v>18265.09</v>
      </c>
      <c r="AD261">
        <v>10437.14</v>
      </c>
      <c r="AE261">
        <v>7827.95</v>
      </c>
      <c r="AF261" t="s">
        <v>33</v>
      </c>
      <c r="AG261" t="s">
        <v>34</v>
      </c>
      <c r="AH261" t="str">
        <f t="shared" si="71"/>
        <v>Completed</v>
      </c>
      <c r="AI261" t="str">
        <f t="shared" si="72"/>
        <v>Valid</v>
      </c>
      <c r="AJ261">
        <f t="shared" si="73"/>
        <v>7827.9500000000007</v>
      </c>
      <c r="AK261" s="12">
        <f t="shared" si="76"/>
        <v>0.428574447601895</v>
      </c>
      <c r="AL261">
        <f t="shared" si="77"/>
        <v>6</v>
      </c>
      <c r="AM261">
        <f t="shared" si="78"/>
        <v>2024</v>
      </c>
      <c r="AN261" t="str">
        <f t="shared" si="79"/>
        <v>Clean</v>
      </c>
    </row>
    <row r="262" spans="1:40">
      <c r="A262" t="s">
        <v>1355</v>
      </c>
      <c r="B262" s="3" t="s">
        <v>1356</v>
      </c>
      <c r="C262" s="10">
        <v>45923</v>
      </c>
      <c r="D262" s="3" t="s">
        <v>1357</v>
      </c>
      <c r="E262" s="10">
        <v>45927</v>
      </c>
      <c r="F262" s="6" t="str">
        <f t="shared" si="64"/>
        <v>Valid</v>
      </c>
      <c r="G262" s="8">
        <f t="shared" si="65"/>
        <v>4</v>
      </c>
      <c r="H262" s="8" t="str">
        <f t="shared" si="66"/>
        <v>Valid</v>
      </c>
      <c r="I262" t="s">
        <v>1358</v>
      </c>
      <c r="J262" t="s">
        <v>106</v>
      </c>
      <c r="K262" t="s">
        <v>106</v>
      </c>
      <c r="L262" t="s">
        <v>107</v>
      </c>
      <c r="M262" s="3" t="str">
        <f t="shared" si="67"/>
        <v>Corporate</v>
      </c>
      <c r="N262" t="s">
        <v>41</v>
      </c>
      <c r="O262" s="3" t="str">
        <f t="shared" si="68"/>
        <v>East</v>
      </c>
      <c r="P262" t="s">
        <v>120</v>
      </c>
      <c r="Q262" t="s">
        <v>121</v>
      </c>
      <c r="R262" t="s">
        <v>29</v>
      </c>
      <c r="S262" s="3" t="str">
        <f t="shared" si="69"/>
        <v>Office Supplies</v>
      </c>
      <c r="T262" t="s">
        <v>197</v>
      </c>
      <c r="U262" t="s">
        <v>1359</v>
      </c>
      <c r="V262" t="s">
        <v>47</v>
      </c>
      <c r="W262" s="3" t="str">
        <f t="shared" si="70"/>
        <v>Same Day</v>
      </c>
      <c r="X262">
        <v>7</v>
      </c>
      <c r="Y262">
        <v>2897.12</v>
      </c>
      <c r="Z262">
        <v>0.25</v>
      </c>
      <c r="AA262">
        <f t="shared" si="74"/>
        <v>0.25</v>
      </c>
      <c r="AB262">
        <f t="shared" si="75"/>
        <v>15209.880000000001</v>
      </c>
      <c r="AC262">
        <v>15209.88</v>
      </c>
      <c r="AD262">
        <v>10891.15</v>
      </c>
      <c r="AE262">
        <v>4318.7299999999996</v>
      </c>
      <c r="AF262" t="s">
        <v>199</v>
      </c>
      <c r="AG262" t="s">
        <v>124</v>
      </c>
      <c r="AH262" t="str">
        <f t="shared" si="71"/>
        <v>Returned</v>
      </c>
      <c r="AI262" t="str">
        <f t="shared" si="72"/>
        <v>Valid</v>
      </c>
      <c r="AJ262">
        <f t="shared" si="73"/>
        <v>4318.7299999999996</v>
      </c>
      <c r="AK262" s="12">
        <f t="shared" si="76"/>
        <v>0.28394241111698443</v>
      </c>
      <c r="AL262">
        <f t="shared" si="77"/>
        <v>9</v>
      </c>
      <c r="AM262">
        <f t="shared" si="78"/>
        <v>2025</v>
      </c>
      <c r="AN262" t="str">
        <f t="shared" si="79"/>
        <v>Clean</v>
      </c>
    </row>
    <row r="263" spans="1:40">
      <c r="A263" t="s">
        <v>1360</v>
      </c>
      <c r="B263" s="3" t="s">
        <v>1361</v>
      </c>
      <c r="C263" s="10">
        <v>45826</v>
      </c>
      <c r="D263" s="3" t="s">
        <v>1362</v>
      </c>
      <c r="E263" s="10">
        <v>45832</v>
      </c>
      <c r="F263" s="6" t="str">
        <f t="shared" si="64"/>
        <v>Valid</v>
      </c>
      <c r="G263" s="8">
        <f t="shared" si="65"/>
        <v>6</v>
      </c>
      <c r="H263" s="8" t="str">
        <f t="shared" si="66"/>
        <v>Valid</v>
      </c>
      <c r="I263" t="s">
        <v>1363</v>
      </c>
      <c r="J263" t="s">
        <v>167</v>
      </c>
      <c r="K263" t="s">
        <v>167</v>
      </c>
      <c r="L263" t="s">
        <v>107</v>
      </c>
      <c r="M263" s="3" t="str">
        <f t="shared" si="67"/>
        <v>Corporate</v>
      </c>
      <c r="N263" t="s">
        <v>26</v>
      </c>
      <c r="O263" s="3" t="str">
        <f t="shared" si="68"/>
        <v>North</v>
      </c>
      <c r="P263" t="s">
        <v>27</v>
      </c>
      <c r="Q263" t="s">
        <v>28</v>
      </c>
      <c r="R263" t="s">
        <v>29</v>
      </c>
      <c r="S263" s="3" t="str">
        <f t="shared" si="69"/>
        <v>Office Supplies</v>
      </c>
      <c r="T263" t="s">
        <v>108</v>
      </c>
      <c r="U263" t="s">
        <v>1364</v>
      </c>
      <c r="V263" t="s">
        <v>66</v>
      </c>
      <c r="W263" s="3" t="str">
        <f t="shared" si="70"/>
        <v>Standard Class</v>
      </c>
      <c r="X263">
        <v>3</v>
      </c>
      <c r="Y263">
        <v>686.74</v>
      </c>
      <c r="Z263">
        <v>0.2</v>
      </c>
      <c r="AA263">
        <f t="shared" si="74"/>
        <v>0.2</v>
      </c>
      <c r="AB263">
        <f t="shared" si="75"/>
        <v>1648.1760000000004</v>
      </c>
      <c r="AC263">
        <v>1648.18</v>
      </c>
      <c r="AD263">
        <v>987.91</v>
      </c>
      <c r="AE263">
        <v>660.27</v>
      </c>
      <c r="AF263" t="s">
        <v>199</v>
      </c>
      <c r="AG263" t="s">
        <v>77</v>
      </c>
      <c r="AH263" t="str">
        <f t="shared" si="71"/>
        <v>Cancelled</v>
      </c>
      <c r="AI263" t="str">
        <f t="shared" si="72"/>
        <v>Valid</v>
      </c>
      <c r="AJ263">
        <f t="shared" si="73"/>
        <v>660.2700000000001</v>
      </c>
      <c r="AK263" s="12">
        <f t="shared" si="76"/>
        <v>0.40060648862742809</v>
      </c>
      <c r="AL263">
        <f t="shared" si="77"/>
        <v>6</v>
      </c>
      <c r="AM263">
        <f t="shared" si="78"/>
        <v>2025</v>
      </c>
      <c r="AN263" t="str">
        <f t="shared" si="79"/>
        <v>Clean</v>
      </c>
    </row>
    <row r="264" spans="1:40">
      <c r="A264" t="s">
        <v>1365</v>
      </c>
      <c r="B264" s="3" t="s">
        <v>1366</v>
      </c>
      <c r="C264" s="10">
        <v>45803</v>
      </c>
      <c r="D264" s="3" t="s">
        <v>1367</v>
      </c>
      <c r="E264" s="10">
        <v>45809</v>
      </c>
      <c r="F264" s="6" t="str">
        <f t="shared" si="64"/>
        <v>Valid</v>
      </c>
      <c r="G264" s="8">
        <f t="shared" si="65"/>
        <v>6</v>
      </c>
      <c r="H264" s="8" t="str">
        <f t="shared" si="66"/>
        <v>Valid</v>
      </c>
      <c r="I264" t="s">
        <v>949</v>
      </c>
      <c r="J264" t="s">
        <v>60</v>
      </c>
      <c r="K264" t="s">
        <v>60</v>
      </c>
      <c r="L264" t="s">
        <v>40</v>
      </c>
      <c r="M264" s="3" t="str">
        <f t="shared" si="67"/>
        <v>Small Business</v>
      </c>
      <c r="N264" t="s">
        <v>26</v>
      </c>
      <c r="O264" s="3" t="str">
        <f t="shared" si="68"/>
        <v>North</v>
      </c>
      <c r="P264" t="s">
        <v>505</v>
      </c>
      <c r="Q264" t="s">
        <v>506</v>
      </c>
      <c r="R264" t="s">
        <v>85</v>
      </c>
      <c r="S264" s="3" t="str">
        <f t="shared" si="69"/>
        <v>Technology</v>
      </c>
      <c r="T264" t="s">
        <v>222</v>
      </c>
      <c r="U264" t="s">
        <v>1368</v>
      </c>
      <c r="V264" t="s">
        <v>47</v>
      </c>
      <c r="W264" s="3" t="str">
        <f t="shared" si="70"/>
        <v>Same Day</v>
      </c>
      <c r="X264">
        <v>4</v>
      </c>
      <c r="Y264">
        <v>3349.86</v>
      </c>
      <c r="Z264">
        <v>0</v>
      </c>
      <c r="AA264">
        <f t="shared" si="74"/>
        <v>0</v>
      </c>
      <c r="AB264">
        <f t="shared" si="75"/>
        <v>13399.44</v>
      </c>
      <c r="AC264">
        <v>13399.44</v>
      </c>
      <c r="AD264">
        <v>8581.35</v>
      </c>
      <c r="AE264">
        <v>4818.09</v>
      </c>
      <c r="AF264" t="s">
        <v>136</v>
      </c>
      <c r="AG264" t="s">
        <v>124</v>
      </c>
      <c r="AH264" t="str">
        <f t="shared" si="71"/>
        <v>Returned</v>
      </c>
      <c r="AI264" t="str">
        <f t="shared" si="72"/>
        <v>Valid</v>
      </c>
      <c r="AJ264">
        <f t="shared" si="73"/>
        <v>4818.09</v>
      </c>
      <c r="AK264" s="12">
        <f t="shared" si="76"/>
        <v>0.3595739821962709</v>
      </c>
      <c r="AL264">
        <f t="shared" si="77"/>
        <v>5</v>
      </c>
      <c r="AM264">
        <f t="shared" si="78"/>
        <v>2025</v>
      </c>
      <c r="AN264" t="str">
        <f t="shared" si="79"/>
        <v>Clean</v>
      </c>
    </row>
    <row r="265" spans="1:40">
      <c r="A265" t="s">
        <v>1369</v>
      </c>
      <c r="B265" s="3" t="s">
        <v>1370</v>
      </c>
      <c r="C265" s="10">
        <v>45875</v>
      </c>
      <c r="D265" s="3" t="s">
        <v>943</v>
      </c>
      <c r="E265" s="10">
        <v>45879</v>
      </c>
      <c r="F265" s="6" t="str">
        <f t="shared" si="64"/>
        <v>Valid</v>
      </c>
      <c r="G265" s="8">
        <f t="shared" si="65"/>
        <v>4</v>
      </c>
      <c r="H265" s="8" t="str">
        <f t="shared" si="66"/>
        <v>Valid</v>
      </c>
      <c r="I265" t="s">
        <v>1371</v>
      </c>
      <c r="J265" t="s">
        <v>179</v>
      </c>
      <c r="K265" t="s">
        <v>179</v>
      </c>
      <c r="L265" t="s">
        <v>40</v>
      </c>
      <c r="M265" s="3" t="str">
        <f t="shared" si="67"/>
        <v>Small Business</v>
      </c>
      <c r="N265" t="s">
        <v>26</v>
      </c>
      <c r="O265" s="3" t="str">
        <f t="shared" si="68"/>
        <v>North</v>
      </c>
      <c r="P265" t="s">
        <v>505</v>
      </c>
      <c r="Q265" t="s">
        <v>506</v>
      </c>
      <c r="R265" t="s">
        <v>29</v>
      </c>
      <c r="S265" s="3" t="str">
        <f t="shared" si="69"/>
        <v>Office Supplies</v>
      </c>
      <c r="T265" t="s">
        <v>197</v>
      </c>
      <c r="U265" t="s">
        <v>1372</v>
      </c>
      <c r="V265" t="s">
        <v>32</v>
      </c>
      <c r="W265" s="3" t="str">
        <f t="shared" si="70"/>
        <v>Second Class</v>
      </c>
      <c r="X265">
        <v>9</v>
      </c>
      <c r="Y265">
        <v>4042.45</v>
      </c>
      <c r="Z265">
        <v>0.1</v>
      </c>
      <c r="AA265">
        <f t="shared" si="74"/>
        <v>0.1</v>
      </c>
      <c r="AB265">
        <f t="shared" si="75"/>
        <v>32743.844999999998</v>
      </c>
      <c r="AC265">
        <v>32743.84</v>
      </c>
      <c r="AD265">
        <v>22452.05</v>
      </c>
      <c r="AE265">
        <v>10291.790000000001</v>
      </c>
      <c r="AF265" t="s">
        <v>136</v>
      </c>
      <c r="AG265" t="s">
        <v>124</v>
      </c>
      <c r="AH265" t="str">
        <f t="shared" si="71"/>
        <v>Returned</v>
      </c>
      <c r="AI265" t="str">
        <f t="shared" si="72"/>
        <v>Valid</v>
      </c>
      <c r="AJ265">
        <f t="shared" si="73"/>
        <v>10291.790000000001</v>
      </c>
      <c r="AK265" s="12">
        <f t="shared" si="76"/>
        <v>0.31431220127019299</v>
      </c>
      <c r="AL265">
        <f t="shared" si="77"/>
        <v>8</v>
      </c>
      <c r="AM265">
        <f t="shared" si="78"/>
        <v>2025</v>
      </c>
      <c r="AN265" t="str">
        <f t="shared" si="79"/>
        <v>Clean</v>
      </c>
    </row>
    <row r="266" spans="1:40">
      <c r="A266" t="s">
        <v>1373</v>
      </c>
      <c r="B266" s="3" t="s">
        <v>1374</v>
      </c>
      <c r="C266" s="10">
        <v>45428</v>
      </c>
      <c r="D266" s="3" t="s">
        <v>1375</v>
      </c>
      <c r="E266" s="10">
        <v>45433</v>
      </c>
      <c r="F266" s="6" t="str">
        <f t="shared" si="64"/>
        <v>Valid</v>
      </c>
      <c r="G266" s="8">
        <f t="shared" si="65"/>
        <v>5</v>
      </c>
      <c r="H266" s="8" t="str">
        <f t="shared" si="66"/>
        <v>Valid</v>
      </c>
      <c r="I266" t="s">
        <v>1376</v>
      </c>
      <c r="J266" t="s">
        <v>209</v>
      </c>
      <c r="K266" t="s">
        <v>209</v>
      </c>
      <c r="L266" t="s">
        <v>40</v>
      </c>
      <c r="M266" s="3" t="str">
        <f t="shared" si="67"/>
        <v>Small Business</v>
      </c>
      <c r="N266" t="s">
        <v>41</v>
      </c>
      <c r="O266" s="3" t="str">
        <f t="shared" si="68"/>
        <v>East</v>
      </c>
      <c r="P266" t="s">
        <v>185</v>
      </c>
      <c r="Q266" t="s">
        <v>186</v>
      </c>
      <c r="R266" t="s">
        <v>85</v>
      </c>
      <c r="S266" s="3" t="str">
        <f t="shared" si="69"/>
        <v>Technology</v>
      </c>
      <c r="T266" t="s">
        <v>93</v>
      </c>
      <c r="U266" t="s">
        <v>1377</v>
      </c>
      <c r="V266" t="s">
        <v>66</v>
      </c>
      <c r="W266" s="3" t="str">
        <f t="shared" si="70"/>
        <v>Standard Class</v>
      </c>
      <c r="X266">
        <v>4</v>
      </c>
      <c r="Y266">
        <v>1503.07</v>
      </c>
      <c r="Z266">
        <v>0</v>
      </c>
      <c r="AA266">
        <f t="shared" si="74"/>
        <v>0</v>
      </c>
      <c r="AB266">
        <f t="shared" si="75"/>
        <v>6012.28</v>
      </c>
      <c r="AC266">
        <v>6012.28</v>
      </c>
      <c r="AD266">
        <v>3927.64</v>
      </c>
      <c r="AE266">
        <v>2084.64</v>
      </c>
      <c r="AF266" t="s">
        <v>33</v>
      </c>
      <c r="AG266" t="s">
        <v>34</v>
      </c>
      <c r="AH266" t="str">
        <f t="shared" si="71"/>
        <v>Completed</v>
      </c>
      <c r="AI266" t="str">
        <f t="shared" si="72"/>
        <v>Valid</v>
      </c>
      <c r="AJ266">
        <f t="shared" si="73"/>
        <v>2084.64</v>
      </c>
      <c r="AK266" s="12">
        <f t="shared" si="76"/>
        <v>0.34673035853286938</v>
      </c>
      <c r="AL266">
        <f t="shared" si="77"/>
        <v>5</v>
      </c>
      <c r="AM266">
        <f t="shared" si="78"/>
        <v>2024</v>
      </c>
      <c r="AN266" t="str">
        <f t="shared" si="79"/>
        <v>Clean</v>
      </c>
    </row>
    <row r="267" spans="1:40">
      <c r="A267" t="s">
        <v>1378</v>
      </c>
      <c r="B267" s="3" t="s">
        <v>1379</v>
      </c>
      <c r="C267" s="10">
        <v>45610</v>
      </c>
      <c r="D267" s="3" t="s">
        <v>910</v>
      </c>
      <c r="E267" s="10">
        <v>45618</v>
      </c>
      <c r="F267" s="6" t="str">
        <f t="shared" si="64"/>
        <v>Valid</v>
      </c>
      <c r="G267" s="8">
        <f t="shared" si="65"/>
        <v>8</v>
      </c>
      <c r="H267" s="8" t="str">
        <f t="shared" si="66"/>
        <v>Valid</v>
      </c>
      <c r="I267" t="s">
        <v>1380</v>
      </c>
      <c r="J267" t="s">
        <v>141</v>
      </c>
      <c r="K267" t="s">
        <v>141</v>
      </c>
      <c r="L267" t="s">
        <v>107</v>
      </c>
      <c r="M267" s="3" t="str">
        <f t="shared" si="67"/>
        <v>Corporate</v>
      </c>
      <c r="N267" t="s">
        <v>41</v>
      </c>
      <c r="O267" s="3" t="str">
        <f t="shared" si="68"/>
        <v>East</v>
      </c>
      <c r="P267" t="s">
        <v>185</v>
      </c>
      <c r="Q267" t="s">
        <v>186</v>
      </c>
      <c r="R267" t="s">
        <v>44</v>
      </c>
      <c r="S267" s="3" t="str">
        <f t="shared" si="69"/>
        <v>Furniture</v>
      </c>
      <c r="T267" t="s">
        <v>203</v>
      </c>
      <c r="U267" t="s">
        <v>1381</v>
      </c>
      <c r="V267" t="s">
        <v>47</v>
      </c>
      <c r="W267" s="3" t="str">
        <f t="shared" si="70"/>
        <v>Same Day</v>
      </c>
      <c r="X267">
        <v>1</v>
      </c>
      <c r="Y267">
        <v>582.37</v>
      </c>
      <c r="Z267">
        <v>0.15</v>
      </c>
      <c r="AA267">
        <f t="shared" si="74"/>
        <v>0.15</v>
      </c>
      <c r="AB267">
        <f t="shared" si="75"/>
        <v>495.0145</v>
      </c>
      <c r="AC267">
        <v>495.01</v>
      </c>
      <c r="AD267">
        <v>285.13</v>
      </c>
      <c r="AE267">
        <v>209.88</v>
      </c>
      <c r="AF267" t="s">
        <v>123</v>
      </c>
      <c r="AG267" t="s">
        <v>77</v>
      </c>
      <c r="AH267" t="str">
        <f t="shared" si="71"/>
        <v>Cancelled</v>
      </c>
      <c r="AI267" t="str">
        <f t="shared" si="72"/>
        <v>Valid</v>
      </c>
      <c r="AJ267">
        <f t="shared" si="73"/>
        <v>209.88</v>
      </c>
      <c r="AK267" s="12">
        <f t="shared" si="76"/>
        <v>0.42398758016179322</v>
      </c>
      <c r="AL267">
        <f t="shared" si="77"/>
        <v>11</v>
      </c>
      <c r="AM267">
        <f t="shared" si="78"/>
        <v>2024</v>
      </c>
      <c r="AN267" t="str">
        <f t="shared" si="79"/>
        <v>Clean</v>
      </c>
    </row>
    <row r="268" spans="1:40">
      <c r="A268" t="s">
        <v>1382</v>
      </c>
      <c r="B268" s="3" t="s">
        <v>1383</v>
      </c>
      <c r="C268" s="10">
        <v>45780</v>
      </c>
      <c r="D268" s="3" t="s">
        <v>1384</v>
      </c>
      <c r="E268" s="10">
        <v>45787</v>
      </c>
      <c r="F268" s="6" t="str">
        <f t="shared" si="64"/>
        <v>Valid</v>
      </c>
      <c r="G268" s="8">
        <f t="shared" si="65"/>
        <v>7</v>
      </c>
      <c r="H268" s="8" t="str">
        <f t="shared" si="66"/>
        <v>Valid</v>
      </c>
      <c r="I268" t="s">
        <v>1385</v>
      </c>
      <c r="J268" t="s">
        <v>92</v>
      </c>
      <c r="K268" t="s">
        <v>92</v>
      </c>
      <c r="L268" t="s">
        <v>114</v>
      </c>
      <c r="M268" s="3" t="str">
        <f t="shared" si="67"/>
        <v>Home Office</v>
      </c>
      <c r="N268" t="s">
        <v>72</v>
      </c>
      <c r="O268" s="3" t="str">
        <f t="shared" si="68"/>
        <v>West</v>
      </c>
      <c r="P268" t="s">
        <v>73</v>
      </c>
      <c r="Q268" t="s">
        <v>74</v>
      </c>
      <c r="R268" t="s">
        <v>29</v>
      </c>
      <c r="S268" s="3" t="str">
        <f t="shared" si="69"/>
        <v>Office Supplies</v>
      </c>
      <c r="T268" t="s">
        <v>155</v>
      </c>
      <c r="U268" t="s">
        <v>1386</v>
      </c>
      <c r="V268" t="s">
        <v>32</v>
      </c>
      <c r="W268" s="3" t="str">
        <f t="shared" si="70"/>
        <v>Second Class</v>
      </c>
      <c r="X268">
        <v>3</v>
      </c>
      <c r="Y268">
        <v>4339.24</v>
      </c>
      <c r="Z268">
        <v>0</v>
      </c>
      <c r="AA268">
        <f t="shared" si="74"/>
        <v>0</v>
      </c>
      <c r="AB268">
        <f t="shared" si="75"/>
        <v>13017.72</v>
      </c>
      <c r="AC268">
        <v>13017.72</v>
      </c>
      <c r="AD268">
        <v>10170.57</v>
      </c>
      <c r="AE268">
        <v>2847.15</v>
      </c>
      <c r="AF268" t="s">
        <v>33</v>
      </c>
      <c r="AG268" t="s">
        <v>34</v>
      </c>
      <c r="AH268" t="str">
        <f t="shared" si="71"/>
        <v>Completed</v>
      </c>
      <c r="AI268" t="str">
        <f t="shared" si="72"/>
        <v>Valid</v>
      </c>
      <c r="AJ268">
        <f t="shared" si="73"/>
        <v>2847.1499999999996</v>
      </c>
      <c r="AK268" s="12">
        <f t="shared" si="76"/>
        <v>0.21871341525244051</v>
      </c>
      <c r="AL268">
        <f t="shared" si="77"/>
        <v>5</v>
      </c>
      <c r="AM268">
        <f t="shared" si="78"/>
        <v>2025</v>
      </c>
      <c r="AN268" t="str">
        <f t="shared" si="79"/>
        <v>Clean</v>
      </c>
    </row>
    <row r="269" spans="1:40">
      <c r="A269" t="s">
        <v>1387</v>
      </c>
      <c r="B269" s="3" t="s">
        <v>1017</v>
      </c>
      <c r="C269" s="10">
        <v>45805</v>
      </c>
      <c r="D269" s="3" t="s">
        <v>1388</v>
      </c>
      <c r="E269" s="10">
        <v>45812</v>
      </c>
      <c r="F269" s="6" t="str">
        <f t="shared" si="64"/>
        <v>Valid</v>
      </c>
      <c r="G269" s="8">
        <f t="shared" si="65"/>
        <v>7</v>
      </c>
      <c r="H269" s="8" t="str">
        <f t="shared" si="66"/>
        <v>Valid</v>
      </c>
      <c r="I269" t="s">
        <v>1389</v>
      </c>
      <c r="J269" t="s">
        <v>209</v>
      </c>
      <c r="K269" t="s">
        <v>209</v>
      </c>
      <c r="L269" t="s">
        <v>107</v>
      </c>
      <c r="M269" s="3" t="str">
        <f t="shared" si="67"/>
        <v>Corporate</v>
      </c>
      <c r="N269" t="s">
        <v>41</v>
      </c>
      <c r="O269" s="3" t="str">
        <f t="shared" si="68"/>
        <v>East</v>
      </c>
      <c r="P269" t="s">
        <v>310</v>
      </c>
      <c r="Q269" t="s">
        <v>311</v>
      </c>
      <c r="R269" t="s">
        <v>44</v>
      </c>
      <c r="S269" s="3" t="str">
        <f t="shared" si="69"/>
        <v>Furniture</v>
      </c>
      <c r="T269" t="s">
        <v>64</v>
      </c>
      <c r="U269" t="s">
        <v>1390</v>
      </c>
      <c r="V269" t="s">
        <v>55</v>
      </c>
      <c r="W269" s="3" t="str">
        <f t="shared" si="70"/>
        <v>First Class</v>
      </c>
      <c r="X269">
        <v>4</v>
      </c>
      <c r="Y269">
        <v>261.8</v>
      </c>
      <c r="Z269">
        <v>0.25</v>
      </c>
      <c r="AA269">
        <f t="shared" si="74"/>
        <v>0.25</v>
      </c>
      <c r="AB269">
        <f t="shared" si="75"/>
        <v>785.40000000000009</v>
      </c>
      <c r="AC269">
        <v>785.4</v>
      </c>
      <c r="AD269">
        <v>557.22</v>
      </c>
      <c r="AE269">
        <v>228.18</v>
      </c>
      <c r="AF269" t="s">
        <v>33</v>
      </c>
      <c r="AG269" t="s">
        <v>34</v>
      </c>
      <c r="AH269" t="str">
        <f t="shared" si="71"/>
        <v>Completed</v>
      </c>
      <c r="AI269" t="str">
        <f t="shared" si="72"/>
        <v>Valid</v>
      </c>
      <c r="AJ269">
        <f t="shared" si="73"/>
        <v>228.17999999999995</v>
      </c>
      <c r="AK269" s="12">
        <f t="shared" si="76"/>
        <v>0.29052711993888453</v>
      </c>
      <c r="AL269">
        <f t="shared" si="77"/>
        <v>5</v>
      </c>
      <c r="AM269">
        <f t="shared" si="78"/>
        <v>2025</v>
      </c>
      <c r="AN269" t="str">
        <f t="shared" si="79"/>
        <v>Clean</v>
      </c>
    </row>
    <row r="270" spans="1:40">
      <c r="A270" t="s">
        <v>1391</v>
      </c>
      <c r="B270" s="3" t="s">
        <v>1392</v>
      </c>
      <c r="C270" s="10">
        <v>45886</v>
      </c>
      <c r="D270" s="3" t="s">
        <v>1392</v>
      </c>
      <c r="E270" s="10">
        <v>45886</v>
      </c>
      <c r="F270" s="6" t="str">
        <f t="shared" si="64"/>
        <v>Valid</v>
      </c>
      <c r="G270" s="8">
        <f t="shared" si="65"/>
        <v>0</v>
      </c>
      <c r="H270" s="8" t="str">
        <f t="shared" si="66"/>
        <v>Valid</v>
      </c>
      <c r="I270" t="s">
        <v>1393</v>
      </c>
      <c r="J270" t="s">
        <v>161</v>
      </c>
      <c r="K270" t="s">
        <v>161</v>
      </c>
      <c r="L270" t="s">
        <v>114</v>
      </c>
      <c r="M270" s="3" t="str">
        <f t="shared" si="67"/>
        <v>Home Office</v>
      </c>
      <c r="N270" t="s">
        <v>26</v>
      </c>
      <c r="O270" s="3" t="str">
        <f t="shared" si="68"/>
        <v>North</v>
      </c>
      <c r="P270" t="s">
        <v>153</v>
      </c>
      <c r="Q270" t="s">
        <v>154</v>
      </c>
      <c r="R270" t="s">
        <v>85</v>
      </c>
      <c r="S270" s="3" t="str">
        <f t="shared" si="69"/>
        <v>Technology</v>
      </c>
      <c r="T270" t="s">
        <v>86</v>
      </c>
      <c r="U270" t="s">
        <v>1394</v>
      </c>
      <c r="V270" t="s">
        <v>55</v>
      </c>
      <c r="W270" s="3" t="str">
        <f t="shared" si="70"/>
        <v>First Class</v>
      </c>
      <c r="X270">
        <v>7</v>
      </c>
      <c r="Y270">
        <v>632.20000000000005</v>
      </c>
      <c r="Z270">
        <v>0.25</v>
      </c>
      <c r="AA270">
        <f t="shared" si="74"/>
        <v>0.25</v>
      </c>
      <c r="AB270">
        <f t="shared" si="75"/>
        <v>3319.05</v>
      </c>
      <c r="AC270">
        <v>3319.05</v>
      </c>
      <c r="AD270">
        <v>2124.6</v>
      </c>
      <c r="AE270">
        <v>1194.45</v>
      </c>
      <c r="AF270" t="s">
        <v>33</v>
      </c>
      <c r="AG270" t="s">
        <v>34</v>
      </c>
      <c r="AH270" t="str">
        <f t="shared" si="71"/>
        <v>Completed</v>
      </c>
      <c r="AI270" t="str">
        <f t="shared" si="72"/>
        <v>Valid</v>
      </c>
      <c r="AJ270">
        <f t="shared" si="73"/>
        <v>1194.4500000000003</v>
      </c>
      <c r="AK270" s="12">
        <f t="shared" si="76"/>
        <v>0.35987707325891449</v>
      </c>
      <c r="AL270">
        <f t="shared" si="77"/>
        <v>8</v>
      </c>
      <c r="AM270">
        <f t="shared" si="78"/>
        <v>2025</v>
      </c>
      <c r="AN270" t="str">
        <f t="shared" si="79"/>
        <v>Clean</v>
      </c>
    </row>
    <row r="271" spans="1:40">
      <c r="A271" t="s">
        <v>1395</v>
      </c>
      <c r="B271" s="3" t="s">
        <v>1334</v>
      </c>
      <c r="C271" s="10">
        <v>45698</v>
      </c>
      <c r="D271" s="3" t="s">
        <v>1396</v>
      </c>
      <c r="E271" s="10">
        <v>45700</v>
      </c>
      <c r="F271" s="6" t="str">
        <f t="shared" si="64"/>
        <v>Valid</v>
      </c>
      <c r="G271" s="8">
        <f t="shared" si="65"/>
        <v>2</v>
      </c>
      <c r="H271" s="8" t="str">
        <f t="shared" si="66"/>
        <v>Valid</v>
      </c>
      <c r="I271" t="s">
        <v>1397</v>
      </c>
      <c r="J271" t="s">
        <v>147</v>
      </c>
      <c r="K271" t="s">
        <v>147</v>
      </c>
      <c r="L271" t="s">
        <v>40</v>
      </c>
      <c r="M271" s="3" t="str">
        <f t="shared" si="67"/>
        <v>Small Business</v>
      </c>
      <c r="N271" t="s">
        <v>72</v>
      </c>
      <c r="O271" s="3" t="str">
        <f t="shared" si="68"/>
        <v>West</v>
      </c>
      <c r="P271" t="s">
        <v>27</v>
      </c>
      <c r="Q271" t="s">
        <v>134</v>
      </c>
      <c r="R271" t="s">
        <v>44</v>
      </c>
      <c r="S271" s="3" t="str">
        <f t="shared" si="69"/>
        <v>Furniture</v>
      </c>
      <c r="T271" t="s">
        <v>45</v>
      </c>
      <c r="U271" t="s">
        <v>1398</v>
      </c>
      <c r="V271" t="s">
        <v>47</v>
      </c>
      <c r="W271" s="3" t="str">
        <f t="shared" si="70"/>
        <v>Same Day</v>
      </c>
      <c r="X271">
        <v>1</v>
      </c>
      <c r="Y271">
        <v>1925.86</v>
      </c>
      <c r="Z271">
        <v>0</v>
      </c>
      <c r="AA271">
        <f t="shared" si="74"/>
        <v>0</v>
      </c>
      <c r="AB271">
        <f t="shared" si="75"/>
        <v>1925.86</v>
      </c>
      <c r="AC271">
        <v>1925.86</v>
      </c>
      <c r="AD271">
        <v>1321.89</v>
      </c>
      <c r="AE271">
        <v>603.97</v>
      </c>
      <c r="AF271" t="s">
        <v>33</v>
      </c>
      <c r="AG271" t="s">
        <v>34</v>
      </c>
      <c r="AH271" t="str">
        <f t="shared" si="71"/>
        <v>Completed</v>
      </c>
      <c r="AI271" t="str">
        <f t="shared" si="72"/>
        <v>Valid</v>
      </c>
      <c r="AJ271">
        <f t="shared" si="73"/>
        <v>603.9699999999998</v>
      </c>
      <c r="AK271" s="12">
        <f t="shared" si="76"/>
        <v>0.31361054282242729</v>
      </c>
      <c r="AL271">
        <f t="shared" si="77"/>
        <v>2</v>
      </c>
      <c r="AM271">
        <f t="shared" si="78"/>
        <v>2025</v>
      </c>
      <c r="AN271" t="str">
        <f t="shared" si="79"/>
        <v>Clean</v>
      </c>
    </row>
    <row r="272" spans="1:40">
      <c r="A272" t="s">
        <v>1399</v>
      </c>
      <c r="B272" s="3" t="s">
        <v>1257</v>
      </c>
      <c r="C272" s="10">
        <v>45303</v>
      </c>
      <c r="D272" s="3" t="s">
        <v>562</v>
      </c>
      <c r="E272" s="10">
        <v>45304</v>
      </c>
      <c r="F272" s="6" t="str">
        <f t="shared" si="64"/>
        <v>Valid</v>
      </c>
      <c r="G272" s="8">
        <f t="shared" si="65"/>
        <v>1</v>
      </c>
      <c r="H272" s="8" t="str">
        <f t="shared" si="66"/>
        <v>Valid</v>
      </c>
      <c r="I272" t="s">
        <v>1400</v>
      </c>
      <c r="J272" t="s">
        <v>106</v>
      </c>
      <c r="K272" t="s">
        <v>106</v>
      </c>
      <c r="L272" t="s">
        <v>107</v>
      </c>
      <c r="M272" s="3" t="str">
        <f t="shared" si="67"/>
        <v>Corporate</v>
      </c>
      <c r="N272" t="s">
        <v>26</v>
      </c>
      <c r="O272" s="3" t="str">
        <f t="shared" si="68"/>
        <v>North</v>
      </c>
      <c r="P272" t="s">
        <v>173</v>
      </c>
      <c r="Q272" t="s">
        <v>174</v>
      </c>
      <c r="R272" t="s">
        <v>85</v>
      </c>
      <c r="S272" s="3" t="str">
        <f t="shared" si="69"/>
        <v>Technology</v>
      </c>
      <c r="T272" t="s">
        <v>381</v>
      </c>
      <c r="U272" t="s">
        <v>1401</v>
      </c>
      <c r="V272" t="s">
        <v>47</v>
      </c>
      <c r="W272" s="3" t="str">
        <f t="shared" si="70"/>
        <v>Same Day</v>
      </c>
      <c r="X272">
        <v>3</v>
      </c>
      <c r="Y272">
        <v>827.44</v>
      </c>
      <c r="Z272">
        <v>0</v>
      </c>
      <c r="AA272">
        <f t="shared" si="74"/>
        <v>0</v>
      </c>
      <c r="AB272">
        <f t="shared" si="75"/>
        <v>2482.3200000000002</v>
      </c>
      <c r="AC272">
        <v>2482.3200000000002</v>
      </c>
      <c r="AD272">
        <v>1520.21</v>
      </c>
      <c r="AE272">
        <v>962.11</v>
      </c>
      <c r="AF272" t="s">
        <v>33</v>
      </c>
      <c r="AG272" t="s">
        <v>34</v>
      </c>
      <c r="AH272" t="str">
        <f t="shared" si="71"/>
        <v>Completed</v>
      </c>
      <c r="AI272" t="str">
        <f t="shared" si="72"/>
        <v>Valid</v>
      </c>
      <c r="AJ272">
        <f t="shared" si="73"/>
        <v>962.11000000000013</v>
      </c>
      <c r="AK272" s="12">
        <f t="shared" si="76"/>
        <v>0.38758500112797706</v>
      </c>
      <c r="AL272">
        <f t="shared" si="77"/>
        <v>1</v>
      </c>
      <c r="AM272">
        <f t="shared" si="78"/>
        <v>2024</v>
      </c>
      <c r="AN272" t="str">
        <f t="shared" si="79"/>
        <v>Clean</v>
      </c>
    </row>
    <row r="273" spans="1:40">
      <c r="A273" t="s">
        <v>1402</v>
      </c>
      <c r="B273" s="3" t="s">
        <v>1403</v>
      </c>
      <c r="C273" s="10">
        <v>45647</v>
      </c>
      <c r="D273" s="3" t="s">
        <v>1404</v>
      </c>
      <c r="E273" s="10">
        <v>45651</v>
      </c>
      <c r="F273" s="6" t="str">
        <f t="shared" si="64"/>
        <v>Valid</v>
      </c>
      <c r="G273" s="8">
        <f t="shared" si="65"/>
        <v>4</v>
      </c>
      <c r="H273" s="8" t="str">
        <f t="shared" si="66"/>
        <v>Valid</v>
      </c>
      <c r="I273" t="s">
        <v>1405</v>
      </c>
      <c r="J273" t="s">
        <v>106</v>
      </c>
      <c r="K273" t="s">
        <v>106</v>
      </c>
      <c r="L273" t="s">
        <v>25</v>
      </c>
      <c r="M273" s="3" t="str">
        <f t="shared" si="67"/>
        <v>Consumer</v>
      </c>
      <c r="N273" t="s">
        <v>61</v>
      </c>
      <c r="O273" s="3" t="str">
        <f t="shared" si="68"/>
        <v>South</v>
      </c>
      <c r="P273" t="s">
        <v>62</v>
      </c>
      <c r="Q273" t="s">
        <v>63</v>
      </c>
      <c r="R273" t="s">
        <v>29</v>
      </c>
      <c r="S273" s="3" t="str">
        <f t="shared" si="69"/>
        <v>Office Supplies</v>
      </c>
      <c r="T273" t="s">
        <v>197</v>
      </c>
      <c r="U273" t="s">
        <v>1406</v>
      </c>
      <c r="V273" t="s">
        <v>66</v>
      </c>
      <c r="W273" s="3" t="str">
        <f t="shared" si="70"/>
        <v>Standard Class</v>
      </c>
      <c r="X273">
        <v>7</v>
      </c>
      <c r="Y273">
        <v>1667.75</v>
      </c>
      <c r="Z273">
        <v>0</v>
      </c>
      <c r="AA273">
        <f t="shared" si="74"/>
        <v>0</v>
      </c>
      <c r="AB273">
        <f t="shared" si="75"/>
        <v>11674.25</v>
      </c>
      <c r="AC273">
        <v>11674.25</v>
      </c>
      <c r="AD273">
        <v>9621.19</v>
      </c>
      <c r="AE273">
        <v>2053.06</v>
      </c>
      <c r="AF273" t="s">
        <v>199</v>
      </c>
      <c r="AG273" t="s">
        <v>77</v>
      </c>
      <c r="AH273" t="str">
        <f t="shared" si="71"/>
        <v>Cancelled</v>
      </c>
      <c r="AI273" t="str">
        <f t="shared" si="72"/>
        <v>Valid</v>
      </c>
      <c r="AJ273">
        <f t="shared" si="73"/>
        <v>2053.0599999999995</v>
      </c>
      <c r="AK273" s="12">
        <f t="shared" si="76"/>
        <v>0.17586226095894808</v>
      </c>
      <c r="AL273">
        <f t="shared" si="77"/>
        <v>12</v>
      </c>
      <c r="AM273">
        <f t="shared" si="78"/>
        <v>2024</v>
      </c>
      <c r="AN273" t="str">
        <f t="shared" si="79"/>
        <v>Clean</v>
      </c>
    </row>
    <row r="274" spans="1:40">
      <c r="A274" t="s">
        <v>1407</v>
      </c>
      <c r="B274" s="3" t="s">
        <v>1408</v>
      </c>
      <c r="C274" s="10">
        <v>45522</v>
      </c>
      <c r="D274" s="3" t="s">
        <v>1409</v>
      </c>
      <c r="E274" s="10">
        <v>45528</v>
      </c>
      <c r="F274" s="6" t="str">
        <f t="shared" si="64"/>
        <v>Valid</v>
      </c>
      <c r="G274" s="8">
        <f t="shared" si="65"/>
        <v>6</v>
      </c>
      <c r="H274" s="8" t="str">
        <f t="shared" si="66"/>
        <v>Valid</v>
      </c>
      <c r="I274" t="s">
        <v>1410</v>
      </c>
      <c r="J274" t="s">
        <v>60</v>
      </c>
      <c r="K274" t="s">
        <v>60</v>
      </c>
      <c r="L274" t="s">
        <v>25</v>
      </c>
      <c r="M274" s="3" t="str">
        <f t="shared" si="67"/>
        <v>Consumer</v>
      </c>
      <c r="N274" t="s">
        <v>61</v>
      </c>
      <c r="O274" s="3" t="str">
        <f t="shared" si="68"/>
        <v>South</v>
      </c>
      <c r="P274" t="s">
        <v>99</v>
      </c>
      <c r="Q274" t="s">
        <v>100</v>
      </c>
      <c r="R274" t="s">
        <v>44</v>
      </c>
      <c r="S274" s="3" t="str">
        <f t="shared" si="69"/>
        <v>Furniture</v>
      </c>
      <c r="T274" t="s">
        <v>75</v>
      </c>
      <c r="U274" t="s">
        <v>1411</v>
      </c>
      <c r="V274" t="s">
        <v>55</v>
      </c>
      <c r="W274" s="3" t="str">
        <f t="shared" si="70"/>
        <v>First Class</v>
      </c>
      <c r="X274">
        <v>7</v>
      </c>
      <c r="Y274">
        <v>557.21</v>
      </c>
      <c r="Z274">
        <v>0.1</v>
      </c>
      <c r="AA274">
        <f t="shared" si="74"/>
        <v>0.1</v>
      </c>
      <c r="AB274">
        <f t="shared" si="75"/>
        <v>3510.4230000000002</v>
      </c>
      <c r="AC274">
        <v>3510.42</v>
      </c>
      <c r="AD274">
        <v>2191.5</v>
      </c>
      <c r="AE274">
        <v>1213.48</v>
      </c>
      <c r="AF274" t="s">
        <v>33</v>
      </c>
      <c r="AG274" t="s">
        <v>34</v>
      </c>
      <c r="AH274" t="str">
        <f t="shared" si="71"/>
        <v>Completed</v>
      </c>
      <c r="AI274" t="str">
        <f t="shared" si="72"/>
        <v>Valid</v>
      </c>
      <c r="AJ274">
        <f t="shared" si="73"/>
        <v>1318.92</v>
      </c>
      <c r="AK274" s="12">
        <f t="shared" si="76"/>
        <v>0.37571540523748848</v>
      </c>
      <c r="AL274">
        <f t="shared" si="77"/>
        <v>8</v>
      </c>
      <c r="AM274">
        <f t="shared" si="78"/>
        <v>2024</v>
      </c>
      <c r="AN274" t="str">
        <f t="shared" si="79"/>
        <v>Clean</v>
      </c>
    </row>
    <row r="275" spans="1:40">
      <c r="A275" t="s">
        <v>1412</v>
      </c>
      <c r="B275" s="3" t="s">
        <v>1413</v>
      </c>
      <c r="C275" s="10">
        <v>45701</v>
      </c>
      <c r="D275" s="3" t="s">
        <v>1414</v>
      </c>
      <c r="E275" s="10">
        <v>45701</v>
      </c>
      <c r="F275" s="6" t="str">
        <f t="shared" si="64"/>
        <v>Valid</v>
      </c>
      <c r="G275" s="8">
        <f t="shared" si="65"/>
        <v>0</v>
      </c>
      <c r="H275" s="8" t="str">
        <f t="shared" si="66"/>
        <v>Valid</v>
      </c>
      <c r="I275" t="s">
        <v>1415</v>
      </c>
      <c r="J275" t="s">
        <v>52</v>
      </c>
      <c r="K275" t="s">
        <v>52</v>
      </c>
      <c r="L275" t="s">
        <v>25</v>
      </c>
      <c r="M275" s="3" t="str">
        <f t="shared" si="67"/>
        <v>Consumer</v>
      </c>
      <c r="N275" t="s">
        <v>41</v>
      </c>
      <c r="O275" s="3" t="str">
        <f t="shared" si="68"/>
        <v>East</v>
      </c>
      <c r="P275" t="s">
        <v>185</v>
      </c>
      <c r="Q275" t="s">
        <v>186</v>
      </c>
      <c r="R275" t="s">
        <v>29</v>
      </c>
      <c r="S275" s="3" t="str">
        <f t="shared" si="69"/>
        <v>Office Supplies</v>
      </c>
      <c r="T275" t="s">
        <v>30</v>
      </c>
      <c r="U275" t="s">
        <v>1416</v>
      </c>
      <c r="V275" t="s">
        <v>32</v>
      </c>
      <c r="W275" s="3" t="str">
        <f t="shared" si="70"/>
        <v>Second Class</v>
      </c>
      <c r="X275">
        <v>9</v>
      </c>
      <c r="Y275">
        <v>2521.63</v>
      </c>
      <c r="Z275">
        <v>0</v>
      </c>
      <c r="AA275">
        <f t="shared" si="74"/>
        <v>0</v>
      </c>
      <c r="AB275">
        <f t="shared" si="75"/>
        <v>22694.670000000002</v>
      </c>
      <c r="AC275">
        <v>22694.67</v>
      </c>
      <c r="AD275">
        <v>15405.36</v>
      </c>
      <c r="AE275">
        <v>7289.31</v>
      </c>
      <c r="AF275" t="s">
        <v>33</v>
      </c>
      <c r="AG275" t="s">
        <v>124</v>
      </c>
      <c r="AH275" t="str">
        <f t="shared" si="71"/>
        <v>Returned</v>
      </c>
      <c r="AI275" t="str">
        <f t="shared" si="72"/>
        <v>Valid</v>
      </c>
      <c r="AJ275">
        <f t="shared" si="73"/>
        <v>7289.3099999999977</v>
      </c>
      <c r="AK275" s="12">
        <f t="shared" si="76"/>
        <v>0.32119039404406396</v>
      </c>
      <c r="AL275">
        <f t="shared" si="77"/>
        <v>2</v>
      </c>
      <c r="AM275">
        <f t="shared" si="78"/>
        <v>2025</v>
      </c>
      <c r="AN275" t="str">
        <f t="shared" si="79"/>
        <v>Clean</v>
      </c>
    </row>
    <row r="276" spans="1:40">
      <c r="A276" t="s">
        <v>1417</v>
      </c>
      <c r="B276" s="3" t="s">
        <v>1418</v>
      </c>
      <c r="C276" s="10">
        <v>45389</v>
      </c>
      <c r="D276" s="3" t="s">
        <v>1419</v>
      </c>
      <c r="E276" s="10">
        <v>45396</v>
      </c>
      <c r="F276" s="6" t="str">
        <f t="shared" si="64"/>
        <v>Valid</v>
      </c>
      <c r="G276" s="8">
        <f t="shared" si="65"/>
        <v>7</v>
      </c>
      <c r="H276" s="8" t="str">
        <f t="shared" si="66"/>
        <v>Valid</v>
      </c>
      <c r="I276" t="s">
        <v>1420</v>
      </c>
      <c r="J276" t="s">
        <v>179</v>
      </c>
      <c r="K276" t="s">
        <v>179</v>
      </c>
      <c r="L276" t="s">
        <v>25</v>
      </c>
      <c r="M276" s="3" t="str">
        <f t="shared" si="67"/>
        <v>Consumer</v>
      </c>
      <c r="N276" t="s">
        <v>61</v>
      </c>
      <c r="O276" s="3" t="str">
        <f t="shared" si="68"/>
        <v>South</v>
      </c>
      <c r="P276" t="s">
        <v>241</v>
      </c>
      <c r="Q276" t="s">
        <v>242</v>
      </c>
      <c r="R276" t="s">
        <v>85</v>
      </c>
      <c r="S276" s="3" t="str">
        <f t="shared" si="69"/>
        <v>Technology</v>
      </c>
      <c r="T276" t="s">
        <v>93</v>
      </c>
      <c r="U276" t="s">
        <v>1421</v>
      </c>
      <c r="V276" t="s">
        <v>66</v>
      </c>
      <c r="W276" s="3" t="str">
        <f t="shared" si="70"/>
        <v>Standard Class</v>
      </c>
      <c r="X276">
        <v>6</v>
      </c>
      <c r="Y276">
        <v>4246.71</v>
      </c>
      <c r="Z276">
        <v>0.15</v>
      </c>
      <c r="AA276">
        <f t="shared" si="74"/>
        <v>0.15</v>
      </c>
      <c r="AB276">
        <f t="shared" si="75"/>
        <v>21658.221000000001</v>
      </c>
      <c r="AC276">
        <v>21658.22</v>
      </c>
      <c r="AD276">
        <v>15490.69</v>
      </c>
      <c r="AE276">
        <v>6167.53</v>
      </c>
      <c r="AF276" t="s">
        <v>199</v>
      </c>
      <c r="AG276" t="s">
        <v>124</v>
      </c>
      <c r="AH276" t="str">
        <f t="shared" si="71"/>
        <v>Returned</v>
      </c>
      <c r="AI276" t="str">
        <f t="shared" si="72"/>
        <v>Valid</v>
      </c>
      <c r="AJ276">
        <f t="shared" si="73"/>
        <v>6167.5300000000007</v>
      </c>
      <c r="AK276" s="12">
        <f t="shared" si="76"/>
        <v>0.28476623264671647</v>
      </c>
      <c r="AL276">
        <f t="shared" si="77"/>
        <v>4</v>
      </c>
      <c r="AM276">
        <f t="shared" si="78"/>
        <v>2024</v>
      </c>
      <c r="AN276" t="str">
        <f t="shared" si="79"/>
        <v>Clean</v>
      </c>
    </row>
    <row r="277" spans="1:40">
      <c r="A277" t="s">
        <v>1422</v>
      </c>
      <c r="B277" s="3" t="s">
        <v>676</v>
      </c>
      <c r="C277" s="10">
        <v>45337</v>
      </c>
      <c r="D277" s="3" t="s">
        <v>1423</v>
      </c>
      <c r="E277" s="10">
        <v>45344</v>
      </c>
      <c r="F277" s="6" t="str">
        <f t="shared" si="64"/>
        <v>Valid</v>
      </c>
      <c r="G277" s="8">
        <f t="shared" si="65"/>
        <v>7</v>
      </c>
      <c r="H277" s="8" t="str">
        <f t="shared" si="66"/>
        <v>Valid</v>
      </c>
      <c r="I277" t="s">
        <v>1424</v>
      </c>
      <c r="J277" t="s">
        <v>141</v>
      </c>
      <c r="K277" t="s">
        <v>141</v>
      </c>
      <c r="L277" t="s">
        <v>40</v>
      </c>
      <c r="M277" s="3" t="str">
        <f t="shared" si="67"/>
        <v>Small Business</v>
      </c>
      <c r="N277" t="s">
        <v>41</v>
      </c>
      <c r="O277" s="3" t="str">
        <f t="shared" si="68"/>
        <v>East</v>
      </c>
      <c r="P277" t="s">
        <v>120</v>
      </c>
      <c r="Q277" t="s">
        <v>121</v>
      </c>
      <c r="R277" t="s">
        <v>44</v>
      </c>
      <c r="S277" s="3" t="str">
        <f t="shared" si="69"/>
        <v>Furniture</v>
      </c>
      <c r="T277" t="s">
        <v>64</v>
      </c>
      <c r="U277" t="s">
        <v>1425</v>
      </c>
      <c r="V277" t="s">
        <v>47</v>
      </c>
      <c r="W277" s="3" t="str">
        <f t="shared" si="70"/>
        <v>Same Day</v>
      </c>
      <c r="X277">
        <v>1</v>
      </c>
      <c r="Y277">
        <v>980.51</v>
      </c>
      <c r="Z277">
        <v>0</v>
      </c>
      <c r="AA277">
        <f t="shared" si="74"/>
        <v>0</v>
      </c>
      <c r="AB277">
        <f t="shared" si="75"/>
        <v>980.51</v>
      </c>
      <c r="AC277">
        <v>980.51</v>
      </c>
      <c r="AD277">
        <v>660.92</v>
      </c>
      <c r="AE277">
        <v>319.58999999999997</v>
      </c>
      <c r="AF277" t="s">
        <v>33</v>
      </c>
      <c r="AG277" t="s">
        <v>34</v>
      </c>
      <c r="AH277" t="str">
        <f t="shared" si="71"/>
        <v>Completed</v>
      </c>
      <c r="AI277" t="str">
        <f t="shared" si="72"/>
        <v>Valid</v>
      </c>
      <c r="AJ277">
        <f t="shared" si="73"/>
        <v>319.59000000000003</v>
      </c>
      <c r="AK277" s="12">
        <f t="shared" si="76"/>
        <v>0.32594262169687205</v>
      </c>
      <c r="AL277">
        <f t="shared" si="77"/>
        <v>2</v>
      </c>
      <c r="AM277">
        <f t="shared" si="78"/>
        <v>2024</v>
      </c>
      <c r="AN277" t="str">
        <f t="shared" si="79"/>
        <v>Clean</v>
      </c>
    </row>
    <row r="278" spans="1:40">
      <c r="A278" t="s">
        <v>1426</v>
      </c>
      <c r="B278" s="3" t="s">
        <v>1057</v>
      </c>
      <c r="C278" s="10">
        <v>45313</v>
      </c>
      <c r="D278" s="3" t="s">
        <v>1427</v>
      </c>
      <c r="E278" s="10">
        <v>45314</v>
      </c>
      <c r="F278" s="6" t="str">
        <f t="shared" si="64"/>
        <v>Valid</v>
      </c>
      <c r="G278" s="8">
        <f t="shared" si="65"/>
        <v>1</v>
      </c>
      <c r="H278" s="8" t="str">
        <f t="shared" si="66"/>
        <v>Valid</v>
      </c>
      <c r="I278" t="s">
        <v>1428</v>
      </c>
      <c r="J278" t="s">
        <v>161</v>
      </c>
      <c r="K278" t="s">
        <v>161</v>
      </c>
      <c r="L278" t="s">
        <v>40</v>
      </c>
      <c r="M278" s="3" t="str">
        <f t="shared" si="67"/>
        <v>Small Business</v>
      </c>
      <c r="O278" s="3" t="str">
        <f t="shared" si="68"/>
        <v>Unknown</v>
      </c>
      <c r="P278" t="s">
        <v>215</v>
      </c>
      <c r="Q278" t="s">
        <v>216</v>
      </c>
      <c r="R278" t="s">
        <v>44</v>
      </c>
      <c r="S278" s="3" t="str">
        <f t="shared" si="69"/>
        <v>Furniture</v>
      </c>
      <c r="T278" t="s">
        <v>75</v>
      </c>
      <c r="U278" t="s">
        <v>1429</v>
      </c>
      <c r="V278" t="s">
        <v>32</v>
      </c>
      <c r="W278" s="3" t="str">
        <f t="shared" si="70"/>
        <v>Second Class</v>
      </c>
      <c r="X278">
        <v>6</v>
      </c>
      <c r="Y278">
        <v>3391.53</v>
      </c>
      <c r="Z278">
        <v>-0.14000000000000001</v>
      </c>
      <c r="AA278">
        <f t="shared" si="74"/>
        <v>-0.14000000000000001</v>
      </c>
      <c r="AB278">
        <f t="shared" si="75"/>
        <v>23198.065200000005</v>
      </c>
      <c r="AC278">
        <v>15261.89</v>
      </c>
      <c r="AD278">
        <v>8413.5300000000007</v>
      </c>
      <c r="AE278">
        <v>6848.36</v>
      </c>
      <c r="AF278" t="s">
        <v>33</v>
      </c>
      <c r="AG278" t="s">
        <v>34</v>
      </c>
      <c r="AH278" t="str">
        <f t="shared" si="71"/>
        <v>Completed</v>
      </c>
      <c r="AI278" t="str">
        <f t="shared" si="72"/>
        <v>Invalid - Negative Discount</v>
      </c>
      <c r="AJ278">
        <f t="shared" si="73"/>
        <v>6848.3599999999988</v>
      </c>
      <c r="AK278" s="12">
        <f t="shared" si="76"/>
        <v>0.29521255074324032</v>
      </c>
      <c r="AL278">
        <f t="shared" si="77"/>
        <v>1</v>
      </c>
      <c r="AM278">
        <f t="shared" si="78"/>
        <v>2024</v>
      </c>
      <c r="AN278" t="str">
        <f t="shared" si="79"/>
        <v>Clean</v>
      </c>
    </row>
    <row r="279" spans="1:40">
      <c r="A279" t="s">
        <v>1430</v>
      </c>
      <c r="B279" s="3" t="s">
        <v>1431</v>
      </c>
      <c r="C279" s="10">
        <v>45812</v>
      </c>
      <c r="D279" s="3" t="s">
        <v>1431</v>
      </c>
      <c r="E279" s="10">
        <v>45812</v>
      </c>
      <c r="F279" s="6" t="str">
        <f t="shared" si="64"/>
        <v>Valid</v>
      </c>
      <c r="G279" s="8">
        <f t="shared" si="65"/>
        <v>0</v>
      </c>
      <c r="H279" s="8" t="str">
        <f t="shared" si="66"/>
        <v>Valid</v>
      </c>
      <c r="I279" t="s">
        <v>1205</v>
      </c>
      <c r="J279" t="s">
        <v>52</v>
      </c>
      <c r="K279" t="s">
        <v>52</v>
      </c>
      <c r="L279" t="s">
        <v>107</v>
      </c>
      <c r="M279" s="3" t="str">
        <f t="shared" si="67"/>
        <v>Corporate</v>
      </c>
      <c r="N279" t="s">
        <v>26</v>
      </c>
      <c r="O279" s="3" t="str">
        <f t="shared" si="68"/>
        <v>North</v>
      </c>
      <c r="P279" t="s">
        <v>322</v>
      </c>
      <c r="Q279" t="s">
        <v>323</v>
      </c>
      <c r="R279" t="s">
        <v>85</v>
      </c>
      <c r="S279" s="3" t="str">
        <f t="shared" si="69"/>
        <v>Technology</v>
      </c>
      <c r="T279" t="s">
        <v>86</v>
      </c>
      <c r="U279" t="s">
        <v>1432</v>
      </c>
      <c r="V279" t="s">
        <v>32</v>
      </c>
      <c r="W279" s="3" t="str">
        <f t="shared" si="70"/>
        <v>Second Class</v>
      </c>
      <c r="X279">
        <v>1</v>
      </c>
      <c r="Y279">
        <v>2133.73</v>
      </c>
      <c r="Z279">
        <v>0.15</v>
      </c>
      <c r="AA279">
        <f t="shared" si="74"/>
        <v>0.15</v>
      </c>
      <c r="AB279">
        <f t="shared" si="75"/>
        <v>1813.6704999999999</v>
      </c>
      <c r="AC279">
        <v>2008.39</v>
      </c>
      <c r="AD279">
        <v>1002.57</v>
      </c>
      <c r="AE279">
        <v>811.1</v>
      </c>
      <c r="AF279" t="s">
        <v>136</v>
      </c>
      <c r="AG279" t="s">
        <v>77</v>
      </c>
      <c r="AH279" t="str">
        <f t="shared" si="71"/>
        <v>Cancelled</v>
      </c>
      <c r="AI279" t="str">
        <f t="shared" si="72"/>
        <v>Valid</v>
      </c>
      <c r="AJ279">
        <f t="shared" si="73"/>
        <v>1005.82</v>
      </c>
      <c r="AK279" s="12">
        <f t="shared" si="76"/>
        <v>0.55457703039223505</v>
      </c>
      <c r="AL279">
        <f t="shared" si="77"/>
        <v>6</v>
      </c>
      <c r="AM279">
        <f t="shared" si="78"/>
        <v>2025</v>
      </c>
      <c r="AN279" t="str">
        <f t="shared" si="79"/>
        <v>Clean</v>
      </c>
    </row>
    <row r="280" spans="1:40">
      <c r="A280" t="s">
        <v>1433</v>
      </c>
      <c r="B280" s="3" t="s">
        <v>786</v>
      </c>
      <c r="C280" s="10">
        <v>45723</v>
      </c>
      <c r="D280" s="3" t="s">
        <v>1434</v>
      </c>
      <c r="E280" s="10">
        <v>45730</v>
      </c>
      <c r="F280" s="6" t="str">
        <f t="shared" si="64"/>
        <v>Valid</v>
      </c>
      <c r="G280" s="8">
        <f t="shared" si="65"/>
        <v>7</v>
      </c>
      <c r="H280" s="8" t="str">
        <f t="shared" si="66"/>
        <v>Valid</v>
      </c>
      <c r="I280" t="s">
        <v>1435</v>
      </c>
      <c r="J280" t="s">
        <v>141</v>
      </c>
      <c r="K280" t="s">
        <v>141</v>
      </c>
      <c r="L280" t="s">
        <v>40</v>
      </c>
      <c r="M280" s="3" t="str">
        <f t="shared" si="67"/>
        <v>Small Business</v>
      </c>
      <c r="N280" t="s">
        <v>26</v>
      </c>
      <c r="O280" s="3" t="str">
        <f t="shared" si="68"/>
        <v>North</v>
      </c>
      <c r="P280" t="s">
        <v>505</v>
      </c>
      <c r="Q280" t="s">
        <v>506</v>
      </c>
      <c r="R280" t="s">
        <v>85</v>
      </c>
      <c r="S280" s="3" t="str">
        <f t="shared" si="69"/>
        <v>Technology</v>
      </c>
      <c r="T280" t="s">
        <v>86</v>
      </c>
      <c r="U280" t="s">
        <v>1436</v>
      </c>
      <c r="V280" t="s">
        <v>47</v>
      </c>
      <c r="W280" s="3" t="str">
        <f t="shared" si="70"/>
        <v>Same Day</v>
      </c>
      <c r="X280">
        <v>1</v>
      </c>
      <c r="Y280">
        <v>3979.64</v>
      </c>
      <c r="Z280">
        <v>0.05</v>
      </c>
      <c r="AA280">
        <f t="shared" si="74"/>
        <v>0.05</v>
      </c>
      <c r="AB280">
        <f t="shared" si="75"/>
        <v>3780.6579999999999</v>
      </c>
      <c r="AC280">
        <v>3780.66</v>
      </c>
      <c r="AD280">
        <v>2148.31</v>
      </c>
      <c r="AE280">
        <v>1632.35</v>
      </c>
      <c r="AF280" t="s">
        <v>33</v>
      </c>
      <c r="AG280" t="s">
        <v>124</v>
      </c>
      <c r="AH280" t="str">
        <f t="shared" si="71"/>
        <v>Returned</v>
      </c>
      <c r="AI280" t="str">
        <f t="shared" si="72"/>
        <v>Valid</v>
      </c>
      <c r="AJ280">
        <f t="shared" si="73"/>
        <v>1632.35</v>
      </c>
      <c r="AK280" s="12">
        <f t="shared" si="76"/>
        <v>0.43176346551314609</v>
      </c>
      <c r="AL280">
        <f t="shared" si="77"/>
        <v>3</v>
      </c>
      <c r="AM280">
        <f t="shared" si="78"/>
        <v>2025</v>
      </c>
      <c r="AN280" t="str">
        <f t="shared" si="79"/>
        <v>Clean</v>
      </c>
    </row>
    <row r="281" spans="1:40">
      <c r="A281" t="s">
        <v>1437</v>
      </c>
      <c r="B281" s="3" t="s">
        <v>1438</v>
      </c>
      <c r="C281" s="10">
        <v>45391</v>
      </c>
      <c r="D281" s="3" t="s">
        <v>1439</v>
      </c>
      <c r="E281" s="10">
        <v>45392</v>
      </c>
      <c r="F281" s="6" t="str">
        <f t="shared" si="64"/>
        <v>Valid</v>
      </c>
      <c r="G281" s="8">
        <f t="shared" si="65"/>
        <v>1</v>
      </c>
      <c r="H281" s="8" t="str">
        <f t="shared" si="66"/>
        <v>Valid</v>
      </c>
      <c r="I281" t="s">
        <v>1440</v>
      </c>
      <c r="J281" t="s">
        <v>179</v>
      </c>
      <c r="K281" t="s">
        <v>179</v>
      </c>
      <c r="L281" t="s">
        <v>40</v>
      </c>
      <c r="M281" s="3" t="str">
        <f t="shared" si="67"/>
        <v>Small Business</v>
      </c>
      <c r="N281" t="s">
        <v>72</v>
      </c>
      <c r="O281" s="3" t="str">
        <f t="shared" si="68"/>
        <v>West</v>
      </c>
      <c r="P281" t="s">
        <v>73</v>
      </c>
      <c r="Q281" t="s">
        <v>74</v>
      </c>
      <c r="R281" t="s">
        <v>29</v>
      </c>
      <c r="S281" s="3" t="str">
        <f t="shared" si="69"/>
        <v>Office Supplies</v>
      </c>
      <c r="T281" t="s">
        <v>155</v>
      </c>
      <c r="U281" t="s">
        <v>1441</v>
      </c>
      <c r="V281" t="s">
        <v>55</v>
      </c>
      <c r="W281" s="3" t="str">
        <f t="shared" si="70"/>
        <v>First Class</v>
      </c>
      <c r="X281">
        <v>1</v>
      </c>
      <c r="Y281">
        <v>4359.12</v>
      </c>
      <c r="Z281">
        <v>0.05</v>
      </c>
      <c r="AA281">
        <f t="shared" si="74"/>
        <v>0.05</v>
      </c>
      <c r="AB281">
        <f t="shared" si="75"/>
        <v>4141.1639999999998</v>
      </c>
      <c r="AC281">
        <v>4141.16</v>
      </c>
      <c r="AD281">
        <v>2754.17</v>
      </c>
      <c r="AE281">
        <v>1386.99</v>
      </c>
      <c r="AF281" t="s">
        <v>33</v>
      </c>
      <c r="AG281" t="s">
        <v>34</v>
      </c>
      <c r="AH281" t="str">
        <f t="shared" si="71"/>
        <v>Completed</v>
      </c>
      <c r="AI281" t="str">
        <f t="shared" si="72"/>
        <v>Valid</v>
      </c>
      <c r="AJ281">
        <f t="shared" si="73"/>
        <v>1386.9899999999998</v>
      </c>
      <c r="AK281" s="12">
        <f t="shared" si="76"/>
        <v>0.33492757108870835</v>
      </c>
      <c r="AL281">
        <f t="shared" si="77"/>
        <v>4</v>
      </c>
      <c r="AM281">
        <f t="shared" si="78"/>
        <v>2024</v>
      </c>
      <c r="AN281" t="str">
        <f t="shared" si="79"/>
        <v>Clean</v>
      </c>
    </row>
    <row r="282" spans="1:40">
      <c r="A282" t="s">
        <v>1442</v>
      </c>
      <c r="B282" s="3" t="s">
        <v>1443</v>
      </c>
      <c r="C282" s="10">
        <v>45649</v>
      </c>
      <c r="D282" s="3" t="s">
        <v>1444</v>
      </c>
      <c r="E282" s="10">
        <v>45652</v>
      </c>
      <c r="F282" s="6" t="str">
        <f t="shared" si="64"/>
        <v>Valid</v>
      </c>
      <c r="G282" s="8">
        <f t="shared" si="65"/>
        <v>3</v>
      </c>
      <c r="H282" s="8" t="str">
        <f t="shared" si="66"/>
        <v>Valid</v>
      </c>
      <c r="I282" t="s">
        <v>1445</v>
      </c>
      <c r="J282" t="s">
        <v>106</v>
      </c>
      <c r="K282" t="s">
        <v>106</v>
      </c>
      <c r="L282" t="s">
        <v>25</v>
      </c>
      <c r="M282" s="3" t="str">
        <f t="shared" si="67"/>
        <v>Consumer</v>
      </c>
      <c r="N282" t="s">
        <v>61</v>
      </c>
      <c r="O282" s="3" t="str">
        <f t="shared" si="68"/>
        <v>South</v>
      </c>
      <c r="P282" t="s">
        <v>228</v>
      </c>
      <c r="Q282" t="s">
        <v>229</v>
      </c>
      <c r="R282" t="s">
        <v>85</v>
      </c>
      <c r="S282" s="3" t="str">
        <f t="shared" si="69"/>
        <v>Technology</v>
      </c>
      <c r="T282" t="s">
        <v>93</v>
      </c>
      <c r="U282" t="s">
        <v>1446</v>
      </c>
      <c r="V282" t="s">
        <v>66</v>
      </c>
      <c r="W282" s="3" t="str">
        <f t="shared" si="70"/>
        <v>Standard Class</v>
      </c>
      <c r="X282">
        <v>9</v>
      </c>
      <c r="Y282">
        <v>993.67</v>
      </c>
      <c r="Z282">
        <v>0</v>
      </c>
      <c r="AA282">
        <f t="shared" si="74"/>
        <v>0</v>
      </c>
      <c r="AB282">
        <f t="shared" si="75"/>
        <v>8943.0299999999988</v>
      </c>
      <c r="AC282">
        <v>8943.0300000000007</v>
      </c>
      <c r="AD282">
        <v>5165.38</v>
      </c>
      <c r="AE282">
        <v>3777.65</v>
      </c>
      <c r="AF282" t="s">
        <v>33</v>
      </c>
      <c r="AG282" t="s">
        <v>34</v>
      </c>
      <c r="AH282" t="str">
        <f t="shared" si="71"/>
        <v>Completed</v>
      </c>
      <c r="AI282" t="str">
        <f t="shared" si="72"/>
        <v>Valid</v>
      </c>
      <c r="AJ282">
        <f t="shared" si="73"/>
        <v>3777.6500000000005</v>
      </c>
      <c r="AK282" s="12">
        <f t="shared" si="76"/>
        <v>0.42241276167026176</v>
      </c>
      <c r="AL282">
        <f t="shared" si="77"/>
        <v>12</v>
      </c>
      <c r="AM282">
        <f t="shared" si="78"/>
        <v>2024</v>
      </c>
      <c r="AN282" t="str">
        <f t="shared" si="79"/>
        <v>Clean</v>
      </c>
    </row>
    <row r="283" spans="1:40">
      <c r="A283" t="s">
        <v>1447</v>
      </c>
      <c r="B283" s="3" t="s">
        <v>1448</v>
      </c>
      <c r="C283" s="10">
        <v>45863</v>
      </c>
      <c r="D283" s="3" t="s">
        <v>1449</v>
      </c>
      <c r="E283" s="10">
        <v>45865</v>
      </c>
      <c r="F283" s="6" t="str">
        <f t="shared" si="64"/>
        <v>Valid</v>
      </c>
      <c r="G283" s="8">
        <f t="shared" si="65"/>
        <v>2</v>
      </c>
      <c r="H283" s="8" t="str">
        <f t="shared" si="66"/>
        <v>Valid</v>
      </c>
      <c r="I283" t="s">
        <v>1450</v>
      </c>
      <c r="J283" t="s">
        <v>365</v>
      </c>
      <c r="K283" t="s">
        <v>365</v>
      </c>
      <c r="L283" t="s">
        <v>25</v>
      </c>
      <c r="M283" s="3" t="str">
        <f t="shared" si="67"/>
        <v>Consumer</v>
      </c>
      <c r="N283" t="s">
        <v>41</v>
      </c>
      <c r="O283" s="3" t="str">
        <f t="shared" si="68"/>
        <v>East</v>
      </c>
      <c r="P283" t="s">
        <v>310</v>
      </c>
      <c r="Q283" t="s">
        <v>311</v>
      </c>
      <c r="R283" t="s">
        <v>29</v>
      </c>
      <c r="S283" s="3" t="str">
        <f t="shared" si="69"/>
        <v>Office Supplies</v>
      </c>
      <c r="T283" t="s">
        <v>197</v>
      </c>
      <c r="U283" t="s">
        <v>1451</v>
      </c>
      <c r="V283" t="s">
        <v>32</v>
      </c>
      <c r="W283" s="3" t="str">
        <f t="shared" si="70"/>
        <v>Second Class</v>
      </c>
      <c r="X283">
        <v>6</v>
      </c>
      <c r="Y283">
        <v>3438.38</v>
      </c>
      <c r="Z283">
        <v>0.2</v>
      </c>
      <c r="AA283">
        <f t="shared" si="74"/>
        <v>0.2</v>
      </c>
      <c r="AB283">
        <f t="shared" si="75"/>
        <v>16504.223999999998</v>
      </c>
      <c r="AC283">
        <v>16504.22</v>
      </c>
      <c r="AD283">
        <v>11262.71</v>
      </c>
      <c r="AE283">
        <v>5241.51</v>
      </c>
      <c r="AF283" t="s">
        <v>33</v>
      </c>
      <c r="AG283" t="s">
        <v>34</v>
      </c>
      <c r="AH283" t="str">
        <f t="shared" si="71"/>
        <v>Completed</v>
      </c>
      <c r="AI283" t="str">
        <f t="shared" si="72"/>
        <v>Valid</v>
      </c>
      <c r="AJ283">
        <f t="shared" si="73"/>
        <v>5241.510000000002</v>
      </c>
      <c r="AK283" s="12">
        <f t="shared" si="76"/>
        <v>0.31758597071876887</v>
      </c>
      <c r="AL283">
        <f t="shared" si="77"/>
        <v>7</v>
      </c>
      <c r="AM283">
        <f t="shared" si="78"/>
        <v>2025</v>
      </c>
      <c r="AN283" t="str">
        <f t="shared" si="79"/>
        <v>Clean</v>
      </c>
    </row>
    <row r="284" spans="1:40">
      <c r="A284" t="s">
        <v>1452</v>
      </c>
      <c r="B284" s="3" t="s">
        <v>1453</v>
      </c>
      <c r="C284" s="10">
        <v>45566</v>
      </c>
      <c r="D284" s="3" t="s">
        <v>1454</v>
      </c>
      <c r="E284" s="10">
        <v>45567</v>
      </c>
      <c r="F284" s="6" t="str">
        <f t="shared" si="64"/>
        <v>Valid</v>
      </c>
      <c r="G284" s="8">
        <f t="shared" si="65"/>
        <v>1</v>
      </c>
      <c r="H284" s="8" t="str">
        <f t="shared" si="66"/>
        <v>Valid</v>
      </c>
      <c r="I284" t="s">
        <v>1455</v>
      </c>
      <c r="J284" t="s">
        <v>24</v>
      </c>
      <c r="K284" t="s">
        <v>24</v>
      </c>
      <c r="L284" t="s">
        <v>114</v>
      </c>
      <c r="M284" s="3" t="str">
        <f t="shared" si="67"/>
        <v>Home Office</v>
      </c>
      <c r="N284" t="s">
        <v>41</v>
      </c>
      <c r="O284" s="3" t="str">
        <f t="shared" si="68"/>
        <v>East</v>
      </c>
      <c r="P284" t="s">
        <v>215</v>
      </c>
      <c r="Q284" t="s">
        <v>216</v>
      </c>
      <c r="R284" t="s">
        <v>44</v>
      </c>
      <c r="S284" s="3" t="str">
        <f t="shared" si="69"/>
        <v>Furniture</v>
      </c>
      <c r="T284" t="s">
        <v>45</v>
      </c>
      <c r="U284" t="s">
        <v>1456</v>
      </c>
      <c r="V284" t="s">
        <v>32</v>
      </c>
      <c r="W284" s="3" t="str">
        <f t="shared" si="70"/>
        <v>Second Class</v>
      </c>
      <c r="X284">
        <v>2</v>
      </c>
      <c r="Y284">
        <v>2298</v>
      </c>
      <c r="Z284">
        <v>0</v>
      </c>
      <c r="AA284">
        <f t="shared" si="74"/>
        <v>0</v>
      </c>
      <c r="AB284">
        <f t="shared" si="75"/>
        <v>4596</v>
      </c>
      <c r="AC284">
        <v>4596</v>
      </c>
      <c r="AD284">
        <v>3220.33</v>
      </c>
      <c r="AE284">
        <v>1375.67</v>
      </c>
      <c r="AF284" t="s">
        <v>33</v>
      </c>
      <c r="AG284" t="s">
        <v>34</v>
      </c>
      <c r="AH284" t="str">
        <f t="shared" si="71"/>
        <v>Completed</v>
      </c>
      <c r="AI284" t="str">
        <f t="shared" si="72"/>
        <v>Valid</v>
      </c>
      <c r="AJ284">
        <f t="shared" si="73"/>
        <v>1375.67</v>
      </c>
      <c r="AK284" s="12">
        <f t="shared" si="76"/>
        <v>0.29931897302001742</v>
      </c>
      <c r="AL284">
        <f t="shared" si="77"/>
        <v>10</v>
      </c>
      <c r="AM284">
        <f t="shared" si="78"/>
        <v>2024</v>
      </c>
      <c r="AN284" t="str">
        <f t="shared" si="79"/>
        <v>Clean</v>
      </c>
    </row>
    <row r="285" spans="1:40">
      <c r="A285" t="s">
        <v>1457</v>
      </c>
      <c r="B285" s="3" t="s">
        <v>1458</v>
      </c>
      <c r="C285" s="10">
        <v>45729</v>
      </c>
      <c r="D285" s="3" t="s">
        <v>1459</v>
      </c>
      <c r="E285" s="10">
        <v>45736</v>
      </c>
      <c r="F285" s="6" t="str">
        <f t="shared" si="64"/>
        <v>Valid</v>
      </c>
      <c r="G285" s="8">
        <f t="shared" si="65"/>
        <v>7</v>
      </c>
      <c r="H285" s="8" t="str">
        <f t="shared" si="66"/>
        <v>Valid</v>
      </c>
      <c r="I285" t="s">
        <v>1460</v>
      </c>
      <c r="J285" t="s">
        <v>82</v>
      </c>
      <c r="K285" t="s">
        <v>82</v>
      </c>
      <c r="L285" t="s">
        <v>25</v>
      </c>
      <c r="M285" s="3" t="str">
        <f t="shared" si="67"/>
        <v>Consumer</v>
      </c>
      <c r="N285" t="s">
        <v>72</v>
      </c>
      <c r="O285" s="3" t="str">
        <f t="shared" si="68"/>
        <v>West</v>
      </c>
      <c r="P285" t="s">
        <v>73</v>
      </c>
      <c r="Q285" t="s">
        <v>74</v>
      </c>
      <c r="R285" t="s">
        <v>44</v>
      </c>
      <c r="S285" s="3" t="str">
        <f t="shared" si="69"/>
        <v>Furniture</v>
      </c>
      <c r="T285" t="s">
        <v>64</v>
      </c>
      <c r="U285" t="s">
        <v>1461</v>
      </c>
      <c r="V285" t="s">
        <v>55</v>
      </c>
      <c r="W285" s="3" t="str">
        <f t="shared" si="70"/>
        <v>First Class</v>
      </c>
      <c r="X285">
        <v>1</v>
      </c>
      <c r="Y285">
        <v>1814.01</v>
      </c>
      <c r="Z285">
        <v>0</v>
      </c>
      <c r="AA285">
        <f t="shared" si="74"/>
        <v>0</v>
      </c>
      <c r="AB285">
        <f t="shared" si="75"/>
        <v>1814.01</v>
      </c>
      <c r="AC285">
        <v>1814.01</v>
      </c>
      <c r="AD285">
        <v>1033.47</v>
      </c>
      <c r="AE285">
        <v>780.54</v>
      </c>
      <c r="AF285" t="s">
        <v>33</v>
      </c>
      <c r="AG285" t="s">
        <v>34</v>
      </c>
      <c r="AH285" t="str">
        <f t="shared" si="71"/>
        <v>Completed</v>
      </c>
      <c r="AI285" t="str">
        <f t="shared" si="72"/>
        <v>Valid</v>
      </c>
      <c r="AJ285">
        <f t="shared" si="73"/>
        <v>780.54</v>
      </c>
      <c r="AK285" s="12">
        <f t="shared" si="76"/>
        <v>0.43028428729720342</v>
      </c>
      <c r="AL285">
        <f t="shared" si="77"/>
        <v>3</v>
      </c>
      <c r="AM285">
        <f t="shared" si="78"/>
        <v>2025</v>
      </c>
      <c r="AN285" t="str">
        <f t="shared" si="79"/>
        <v>Clean</v>
      </c>
    </row>
    <row r="286" spans="1:40">
      <c r="A286" t="s">
        <v>1462</v>
      </c>
      <c r="B286" s="3" t="s">
        <v>1463</v>
      </c>
      <c r="C286" s="10">
        <v>45634</v>
      </c>
      <c r="D286" s="3" t="s">
        <v>1464</v>
      </c>
      <c r="E286" s="10">
        <v>45640</v>
      </c>
      <c r="F286" s="6" t="str">
        <f t="shared" si="64"/>
        <v>Valid</v>
      </c>
      <c r="G286" s="8">
        <f t="shared" si="65"/>
        <v>6</v>
      </c>
      <c r="H286" s="8" t="str">
        <f t="shared" si="66"/>
        <v>Valid</v>
      </c>
      <c r="I286" t="s">
        <v>1465</v>
      </c>
      <c r="J286" t="s">
        <v>24</v>
      </c>
      <c r="K286" t="s">
        <v>24</v>
      </c>
      <c r="L286" t="s">
        <v>25</v>
      </c>
      <c r="M286" s="3" t="str">
        <f t="shared" si="67"/>
        <v>Consumer</v>
      </c>
      <c r="N286" t="s">
        <v>41</v>
      </c>
      <c r="O286" s="3" t="str">
        <f t="shared" si="68"/>
        <v>East</v>
      </c>
      <c r="P286" t="s">
        <v>42</v>
      </c>
      <c r="Q286" t="s">
        <v>43</v>
      </c>
      <c r="R286" t="s">
        <v>44</v>
      </c>
      <c r="S286" s="3" t="str">
        <f t="shared" si="69"/>
        <v>Furniture</v>
      </c>
      <c r="T286" t="s">
        <v>45</v>
      </c>
      <c r="U286" t="s">
        <v>1466</v>
      </c>
      <c r="V286" t="s">
        <v>47</v>
      </c>
      <c r="W286" s="3" t="str">
        <f t="shared" si="70"/>
        <v>Same Day</v>
      </c>
      <c r="X286">
        <v>3</v>
      </c>
      <c r="Y286">
        <v>1576.92</v>
      </c>
      <c r="Z286">
        <v>0</v>
      </c>
      <c r="AA286">
        <f t="shared" si="74"/>
        <v>0</v>
      </c>
      <c r="AB286">
        <f t="shared" si="75"/>
        <v>4730.76</v>
      </c>
      <c r="AC286">
        <v>4730.76</v>
      </c>
      <c r="AD286">
        <v>3139.73</v>
      </c>
      <c r="AE286">
        <v>1591.03</v>
      </c>
      <c r="AF286" t="s">
        <v>33</v>
      </c>
      <c r="AG286" t="s">
        <v>124</v>
      </c>
      <c r="AH286" t="str">
        <f t="shared" si="71"/>
        <v>Returned</v>
      </c>
      <c r="AI286" t="str">
        <f t="shared" si="72"/>
        <v>Valid</v>
      </c>
      <c r="AJ286">
        <f t="shared" si="73"/>
        <v>1591.0300000000002</v>
      </c>
      <c r="AK286" s="12">
        <f t="shared" si="76"/>
        <v>0.33631594077907145</v>
      </c>
      <c r="AL286">
        <f t="shared" si="77"/>
        <v>12</v>
      </c>
      <c r="AM286">
        <f t="shared" si="78"/>
        <v>2024</v>
      </c>
      <c r="AN286" t="str">
        <f t="shared" si="79"/>
        <v>Clean</v>
      </c>
    </row>
    <row r="287" spans="1:40">
      <c r="A287" t="s">
        <v>1467</v>
      </c>
      <c r="B287" s="3" t="s">
        <v>1468</v>
      </c>
      <c r="C287" s="10">
        <v>45884</v>
      </c>
      <c r="D287" s="3" t="s">
        <v>1469</v>
      </c>
      <c r="E287" s="10">
        <v>45889</v>
      </c>
      <c r="F287" s="6" t="str">
        <f t="shared" si="64"/>
        <v>Valid</v>
      </c>
      <c r="G287" s="8">
        <f t="shared" si="65"/>
        <v>5</v>
      </c>
      <c r="H287" s="8" t="str">
        <f t="shared" si="66"/>
        <v>Valid</v>
      </c>
      <c r="I287" t="s">
        <v>1470</v>
      </c>
      <c r="J287" t="s">
        <v>92</v>
      </c>
      <c r="K287" t="s">
        <v>92</v>
      </c>
      <c r="L287" t="s">
        <v>114</v>
      </c>
      <c r="M287" s="3" t="str">
        <f t="shared" si="67"/>
        <v>Home Office</v>
      </c>
      <c r="N287" t="s">
        <v>26</v>
      </c>
      <c r="O287" s="3" t="str">
        <f t="shared" si="68"/>
        <v>North</v>
      </c>
      <c r="P287" t="s">
        <v>27</v>
      </c>
      <c r="Q287" t="s">
        <v>28</v>
      </c>
      <c r="R287" t="s">
        <v>29</v>
      </c>
      <c r="S287" s="3" t="str">
        <f t="shared" si="69"/>
        <v>Office Supplies</v>
      </c>
      <c r="T287" t="s">
        <v>155</v>
      </c>
      <c r="U287" t="s">
        <v>1471</v>
      </c>
      <c r="V287" t="s">
        <v>66</v>
      </c>
      <c r="W287" s="3" t="str">
        <f t="shared" si="70"/>
        <v>Standard Class</v>
      </c>
      <c r="X287">
        <v>9</v>
      </c>
      <c r="Y287">
        <v>4081.77</v>
      </c>
      <c r="Z287">
        <v>0</v>
      </c>
      <c r="AA287">
        <f t="shared" si="74"/>
        <v>0</v>
      </c>
      <c r="AB287">
        <f t="shared" si="75"/>
        <v>36735.93</v>
      </c>
      <c r="AC287">
        <v>36735.93</v>
      </c>
      <c r="AD287">
        <v>30820.84</v>
      </c>
      <c r="AE287">
        <v>5915.09</v>
      </c>
      <c r="AF287" t="s">
        <v>33</v>
      </c>
      <c r="AG287" t="s">
        <v>34</v>
      </c>
      <c r="AH287" t="str">
        <f t="shared" si="71"/>
        <v>Completed</v>
      </c>
      <c r="AI287" t="str">
        <f t="shared" si="72"/>
        <v>Valid</v>
      </c>
      <c r="AJ287">
        <f t="shared" si="73"/>
        <v>5915.09</v>
      </c>
      <c r="AK287" s="12">
        <f t="shared" si="76"/>
        <v>0.16101647624001897</v>
      </c>
      <c r="AL287">
        <f t="shared" si="77"/>
        <v>8</v>
      </c>
      <c r="AM287">
        <f t="shared" si="78"/>
        <v>2025</v>
      </c>
      <c r="AN287" t="str">
        <f t="shared" si="79"/>
        <v>Clean</v>
      </c>
    </row>
    <row r="288" spans="1:40">
      <c r="A288" t="s">
        <v>1472</v>
      </c>
      <c r="B288" s="3" t="s">
        <v>1473</v>
      </c>
      <c r="C288" s="10">
        <v>45350</v>
      </c>
      <c r="D288" s="3" t="s">
        <v>1474</v>
      </c>
      <c r="E288" s="10">
        <v>45353</v>
      </c>
      <c r="F288" s="6" t="str">
        <f t="shared" si="64"/>
        <v>Valid</v>
      </c>
      <c r="G288" s="8">
        <f t="shared" si="65"/>
        <v>3</v>
      </c>
      <c r="H288" s="8" t="str">
        <f t="shared" si="66"/>
        <v>Valid</v>
      </c>
      <c r="I288" t="s">
        <v>1475</v>
      </c>
      <c r="J288" t="s">
        <v>141</v>
      </c>
      <c r="K288" t="s">
        <v>141</v>
      </c>
      <c r="L288" t="s">
        <v>40</v>
      </c>
      <c r="M288" s="3" t="str">
        <f t="shared" si="67"/>
        <v>Small Business</v>
      </c>
      <c r="N288" t="s">
        <v>26</v>
      </c>
      <c r="O288" s="3" t="str">
        <f t="shared" si="68"/>
        <v>North</v>
      </c>
      <c r="P288" t="s">
        <v>505</v>
      </c>
      <c r="Q288" t="s">
        <v>506</v>
      </c>
      <c r="R288" t="s">
        <v>44</v>
      </c>
      <c r="S288" s="3" t="str">
        <f t="shared" si="69"/>
        <v>Furniture</v>
      </c>
      <c r="T288" t="s">
        <v>64</v>
      </c>
      <c r="U288" t="s">
        <v>1476</v>
      </c>
      <c r="V288" t="s">
        <v>55</v>
      </c>
      <c r="W288" s="3" t="str">
        <f t="shared" si="70"/>
        <v>First Class</v>
      </c>
      <c r="X288">
        <v>7</v>
      </c>
      <c r="Y288">
        <v>701.8</v>
      </c>
      <c r="Z288">
        <v>0.1</v>
      </c>
      <c r="AA288">
        <f t="shared" si="74"/>
        <v>0.1</v>
      </c>
      <c r="AB288">
        <f t="shared" si="75"/>
        <v>4421.3399999999992</v>
      </c>
      <c r="AC288">
        <v>4421.34</v>
      </c>
      <c r="AD288">
        <v>2489.98</v>
      </c>
      <c r="AE288">
        <v>1931.36</v>
      </c>
      <c r="AF288" t="s">
        <v>136</v>
      </c>
      <c r="AG288" t="s">
        <v>124</v>
      </c>
      <c r="AH288" t="str">
        <f t="shared" si="71"/>
        <v>Returned</v>
      </c>
      <c r="AI288" t="str">
        <f t="shared" si="72"/>
        <v>Valid</v>
      </c>
      <c r="AJ288">
        <f t="shared" si="73"/>
        <v>1931.3600000000001</v>
      </c>
      <c r="AK288" s="12">
        <f t="shared" si="76"/>
        <v>0.4368268443503554</v>
      </c>
      <c r="AL288">
        <f t="shared" si="77"/>
        <v>2</v>
      </c>
      <c r="AM288">
        <f t="shared" si="78"/>
        <v>2024</v>
      </c>
      <c r="AN288" t="str">
        <f t="shared" si="79"/>
        <v>Clean</v>
      </c>
    </row>
    <row r="289" spans="1:40">
      <c r="A289" t="s">
        <v>1477</v>
      </c>
      <c r="B289" s="3" t="s">
        <v>1478</v>
      </c>
      <c r="C289" s="10">
        <v>45540</v>
      </c>
      <c r="D289" s="3" t="s">
        <v>1479</v>
      </c>
      <c r="E289" s="10">
        <v>45542</v>
      </c>
      <c r="F289" s="6" t="str">
        <f t="shared" si="64"/>
        <v>Valid</v>
      </c>
      <c r="G289" s="8">
        <f t="shared" si="65"/>
        <v>2</v>
      </c>
      <c r="H289" s="8" t="str">
        <f t="shared" si="66"/>
        <v>Valid</v>
      </c>
      <c r="I289" t="s">
        <v>1480</v>
      </c>
      <c r="J289" t="s">
        <v>92</v>
      </c>
      <c r="K289" t="s">
        <v>92</v>
      </c>
      <c r="L289" t="s">
        <v>40</v>
      </c>
      <c r="M289" s="3" t="str">
        <f t="shared" si="67"/>
        <v>Small Business</v>
      </c>
      <c r="N289" t="s">
        <v>61</v>
      </c>
      <c r="O289" s="3" t="str">
        <f t="shared" si="68"/>
        <v>South</v>
      </c>
      <c r="P289" t="s">
        <v>338</v>
      </c>
      <c r="Q289" t="s">
        <v>339</v>
      </c>
      <c r="R289" t="s">
        <v>85</v>
      </c>
      <c r="S289" s="3" t="str">
        <f t="shared" si="69"/>
        <v>Technology</v>
      </c>
      <c r="T289" t="s">
        <v>93</v>
      </c>
      <c r="U289" t="s">
        <v>1481</v>
      </c>
      <c r="V289" t="s">
        <v>66</v>
      </c>
      <c r="W289" s="3" t="str">
        <f t="shared" si="70"/>
        <v>Standard Class</v>
      </c>
      <c r="X289">
        <v>3</v>
      </c>
      <c r="Y289">
        <v>2555.66</v>
      </c>
      <c r="Z289">
        <v>0.15</v>
      </c>
      <c r="AA289">
        <f t="shared" si="74"/>
        <v>0.15</v>
      </c>
      <c r="AB289">
        <f t="shared" si="75"/>
        <v>6516.9329999999991</v>
      </c>
      <c r="AC289">
        <v>6516.93</v>
      </c>
      <c r="AD289">
        <v>4511.54</v>
      </c>
      <c r="AE289">
        <v>2005.39</v>
      </c>
      <c r="AF289" t="s">
        <v>33</v>
      </c>
      <c r="AG289" t="s">
        <v>77</v>
      </c>
      <c r="AH289" t="str">
        <f t="shared" si="71"/>
        <v>Cancelled</v>
      </c>
      <c r="AI289" t="str">
        <f t="shared" si="72"/>
        <v>Valid</v>
      </c>
      <c r="AJ289">
        <f t="shared" si="73"/>
        <v>2005.3900000000003</v>
      </c>
      <c r="AK289" s="12">
        <f t="shared" si="76"/>
        <v>0.3077199044397112</v>
      </c>
      <c r="AL289">
        <f t="shared" si="77"/>
        <v>9</v>
      </c>
      <c r="AM289">
        <f t="shared" si="78"/>
        <v>2024</v>
      </c>
      <c r="AN289" t="str">
        <f t="shared" si="79"/>
        <v>Clean</v>
      </c>
    </row>
    <row r="290" spans="1:40">
      <c r="A290" t="s">
        <v>1482</v>
      </c>
      <c r="B290" s="3" t="s">
        <v>1483</v>
      </c>
      <c r="C290" s="10">
        <v>45467</v>
      </c>
      <c r="D290" s="3" t="s">
        <v>1483</v>
      </c>
      <c r="E290" s="10">
        <v>45467</v>
      </c>
      <c r="F290" s="6" t="str">
        <f t="shared" si="64"/>
        <v>Valid</v>
      </c>
      <c r="G290" s="8">
        <f t="shared" si="65"/>
        <v>0</v>
      </c>
      <c r="H290" s="8" t="str">
        <f t="shared" si="66"/>
        <v>Valid</v>
      </c>
      <c r="I290" t="s">
        <v>1484</v>
      </c>
      <c r="J290" t="s">
        <v>179</v>
      </c>
      <c r="K290" t="s">
        <v>179</v>
      </c>
      <c r="L290" t="s">
        <v>40</v>
      </c>
      <c r="M290" s="3" t="str">
        <f t="shared" si="67"/>
        <v>Small Business</v>
      </c>
      <c r="N290" t="s">
        <v>41</v>
      </c>
      <c r="O290" s="3" t="str">
        <f t="shared" si="68"/>
        <v>East</v>
      </c>
      <c r="P290" t="s">
        <v>185</v>
      </c>
      <c r="Q290" t="s">
        <v>186</v>
      </c>
      <c r="R290" t="s">
        <v>29</v>
      </c>
      <c r="S290" s="3" t="str">
        <f t="shared" si="69"/>
        <v>Office Supplies</v>
      </c>
      <c r="T290" t="s">
        <v>197</v>
      </c>
      <c r="U290" t="s">
        <v>1485</v>
      </c>
      <c r="V290" t="s">
        <v>47</v>
      </c>
      <c r="W290" s="3" t="str">
        <f t="shared" si="70"/>
        <v>Same Day</v>
      </c>
      <c r="X290">
        <v>2</v>
      </c>
      <c r="Y290">
        <v>4359.8999999999996</v>
      </c>
      <c r="Z290">
        <v>0.15</v>
      </c>
      <c r="AA290">
        <f t="shared" si="74"/>
        <v>0.15</v>
      </c>
      <c r="AB290">
        <f t="shared" si="75"/>
        <v>7411.829999999999</v>
      </c>
      <c r="AC290">
        <v>7411.83</v>
      </c>
      <c r="AD290">
        <v>4904.63</v>
      </c>
      <c r="AE290">
        <v>2507.1999999999998</v>
      </c>
      <c r="AF290" t="s">
        <v>33</v>
      </c>
      <c r="AG290" t="s">
        <v>34</v>
      </c>
      <c r="AH290" t="str">
        <f t="shared" si="71"/>
        <v>Completed</v>
      </c>
      <c r="AI290" t="str">
        <f t="shared" si="72"/>
        <v>Valid</v>
      </c>
      <c r="AJ290">
        <f t="shared" si="73"/>
        <v>2507.1999999999998</v>
      </c>
      <c r="AK290" s="12">
        <f t="shared" si="76"/>
        <v>0.33827003587508081</v>
      </c>
      <c r="AL290">
        <f t="shared" si="77"/>
        <v>6</v>
      </c>
      <c r="AM290">
        <f t="shared" si="78"/>
        <v>2024</v>
      </c>
      <c r="AN290" t="str">
        <f t="shared" si="79"/>
        <v>Clean</v>
      </c>
    </row>
    <row r="291" spans="1:40">
      <c r="A291" t="s">
        <v>1486</v>
      </c>
      <c r="B291" s="3" t="s">
        <v>253</v>
      </c>
      <c r="C291" s="10">
        <v>45827</v>
      </c>
      <c r="D291" s="3" t="s">
        <v>648</v>
      </c>
      <c r="E291" s="10">
        <v>45835</v>
      </c>
      <c r="F291" s="6" t="str">
        <f t="shared" si="64"/>
        <v>Valid</v>
      </c>
      <c r="G291" s="8">
        <f t="shared" si="65"/>
        <v>8</v>
      </c>
      <c r="H291" s="8" t="str">
        <f t="shared" si="66"/>
        <v>Valid</v>
      </c>
      <c r="I291" t="s">
        <v>1487</v>
      </c>
      <c r="J291" t="s">
        <v>24</v>
      </c>
      <c r="K291" t="s">
        <v>24</v>
      </c>
      <c r="L291" t="s">
        <v>114</v>
      </c>
      <c r="M291" s="3" t="str">
        <f t="shared" si="67"/>
        <v>Home Office</v>
      </c>
      <c r="N291" t="s">
        <v>61</v>
      </c>
      <c r="O291" s="3" t="str">
        <f t="shared" si="68"/>
        <v>South</v>
      </c>
      <c r="P291" t="s">
        <v>338</v>
      </c>
      <c r="Q291" t="s">
        <v>339</v>
      </c>
      <c r="R291" t="s">
        <v>44</v>
      </c>
      <c r="S291" s="3" t="str">
        <f t="shared" si="69"/>
        <v>Furniture</v>
      </c>
      <c r="T291" t="s">
        <v>203</v>
      </c>
      <c r="U291" t="s">
        <v>1488</v>
      </c>
      <c r="V291" t="s">
        <v>55</v>
      </c>
      <c r="W291" s="3" t="str">
        <f t="shared" si="70"/>
        <v>First Class</v>
      </c>
      <c r="X291">
        <v>2</v>
      </c>
      <c r="Y291">
        <v>4346.6899999999996</v>
      </c>
      <c r="Z291">
        <v>0.05</v>
      </c>
      <c r="AA291">
        <f t="shared" si="74"/>
        <v>0.05</v>
      </c>
      <c r="AB291">
        <f t="shared" si="75"/>
        <v>8258.7109999999993</v>
      </c>
      <c r="AC291">
        <v>8258.7099999999991</v>
      </c>
      <c r="AD291">
        <v>7018.97</v>
      </c>
      <c r="AE291">
        <v>1239.74</v>
      </c>
      <c r="AF291" t="s">
        <v>33</v>
      </c>
      <c r="AG291" t="s">
        <v>34</v>
      </c>
      <c r="AH291" t="str">
        <f t="shared" si="71"/>
        <v>Completed</v>
      </c>
      <c r="AI291" t="str">
        <f t="shared" si="72"/>
        <v>Valid</v>
      </c>
      <c r="AJ291">
        <f t="shared" si="73"/>
        <v>1239.7399999999989</v>
      </c>
      <c r="AK291" s="12">
        <f t="shared" si="76"/>
        <v>0.1501130140042434</v>
      </c>
      <c r="AL291">
        <f t="shared" si="77"/>
        <v>6</v>
      </c>
      <c r="AM291">
        <f t="shared" si="78"/>
        <v>2025</v>
      </c>
      <c r="AN291" t="str">
        <f t="shared" si="79"/>
        <v>Clean</v>
      </c>
    </row>
    <row r="292" spans="1:40">
      <c r="A292" t="s">
        <v>1489</v>
      </c>
      <c r="B292" s="3" t="s">
        <v>1490</v>
      </c>
      <c r="C292" s="10">
        <v>45891</v>
      </c>
      <c r="D292" s="3" t="s">
        <v>1491</v>
      </c>
      <c r="E292" s="10">
        <v>45895</v>
      </c>
      <c r="F292" s="6" t="str">
        <f t="shared" si="64"/>
        <v>Valid</v>
      </c>
      <c r="G292" s="8">
        <f t="shared" si="65"/>
        <v>4</v>
      </c>
      <c r="H292" s="8" t="str">
        <f t="shared" si="66"/>
        <v>Valid</v>
      </c>
      <c r="I292" t="s">
        <v>1492</v>
      </c>
      <c r="J292" t="s">
        <v>209</v>
      </c>
      <c r="K292" t="s">
        <v>209</v>
      </c>
      <c r="L292" t="s">
        <v>114</v>
      </c>
      <c r="M292" s="3" t="str">
        <f t="shared" si="67"/>
        <v>Home Office</v>
      </c>
      <c r="N292" t="s">
        <v>41</v>
      </c>
      <c r="O292" s="3" t="str">
        <f t="shared" si="68"/>
        <v>East</v>
      </c>
      <c r="P292" t="s">
        <v>310</v>
      </c>
      <c r="Q292" t="s">
        <v>311</v>
      </c>
      <c r="R292" t="s">
        <v>44</v>
      </c>
      <c r="S292" s="3" t="str">
        <f t="shared" si="69"/>
        <v>Furniture</v>
      </c>
      <c r="T292" t="s">
        <v>45</v>
      </c>
      <c r="U292" t="s">
        <v>1493</v>
      </c>
      <c r="V292" t="s">
        <v>66</v>
      </c>
      <c r="W292" s="3" t="str">
        <f t="shared" si="70"/>
        <v>Standard Class</v>
      </c>
      <c r="X292">
        <v>1</v>
      </c>
      <c r="Y292">
        <v>1842.63</v>
      </c>
      <c r="Z292">
        <v>0.1</v>
      </c>
      <c r="AA292">
        <f t="shared" si="74"/>
        <v>0.1</v>
      </c>
      <c r="AB292">
        <f t="shared" si="75"/>
        <v>1658.3670000000002</v>
      </c>
      <c r="AC292">
        <v>1658.37</v>
      </c>
      <c r="AD292">
        <v>971.12</v>
      </c>
      <c r="AE292">
        <v>687.25</v>
      </c>
      <c r="AF292" t="s">
        <v>33</v>
      </c>
      <c r="AG292" t="s">
        <v>34</v>
      </c>
      <c r="AH292" t="str">
        <f t="shared" si="71"/>
        <v>Completed</v>
      </c>
      <c r="AI292" t="str">
        <f t="shared" si="72"/>
        <v>Valid</v>
      </c>
      <c r="AJ292">
        <f t="shared" si="73"/>
        <v>687.24999999999989</v>
      </c>
      <c r="AK292" s="12">
        <f t="shared" si="76"/>
        <v>0.41441369732996364</v>
      </c>
      <c r="AL292">
        <f t="shared" si="77"/>
        <v>8</v>
      </c>
      <c r="AM292">
        <f t="shared" si="78"/>
        <v>2025</v>
      </c>
      <c r="AN292" t="str">
        <f t="shared" si="79"/>
        <v>Clean</v>
      </c>
    </row>
    <row r="293" spans="1:40">
      <c r="A293" t="s">
        <v>1494</v>
      </c>
      <c r="B293" s="3" t="s">
        <v>1495</v>
      </c>
      <c r="C293" s="10">
        <v>45387</v>
      </c>
      <c r="D293" s="3" t="s">
        <v>1496</v>
      </c>
      <c r="E293" s="10">
        <v>45392</v>
      </c>
      <c r="F293" s="6" t="str">
        <f t="shared" si="64"/>
        <v>Valid</v>
      </c>
      <c r="G293" s="8">
        <f t="shared" si="65"/>
        <v>5</v>
      </c>
      <c r="H293" s="8" t="str">
        <f t="shared" si="66"/>
        <v>Valid</v>
      </c>
      <c r="I293" t="s">
        <v>1497</v>
      </c>
      <c r="J293" t="s">
        <v>141</v>
      </c>
      <c r="K293" t="s">
        <v>141</v>
      </c>
      <c r="L293" t="s">
        <v>114</v>
      </c>
      <c r="M293" s="3" t="str">
        <f t="shared" si="67"/>
        <v>Home Office</v>
      </c>
      <c r="N293" t="s">
        <v>26</v>
      </c>
      <c r="O293" s="3" t="str">
        <f t="shared" si="68"/>
        <v>North</v>
      </c>
      <c r="P293" t="s">
        <v>27</v>
      </c>
      <c r="Q293" t="s">
        <v>28</v>
      </c>
      <c r="R293" t="s">
        <v>29</v>
      </c>
      <c r="S293" s="3" t="str">
        <f t="shared" si="69"/>
        <v>Office Supplies</v>
      </c>
      <c r="T293" t="s">
        <v>197</v>
      </c>
      <c r="U293" t="s">
        <v>1498</v>
      </c>
      <c r="V293" t="s">
        <v>66</v>
      </c>
      <c r="W293" s="3" t="str">
        <f t="shared" si="70"/>
        <v>Standard Class</v>
      </c>
      <c r="X293">
        <v>4</v>
      </c>
      <c r="Y293">
        <v>3228.66</v>
      </c>
      <c r="Z293">
        <v>0.25</v>
      </c>
      <c r="AA293">
        <f t="shared" si="74"/>
        <v>0.25</v>
      </c>
      <c r="AB293">
        <f t="shared" si="75"/>
        <v>9685.98</v>
      </c>
      <c r="AC293">
        <v>9685.98</v>
      </c>
      <c r="AD293">
        <v>7730.04</v>
      </c>
      <c r="AE293">
        <v>1955.94</v>
      </c>
      <c r="AF293" t="s">
        <v>33</v>
      </c>
      <c r="AG293" t="s">
        <v>34</v>
      </c>
      <c r="AH293" t="str">
        <f t="shared" si="71"/>
        <v>Completed</v>
      </c>
      <c r="AI293" t="str">
        <f t="shared" si="72"/>
        <v>Valid</v>
      </c>
      <c r="AJ293">
        <f t="shared" si="73"/>
        <v>1955.9399999999996</v>
      </c>
      <c r="AK293" s="12">
        <f t="shared" si="76"/>
        <v>0.20193516815025425</v>
      </c>
      <c r="AL293">
        <f t="shared" si="77"/>
        <v>4</v>
      </c>
      <c r="AM293">
        <f t="shared" si="78"/>
        <v>2024</v>
      </c>
      <c r="AN293" t="str">
        <f t="shared" si="79"/>
        <v>Clean</v>
      </c>
    </row>
    <row r="294" spans="1:40">
      <c r="A294" t="s">
        <v>1499</v>
      </c>
      <c r="B294" s="3" t="s">
        <v>1500</v>
      </c>
      <c r="C294" s="10">
        <v>45716</v>
      </c>
      <c r="D294" s="3" t="s">
        <v>1501</v>
      </c>
      <c r="E294" s="10">
        <v>45719</v>
      </c>
      <c r="F294" s="6" t="str">
        <f t="shared" si="64"/>
        <v>Valid</v>
      </c>
      <c r="G294" s="8">
        <f t="shared" si="65"/>
        <v>3</v>
      </c>
      <c r="H294" s="8" t="str">
        <f t="shared" si="66"/>
        <v>Valid</v>
      </c>
      <c r="I294" t="s">
        <v>1502</v>
      </c>
      <c r="J294" t="s">
        <v>365</v>
      </c>
      <c r="K294" t="s">
        <v>365</v>
      </c>
      <c r="L294" t="s">
        <v>114</v>
      </c>
      <c r="M294" s="3" t="str">
        <f t="shared" si="67"/>
        <v>Home Office</v>
      </c>
      <c r="N294" t="s">
        <v>26</v>
      </c>
      <c r="O294" s="3" t="str">
        <f t="shared" si="68"/>
        <v>North</v>
      </c>
      <c r="P294" t="s">
        <v>322</v>
      </c>
      <c r="Q294" t="s">
        <v>323</v>
      </c>
      <c r="R294" t="s">
        <v>29</v>
      </c>
      <c r="S294" s="3" t="str">
        <f t="shared" si="69"/>
        <v>Office Supplies</v>
      </c>
      <c r="T294" t="s">
        <v>53</v>
      </c>
      <c r="U294" t="s">
        <v>1503</v>
      </c>
      <c r="V294" t="s">
        <v>47</v>
      </c>
      <c r="W294" s="3" t="str">
        <f t="shared" si="70"/>
        <v>Same Day</v>
      </c>
      <c r="X294">
        <v>9</v>
      </c>
      <c r="Y294">
        <v>3748.95</v>
      </c>
      <c r="Z294">
        <v>0</v>
      </c>
      <c r="AA294">
        <f t="shared" si="74"/>
        <v>0</v>
      </c>
      <c r="AB294">
        <f t="shared" si="75"/>
        <v>33740.549999999996</v>
      </c>
      <c r="AC294">
        <v>33740.550000000003</v>
      </c>
      <c r="AD294">
        <v>24621.89</v>
      </c>
      <c r="AE294">
        <v>9118.66</v>
      </c>
      <c r="AF294" t="s">
        <v>136</v>
      </c>
      <c r="AG294" t="s">
        <v>77</v>
      </c>
      <c r="AH294" t="str">
        <f t="shared" si="71"/>
        <v>Cancelled</v>
      </c>
      <c r="AI294" t="str">
        <f t="shared" si="72"/>
        <v>Valid</v>
      </c>
      <c r="AJ294">
        <f t="shared" si="73"/>
        <v>9118.6600000000035</v>
      </c>
      <c r="AK294" s="12">
        <f t="shared" si="76"/>
        <v>0.27025819081194602</v>
      </c>
      <c r="AL294">
        <f t="shared" si="77"/>
        <v>2</v>
      </c>
      <c r="AM294">
        <f t="shared" si="78"/>
        <v>2025</v>
      </c>
      <c r="AN294" t="str">
        <f t="shared" si="79"/>
        <v>Clean</v>
      </c>
    </row>
    <row r="295" spans="1:40">
      <c r="A295" t="s">
        <v>1504</v>
      </c>
      <c r="B295" s="3" t="s">
        <v>1505</v>
      </c>
      <c r="C295" s="10">
        <v>45358</v>
      </c>
      <c r="D295" s="3" t="s">
        <v>1506</v>
      </c>
      <c r="E295" s="10">
        <v>45362</v>
      </c>
      <c r="F295" s="6" t="str">
        <f t="shared" si="64"/>
        <v>Valid</v>
      </c>
      <c r="G295" s="8">
        <f t="shared" si="65"/>
        <v>4</v>
      </c>
      <c r="H295" s="8" t="str">
        <f t="shared" si="66"/>
        <v>Valid</v>
      </c>
      <c r="I295" t="s">
        <v>1507</v>
      </c>
      <c r="J295" t="s">
        <v>60</v>
      </c>
      <c r="K295" t="s">
        <v>60</v>
      </c>
      <c r="L295" t="s">
        <v>114</v>
      </c>
      <c r="M295" s="3" t="str">
        <f t="shared" si="67"/>
        <v>Home Office</v>
      </c>
      <c r="N295" t="s">
        <v>61</v>
      </c>
      <c r="O295" s="3" t="str">
        <f t="shared" si="68"/>
        <v>South</v>
      </c>
      <c r="P295" t="s">
        <v>62</v>
      </c>
      <c r="Q295" t="s">
        <v>63</v>
      </c>
      <c r="R295" t="s">
        <v>85</v>
      </c>
      <c r="S295" s="3" t="str">
        <f t="shared" si="69"/>
        <v>Technology</v>
      </c>
      <c r="T295" t="s">
        <v>222</v>
      </c>
      <c r="U295" t="s">
        <v>1508</v>
      </c>
      <c r="V295" t="s">
        <v>55</v>
      </c>
      <c r="W295" s="3" t="str">
        <f t="shared" si="70"/>
        <v>First Class</v>
      </c>
      <c r="X295">
        <v>2</v>
      </c>
      <c r="Y295">
        <v>4401.51</v>
      </c>
      <c r="Z295">
        <v>0.65</v>
      </c>
      <c r="AA295">
        <f t="shared" si="74"/>
        <v>0.65</v>
      </c>
      <c r="AB295">
        <f t="shared" si="75"/>
        <v>3081.0569999999998</v>
      </c>
      <c r="AC295">
        <v>8362.8700000000008</v>
      </c>
      <c r="AD295">
        <v>6541.04</v>
      </c>
      <c r="AE295">
        <v>1821.83</v>
      </c>
      <c r="AF295" t="s">
        <v>33</v>
      </c>
      <c r="AG295" t="s">
        <v>34</v>
      </c>
      <c r="AH295" t="str">
        <f t="shared" si="71"/>
        <v>Completed</v>
      </c>
      <c r="AI295" t="str">
        <f t="shared" si="72"/>
        <v>Valid</v>
      </c>
      <c r="AJ295">
        <f t="shared" si="73"/>
        <v>1821.8300000000008</v>
      </c>
      <c r="AK295" s="12">
        <f t="shared" si="76"/>
        <v>0.59130032323322834</v>
      </c>
      <c r="AL295">
        <f t="shared" si="77"/>
        <v>3</v>
      </c>
      <c r="AM295">
        <f t="shared" si="78"/>
        <v>2024</v>
      </c>
      <c r="AN295" t="str">
        <f t="shared" si="79"/>
        <v>Clean</v>
      </c>
    </row>
    <row r="296" spans="1:40">
      <c r="A296" t="s">
        <v>1509</v>
      </c>
      <c r="B296" s="3" t="s">
        <v>1510</v>
      </c>
      <c r="C296" s="10">
        <v>45854</v>
      </c>
      <c r="D296" s="3" t="s">
        <v>1511</v>
      </c>
      <c r="E296" s="10">
        <v>45860</v>
      </c>
      <c r="F296" s="6" t="str">
        <f t="shared" si="64"/>
        <v>Valid</v>
      </c>
      <c r="G296" s="8">
        <f t="shared" si="65"/>
        <v>6</v>
      </c>
      <c r="H296" s="8" t="str">
        <f t="shared" si="66"/>
        <v>Valid</v>
      </c>
      <c r="I296" t="s">
        <v>1512</v>
      </c>
      <c r="J296" t="s">
        <v>141</v>
      </c>
      <c r="K296" t="s">
        <v>141</v>
      </c>
      <c r="L296" t="s">
        <v>25</v>
      </c>
      <c r="M296" s="3" t="str">
        <f t="shared" si="67"/>
        <v>Consumer</v>
      </c>
      <c r="N296" t="s">
        <v>41</v>
      </c>
      <c r="O296" s="3" t="str">
        <f t="shared" si="68"/>
        <v>East</v>
      </c>
      <c r="P296" t="s">
        <v>42</v>
      </c>
      <c r="Q296" t="s">
        <v>43</v>
      </c>
      <c r="R296" t="s">
        <v>85</v>
      </c>
      <c r="S296" s="3" t="str">
        <f t="shared" si="69"/>
        <v>Technology</v>
      </c>
      <c r="T296" t="s">
        <v>222</v>
      </c>
      <c r="U296" t="s">
        <v>1513</v>
      </c>
      <c r="V296" t="s">
        <v>32</v>
      </c>
      <c r="W296" s="3" t="str">
        <f t="shared" si="70"/>
        <v>Second Class</v>
      </c>
      <c r="X296">
        <v>6</v>
      </c>
      <c r="Y296">
        <v>4159.33</v>
      </c>
      <c r="Z296">
        <v>0.25</v>
      </c>
      <c r="AA296">
        <f t="shared" si="74"/>
        <v>0.25</v>
      </c>
      <c r="AB296">
        <f t="shared" si="75"/>
        <v>18716.985000000001</v>
      </c>
      <c r="AC296">
        <v>18716.990000000002</v>
      </c>
      <c r="AD296">
        <v>12282.43</v>
      </c>
      <c r="AE296">
        <v>6434.56</v>
      </c>
      <c r="AF296" t="s">
        <v>33</v>
      </c>
      <c r="AG296" t="s">
        <v>124</v>
      </c>
      <c r="AH296" t="str">
        <f t="shared" si="71"/>
        <v>Returned</v>
      </c>
      <c r="AI296" t="str">
        <f t="shared" si="72"/>
        <v>Valid</v>
      </c>
      <c r="AJ296">
        <f t="shared" si="73"/>
        <v>6434.5600000000013</v>
      </c>
      <c r="AK296" s="12">
        <f t="shared" si="76"/>
        <v>0.34378186444023978</v>
      </c>
      <c r="AL296">
        <f t="shared" si="77"/>
        <v>7</v>
      </c>
      <c r="AM296">
        <f t="shared" si="78"/>
        <v>2025</v>
      </c>
      <c r="AN296" t="str">
        <f t="shared" si="79"/>
        <v>Clean</v>
      </c>
    </row>
    <row r="297" spans="1:40">
      <c r="A297" t="s">
        <v>1514</v>
      </c>
      <c r="B297" s="3" t="s">
        <v>1515</v>
      </c>
      <c r="C297" s="10">
        <v>45833</v>
      </c>
      <c r="D297" s="3" t="s">
        <v>1516</v>
      </c>
      <c r="E297" s="10">
        <v>45836</v>
      </c>
      <c r="F297" s="6" t="str">
        <f t="shared" si="64"/>
        <v>Valid</v>
      </c>
      <c r="G297" s="8">
        <f t="shared" si="65"/>
        <v>3</v>
      </c>
      <c r="H297" s="8" t="str">
        <f t="shared" si="66"/>
        <v>Valid</v>
      </c>
      <c r="I297" t="s">
        <v>1517</v>
      </c>
      <c r="J297" t="s">
        <v>106</v>
      </c>
      <c r="K297" t="s">
        <v>106</v>
      </c>
      <c r="L297" t="s">
        <v>40</v>
      </c>
      <c r="M297" s="3" t="str">
        <f t="shared" si="67"/>
        <v>Small Business</v>
      </c>
      <c r="N297" t="s">
        <v>41</v>
      </c>
      <c r="O297" s="3" t="str">
        <f t="shared" si="68"/>
        <v>East</v>
      </c>
      <c r="P297" t="s">
        <v>215</v>
      </c>
      <c r="Q297" t="s">
        <v>216</v>
      </c>
      <c r="R297" t="s">
        <v>29</v>
      </c>
      <c r="S297" s="3" t="str">
        <f t="shared" si="69"/>
        <v>Office Supplies</v>
      </c>
      <c r="T297" t="s">
        <v>197</v>
      </c>
      <c r="U297" t="s">
        <v>1518</v>
      </c>
      <c r="V297" t="s">
        <v>66</v>
      </c>
      <c r="W297" s="3" t="str">
        <f t="shared" si="70"/>
        <v>Standard Class</v>
      </c>
      <c r="X297">
        <v>3</v>
      </c>
      <c r="Y297">
        <v>3476.05</v>
      </c>
      <c r="Z297">
        <v>0.1</v>
      </c>
      <c r="AA297">
        <f t="shared" si="74"/>
        <v>0.1</v>
      </c>
      <c r="AB297">
        <f t="shared" si="75"/>
        <v>9385.3350000000009</v>
      </c>
      <c r="AC297">
        <v>9385.34</v>
      </c>
      <c r="AD297">
        <v>5828.54</v>
      </c>
      <c r="AE297">
        <v>3556.8</v>
      </c>
      <c r="AF297" t="s">
        <v>33</v>
      </c>
      <c r="AG297" t="s">
        <v>34</v>
      </c>
      <c r="AH297" t="str">
        <f t="shared" si="71"/>
        <v>Completed</v>
      </c>
      <c r="AI297" t="str">
        <f t="shared" si="72"/>
        <v>Valid</v>
      </c>
      <c r="AJ297">
        <f t="shared" si="73"/>
        <v>3556.8</v>
      </c>
      <c r="AK297" s="12">
        <f t="shared" si="76"/>
        <v>0.37897421882117155</v>
      </c>
      <c r="AL297">
        <f t="shared" si="77"/>
        <v>6</v>
      </c>
      <c r="AM297">
        <f t="shared" si="78"/>
        <v>2025</v>
      </c>
      <c r="AN297" t="str">
        <f t="shared" si="79"/>
        <v>Clean</v>
      </c>
    </row>
    <row r="298" spans="1:40">
      <c r="A298" t="s">
        <v>1519</v>
      </c>
      <c r="B298" s="3" t="s">
        <v>1520</v>
      </c>
      <c r="C298" s="10">
        <v>45801</v>
      </c>
      <c r="D298" s="3" t="s">
        <v>1521</v>
      </c>
      <c r="E298" s="10">
        <v>45803</v>
      </c>
      <c r="F298" s="6" t="str">
        <f t="shared" si="64"/>
        <v>Valid</v>
      </c>
      <c r="G298" s="8">
        <f t="shared" si="65"/>
        <v>2</v>
      </c>
      <c r="H298" s="8" t="str">
        <f t="shared" si="66"/>
        <v>Valid</v>
      </c>
      <c r="I298" t="s">
        <v>1522</v>
      </c>
      <c r="J298" t="s">
        <v>106</v>
      </c>
      <c r="K298" t="s">
        <v>106</v>
      </c>
      <c r="L298" t="s">
        <v>114</v>
      </c>
      <c r="M298" s="3" t="str">
        <f t="shared" si="67"/>
        <v>Home Office</v>
      </c>
      <c r="N298" t="s">
        <v>26</v>
      </c>
      <c r="O298" s="3" t="str">
        <f t="shared" si="68"/>
        <v>North</v>
      </c>
      <c r="P298" t="s">
        <v>322</v>
      </c>
      <c r="Q298" t="s">
        <v>323</v>
      </c>
      <c r="R298" t="s">
        <v>44</v>
      </c>
      <c r="S298" s="3" t="str">
        <f t="shared" si="69"/>
        <v>Furniture</v>
      </c>
      <c r="T298" t="s">
        <v>64</v>
      </c>
      <c r="U298" t="s">
        <v>1523</v>
      </c>
      <c r="V298" t="s">
        <v>47</v>
      </c>
      <c r="W298" s="3" t="str">
        <f t="shared" si="70"/>
        <v>Same Day</v>
      </c>
      <c r="X298">
        <v>6</v>
      </c>
      <c r="Y298">
        <v>3495.41</v>
      </c>
      <c r="Z298">
        <v>0.15</v>
      </c>
      <c r="AA298">
        <f t="shared" si="74"/>
        <v>0.15</v>
      </c>
      <c r="AB298">
        <f t="shared" si="75"/>
        <v>17826.591</v>
      </c>
      <c r="AC298">
        <v>17826.59</v>
      </c>
      <c r="AD298">
        <v>10855.35</v>
      </c>
      <c r="AE298">
        <v>6971.24</v>
      </c>
      <c r="AF298" t="s">
        <v>33</v>
      </c>
      <c r="AG298" t="s">
        <v>34</v>
      </c>
      <c r="AH298" t="str">
        <f t="shared" si="71"/>
        <v>Completed</v>
      </c>
      <c r="AI298" t="str">
        <f t="shared" si="72"/>
        <v>Valid</v>
      </c>
      <c r="AJ298">
        <f t="shared" si="73"/>
        <v>6971.24</v>
      </c>
      <c r="AK298" s="12">
        <f t="shared" si="76"/>
        <v>0.39105850355797134</v>
      </c>
      <c r="AL298">
        <f t="shared" si="77"/>
        <v>5</v>
      </c>
      <c r="AM298">
        <f t="shared" si="78"/>
        <v>2025</v>
      </c>
      <c r="AN298" t="str">
        <f t="shared" si="79"/>
        <v>Clean</v>
      </c>
    </row>
    <row r="299" spans="1:40">
      <c r="A299" t="s">
        <v>1524</v>
      </c>
      <c r="B299" s="3" t="s">
        <v>1525</v>
      </c>
      <c r="C299" s="10">
        <v>45594</v>
      </c>
      <c r="D299" s="3" t="s">
        <v>1526</v>
      </c>
      <c r="E299" s="10">
        <v>45602</v>
      </c>
      <c r="F299" s="6" t="str">
        <f t="shared" si="64"/>
        <v>Valid</v>
      </c>
      <c r="G299" s="8">
        <f t="shared" si="65"/>
        <v>8</v>
      </c>
      <c r="H299" s="8" t="str">
        <f t="shared" si="66"/>
        <v>Valid</v>
      </c>
      <c r="I299" t="s">
        <v>1527</v>
      </c>
      <c r="J299" t="s">
        <v>167</v>
      </c>
      <c r="K299" t="s">
        <v>167</v>
      </c>
      <c r="L299" t="s">
        <v>107</v>
      </c>
      <c r="M299" s="3" t="str">
        <f t="shared" si="67"/>
        <v>Corporate</v>
      </c>
      <c r="N299" t="s">
        <v>61</v>
      </c>
      <c r="O299" s="3" t="str">
        <f t="shared" si="68"/>
        <v>South</v>
      </c>
      <c r="P299" t="s">
        <v>338</v>
      </c>
      <c r="Q299" t="s">
        <v>339</v>
      </c>
      <c r="R299" t="s">
        <v>85</v>
      </c>
      <c r="S299" s="3" t="str">
        <f t="shared" si="69"/>
        <v>Technology</v>
      </c>
      <c r="T299" t="s">
        <v>93</v>
      </c>
      <c r="U299" t="s">
        <v>1528</v>
      </c>
      <c r="V299" t="s">
        <v>47</v>
      </c>
      <c r="W299" s="3" t="str">
        <f t="shared" si="70"/>
        <v>Same Day</v>
      </c>
      <c r="X299">
        <v>6</v>
      </c>
      <c r="Y299">
        <v>1169.92</v>
      </c>
      <c r="Z299">
        <v>0.15</v>
      </c>
      <c r="AA299">
        <f t="shared" si="74"/>
        <v>0.15</v>
      </c>
      <c r="AB299">
        <f t="shared" si="75"/>
        <v>5966.5920000000006</v>
      </c>
      <c r="AC299">
        <v>5966.59</v>
      </c>
      <c r="AD299">
        <v>3994.72</v>
      </c>
      <c r="AE299">
        <v>1971.87</v>
      </c>
      <c r="AF299" t="s">
        <v>33</v>
      </c>
      <c r="AG299" t="s">
        <v>34</v>
      </c>
      <c r="AH299" t="str">
        <f t="shared" si="71"/>
        <v>Completed</v>
      </c>
      <c r="AI299" t="str">
        <f t="shared" si="72"/>
        <v>Valid</v>
      </c>
      <c r="AJ299">
        <f t="shared" si="73"/>
        <v>1971.8700000000003</v>
      </c>
      <c r="AK299" s="12">
        <f t="shared" si="76"/>
        <v>0.3304851412665723</v>
      </c>
      <c r="AL299">
        <f t="shared" si="77"/>
        <v>10</v>
      </c>
      <c r="AM299">
        <f t="shared" si="78"/>
        <v>2024</v>
      </c>
      <c r="AN299" t="str">
        <f t="shared" si="79"/>
        <v>Clean</v>
      </c>
    </row>
    <row r="300" spans="1:40">
      <c r="A300" t="s">
        <v>1529</v>
      </c>
      <c r="B300" s="3" t="s">
        <v>1530</v>
      </c>
      <c r="C300" s="10">
        <v>45680</v>
      </c>
      <c r="D300" s="3" t="s">
        <v>1531</v>
      </c>
      <c r="E300" s="10">
        <v>45683</v>
      </c>
      <c r="F300" s="6" t="str">
        <f t="shared" si="64"/>
        <v>Valid</v>
      </c>
      <c r="G300" s="8">
        <f t="shared" si="65"/>
        <v>3</v>
      </c>
      <c r="H300" s="8" t="str">
        <f t="shared" si="66"/>
        <v>Valid</v>
      </c>
      <c r="I300" t="s">
        <v>1532</v>
      </c>
      <c r="J300" t="s">
        <v>52</v>
      </c>
      <c r="K300" t="s">
        <v>52</v>
      </c>
      <c r="L300" t="s">
        <v>25</v>
      </c>
      <c r="M300" s="3" t="str">
        <f t="shared" si="67"/>
        <v>Consumer</v>
      </c>
      <c r="N300" t="s">
        <v>61</v>
      </c>
      <c r="O300" s="3" t="str">
        <f t="shared" si="68"/>
        <v>South</v>
      </c>
      <c r="P300" t="s">
        <v>241</v>
      </c>
      <c r="Q300" t="s">
        <v>242</v>
      </c>
      <c r="R300" t="s">
        <v>85</v>
      </c>
      <c r="S300" s="3" t="str">
        <f t="shared" si="69"/>
        <v>Technology</v>
      </c>
      <c r="T300" t="s">
        <v>93</v>
      </c>
      <c r="U300" t="s">
        <v>1533</v>
      </c>
      <c r="V300" t="s">
        <v>55</v>
      </c>
      <c r="W300" s="3" t="str">
        <f t="shared" si="70"/>
        <v>First Class</v>
      </c>
      <c r="X300">
        <v>7</v>
      </c>
      <c r="Y300">
        <v>348.49</v>
      </c>
      <c r="Z300">
        <v>0.2</v>
      </c>
      <c r="AA300">
        <f t="shared" si="74"/>
        <v>0.2</v>
      </c>
      <c r="AB300">
        <f t="shared" si="75"/>
        <v>1951.5440000000003</v>
      </c>
      <c r="AC300">
        <v>1951.54</v>
      </c>
      <c r="AD300">
        <v>1609.95</v>
      </c>
      <c r="AE300">
        <v>341.59</v>
      </c>
      <c r="AF300" t="s">
        <v>199</v>
      </c>
      <c r="AG300" t="s">
        <v>124</v>
      </c>
      <c r="AH300" t="str">
        <f t="shared" si="71"/>
        <v>Returned</v>
      </c>
      <c r="AI300" t="str">
        <f t="shared" si="72"/>
        <v>Valid</v>
      </c>
      <c r="AJ300">
        <f t="shared" si="73"/>
        <v>341.58999999999992</v>
      </c>
      <c r="AK300" s="12">
        <f t="shared" si="76"/>
        <v>0.17503576655202233</v>
      </c>
      <c r="AL300">
        <f t="shared" si="77"/>
        <v>1</v>
      </c>
      <c r="AM300">
        <f t="shared" si="78"/>
        <v>2025</v>
      </c>
      <c r="AN300" t="str">
        <f t="shared" si="79"/>
        <v>Clean</v>
      </c>
    </row>
    <row r="301" spans="1:40">
      <c r="A301" t="s">
        <v>1534</v>
      </c>
      <c r="B301" s="3" t="s">
        <v>1526</v>
      </c>
      <c r="C301" s="10">
        <v>45602</v>
      </c>
      <c r="D301" s="3" t="s">
        <v>1535</v>
      </c>
      <c r="E301" s="10">
        <v>45608</v>
      </c>
      <c r="F301" s="6" t="str">
        <f t="shared" si="64"/>
        <v>Valid</v>
      </c>
      <c r="G301" s="8">
        <f t="shared" si="65"/>
        <v>6</v>
      </c>
      <c r="H301" s="8" t="str">
        <f t="shared" si="66"/>
        <v>Valid</v>
      </c>
      <c r="I301" t="s">
        <v>1536</v>
      </c>
      <c r="J301" t="s">
        <v>147</v>
      </c>
      <c r="K301" t="s">
        <v>147</v>
      </c>
      <c r="L301" t="s">
        <v>40</v>
      </c>
      <c r="M301" s="3" t="str">
        <f t="shared" si="67"/>
        <v>Small Business</v>
      </c>
      <c r="N301" t="s">
        <v>72</v>
      </c>
      <c r="O301" s="3" t="str">
        <f t="shared" si="68"/>
        <v>West</v>
      </c>
      <c r="P301" t="s">
        <v>234</v>
      </c>
      <c r="Q301" t="s">
        <v>235</v>
      </c>
      <c r="R301" t="s">
        <v>85</v>
      </c>
      <c r="S301" s="3" t="str">
        <f t="shared" si="69"/>
        <v>Technology</v>
      </c>
      <c r="T301" t="s">
        <v>86</v>
      </c>
      <c r="U301" t="s">
        <v>1537</v>
      </c>
      <c r="V301" t="s">
        <v>66</v>
      </c>
      <c r="W301" s="3" t="str">
        <f t="shared" si="70"/>
        <v>Standard Class</v>
      </c>
      <c r="X301">
        <v>7</v>
      </c>
      <c r="Y301">
        <v>1719.05</v>
      </c>
      <c r="Z301">
        <v>0.1</v>
      </c>
      <c r="AA301">
        <f t="shared" si="74"/>
        <v>0.1</v>
      </c>
      <c r="AB301">
        <f t="shared" si="75"/>
        <v>10830.015000000001</v>
      </c>
      <c r="AC301">
        <v>10830.02</v>
      </c>
      <c r="AD301">
        <v>7055.31</v>
      </c>
      <c r="AE301">
        <v>3774.71</v>
      </c>
      <c r="AF301" t="s">
        <v>33</v>
      </c>
      <c r="AG301" t="s">
        <v>34</v>
      </c>
      <c r="AH301" t="str">
        <f t="shared" si="71"/>
        <v>Completed</v>
      </c>
      <c r="AI301" t="str">
        <f t="shared" si="72"/>
        <v>Valid</v>
      </c>
      <c r="AJ301">
        <f t="shared" si="73"/>
        <v>3774.71</v>
      </c>
      <c r="AK301" s="12">
        <f t="shared" si="76"/>
        <v>0.34854153018255279</v>
      </c>
      <c r="AL301">
        <f t="shared" si="77"/>
        <v>11</v>
      </c>
      <c r="AM301">
        <f t="shared" si="78"/>
        <v>2024</v>
      </c>
      <c r="AN301" t="str">
        <f t="shared" si="79"/>
        <v>Clean</v>
      </c>
    </row>
    <row r="302" spans="1:40">
      <c r="A302" t="s">
        <v>1538</v>
      </c>
      <c r="B302" s="3" t="s">
        <v>1539</v>
      </c>
      <c r="C302" s="10">
        <v>45397</v>
      </c>
      <c r="D302" s="3" t="s">
        <v>1540</v>
      </c>
      <c r="E302" s="10">
        <v>45405</v>
      </c>
      <c r="F302" s="6" t="str">
        <f t="shared" si="64"/>
        <v>Valid</v>
      </c>
      <c r="G302" s="8">
        <f t="shared" si="65"/>
        <v>8</v>
      </c>
      <c r="H302" s="8" t="str">
        <f t="shared" si="66"/>
        <v>Valid</v>
      </c>
      <c r="I302" t="s">
        <v>1541</v>
      </c>
      <c r="J302" t="s">
        <v>209</v>
      </c>
      <c r="K302" t="s">
        <v>209</v>
      </c>
      <c r="L302" t="s">
        <v>40</v>
      </c>
      <c r="M302" s="3" t="str">
        <f t="shared" si="67"/>
        <v>Small Business</v>
      </c>
      <c r="N302" t="s">
        <v>26</v>
      </c>
      <c r="O302" s="3" t="str">
        <f t="shared" si="68"/>
        <v>North</v>
      </c>
      <c r="P302" t="s">
        <v>153</v>
      </c>
      <c r="Q302" t="s">
        <v>154</v>
      </c>
      <c r="R302" t="s">
        <v>85</v>
      </c>
      <c r="S302" s="3" t="str">
        <f t="shared" si="69"/>
        <v>Technology</v>
      </c>
      <c r="T302" t="s">
        <v>86</v>
      </c>
      <c r="U302" t="s">
        <v>1542</v>
      </c>
      <c r="V302" t="s">
        <v>32</v>
      </c>
      <c r="W302" s="3" t="str">
        <f t="shared" si="70"/>
        <v>Second Class</v>
      </c>
      <c r="X302">
        <v>9</v>
      </c>
      <c r="Y302">
        <v>3893.74</v>
      </c>
      <c r="Z302">
        <v>0.1</v>
      </c>
      <c r="AA302">
        <f t="shared" si="74"/>
        <v>0.1</v>
      </c>
      <c r="AB302">
        <f t="shared" si="75"/>
        <v>31539.293999999998</v>
      </c>
      <c r="AC302">
        <v>31539.29</v>
      </c>
      <c r="AD302">
        <v>22100.14</v>
      </c>
      <c r="AE302">
        <v>9439.15</v>
      </c>
      <c r="AF302" t="s">
        <v>33</v>
      </c>
      <c r="AG302" t="s">
        <v>34</v>
      </c>
      <c r="AH302" t="str">
        <f t="shared" si="71"/>
        <v>Completed</v>
      </c>
      <c r="AI302" t="str">
        <f t="shared" si="72"/>
        <v>Valid</v>
      </c>
      <c r="AJ302">
        <f t="shared" si="73"/>
        <v>9439.1500000000015</v>
      </c>
      <c r="AK302" s="12">
        <f t="shared" si="76"/>
        <v>0.29928222236046254</v>
      </c>
      <c r="AL302">
        <f t="shared" si="77"/>
        <v>4</v>
      </c>
      <c r="AM302">
        <f t="shared" si="78"/>
        <v>2024</v>
      </c>
      <c r="AN302" t="str">
        <f t="shared" si="79"/>
        <v>Clean</v>
      </c>
    </row>
    <row r="303" spans="1:40">
      <c r="A303" t="s">
        <v>1543</v>
      </c>
      <c r="B303" s="3" t="s">
        <v>1017</v>
      </c>
      <c r="C303" s="10">
        <v>45805</v>
      </c>
      <c r="D303" s="3" t="s">
        <v>1544</v>
      </c>
      <c r="E303" s="10">
        <v>45809</v>
      </c>
      <c r="F303" s="6" t="str">
        <f t="shared" si="64"/>
        <v>Valid</v>
      </c>
      <c r="G303" s="8">
        <f t="shared" si="65"/>
        <v>4</v>
      </c>
      <c r="H303" s="8" t="str">
        <f t="shared" si="66"/>
        <v>Valid</v>
      </c>
      <c r="I303" t="s">
        <v>1545</v>
      </c>
      <c r="J303" t="s">
        <v>52</v>
      </c>
      <c r="K303" t="s">
        <v>52</v>
      </c>
      <c r="L303" t="s">
        <v>114</v>
      </c>
      <c r="M303" s="3" t="str">
        <f t="shared" si="67"/>
        <v>Home Office</v>
      </c>
      <c r="N303" t="s">
        <v>41</v>
      </c>
      <c r="O303" s="3" t="str">
        <f t="shared" si="68"/>
        <v>East</v>
      </c>
      <c r="P303" t="s">
        <v>185</v>
      </c>
      <c r="Q303" t="s">
        <v>186</v>
      </c>
      <c r="R303" t="s">
        <v>85</v>
      </c>
      <c r="S303" s="3" t="str">
        <f t="shared" si="69"/>
        <v>Technology</v>
      </c>
      <c r="T303" t="s">
        <v>222</v>
      </c>
      <c r="U303" t="s">
        <v>1546</v>
      </c>
      <c r="V303" t="s">
        <v>47</v>
      </c>
      <c r="W303" s="3" t="str">
        <f t="shared" si="70"/>
        <v>Same Day</v>
      </c>
      <c r="X303">
        <v>4</v>
      </c>
      <c r="Y303">
        <v>1654.11</v>
      </c>
      <c r="Z303">
        <v>0.05</v>
      </c>
      <c r="AA303">
        <f t="shared" si="74"/>
        <v>0.05</v>
      </c>
      <c r="AB303">
        <f t="shared" si="75"/>
        <v>6285.6179999999995</v>
      </c>
      <c r="AC303">
        <v>6285.62</v>
      </c>
      <c r="AD303">
        <v>3705.38</v>
      </c>
      <c r="AE303">
        <v>2580.2399999999998</v>
      </c>
      <c r="AF303" t="s">
        <v>33</v>
      </c>
      <c r="AG303" t="s">
        <v>34</v>
      </c>
      <c r="AH303" t="str">
        <f t="shared" si="71"/>
        <v>Completed</v>
      </c>
      <c r="AI303" t="str">
        <f t="shared" si="72"/>
        <v>Valid</v>
      </c>
      <c r="AJ303">
        <f t="shared" si="73"/>
        <v>2580.2399999999998</v>
      </c>
      <c r="AK303" s="12">
        <f t="shared" si="76"/>
        <v>0.41049901537128092</v>
      </c>
      <c r="AL303">
        <f t="shared" si="77"/>
        <v>5</v>
      </c>
      <c r="AM303">
        <f t="shared" si="78"/>
        <v>2025</v>
      </c>
      <c r="AN303" t="str">
        <f t="shared" si="79"/>
        <v>Clean</v>
      </c>
    </row>
    <row r="304" spans="1:40">
      <c r="A304" t="s">
        <v>1547</v>
      </c>
      <c r="B304" s="3" t="s">
        <v>1388</v>
      </c>
      <c r="C304" s="10">
        <v>45812</v>
      </c>
      <c r="D304" s="3" t="s">
        <v>1548</v>
      </c>
      <c r="E304" s="10">
        <v>45820</v>
      </c>
      <c r="F304" s="6" t="str">
        <f t="shared" si="64"/>
        <v>Valid</v>
      </c>
      <c r="G304" s="8">
        <f t="shared" si="65"/>
        <v>8</v>
      </c>
      <c r="H304" s="8" t="str">
        <f t="shared" si="66"/>
        <v>Valid</v>
      </c>
      <c r="I304" t="s">
        <v>1549</v>
      </c>
      <c r="J304" t="s">
        <v>92</v>
      </c>
      <c r="K304" t="s">
        <v>92</v>
      </c>
      <c r="L304" t="s">
        <v>25</v>
      </c>
      <c r="M304" s="3" t="str">
        <f t="shared" si="67"/>
        <v>Consumer</v>
      </c>
      <c r="N304" t="s">
        <v>72</v>
      </c>
      <c r="O304" s="3" t="str">
        <f t="shared" si="68"/>
        <v>West</v>
      </c>
      <c r="P304" t="s">
        <v>248</v>
      </c>
      <c r="Q304" t="s">
        <v>249</v>
      </c>
      <c r="R304" t="s">
        <v>917</v>
      </c>
      <c r="S304" s="3" t="str">
        <f t="shared" si="69"/>
        <v>Office Supplies</v>
      </c>
      <c r="T304" t="s">
        <v>155</v>
      </c>
      <c r="U304" t="s">
        <v>1550</v>
      </c>
      <c r="V304" t="s">
        <v>47</v>
      </c>
      <c r="W304" s="3" t="str">
        <f t="shared" si="70"/>
        <v>Same Day</v>
      </c>
      <c r="X304">
        <v>2</v>
      </c>
      <c r="Y304">
        <v>2703.28</v>
      </c>
      <c r="Z304">
        <v>0.25</v>
      </c>
      <c r="AA304">
        <f t="shared" si="74"/>
        <v>0.25</v>
      </c>
      <c r="AB304">
        <f t="shared" si="75"/>
        <v>4054.92</v>
      </c>
      <c r="AC304">
        <v>4054.92</v>
      </c>
      <c r="AD304">
        <v>2424.83</v>
      </c>
      <c r="AE304">
        <v>1630.09</v>
      </c>
      <c r="AF304" t="s">
        <v>33</v>
      </c>
      <c r="AG304" t="s">
        <v>34</v>
      </c>
      <c r="AH304" t="str">
        <f t="shared" si="71"/>
        <v>Completed</v>
      </c>
      <c r="AI304" t="str">
        <f t="shared" si="72"/>
        <v>Valid</v>
      </c>
      <c r="AJ304">
        <f t="shared" si="73"/>
        <v>1630.0900000000001</v>
      </c>
      <c r="AK304" s="12">
        <f t="shared" si="76"/>
        <v>0.40200299882611745</v>
      </c>
      <c r="AL304">
        <f t="shared" si="77"/>
        <v>6</v>
      </c>
      <c r="AM304">
        <f t="shared" si="78"/>
        <v>2025</v>
      </c>
      <c r="AN304" t="str">
        <f t="shared" si="79"/>
        <v>Clean</v>
      </c>
    </row>
    <row r="305" spans="1:40">
      <c r="A305" t="s">
        <v>1551</v>
      </c>
      <c r="B305" s="3" t="s">
        <v>1552</v>
      </c>
      <c r="C305" s="10">
        <v>45466</v>
      </c>
      <c r="D305" s="3" t="s">
        <v>1042</v>
      </c>
      <c r="E305" s="10">
        <v>45471</v>
      </c>
      <c r="F305" s="6" t="str">
        <f t="shared" si="64"/>
        <v>Valid</v>
      </c>
      <c r="G305" s="8">
        <f t="shared" si="65"/>
        <v>5</v>
      </c>
      <c r="H305" s="8" t="str">
        <f t="shared" si="66"/>
        <v>Valid</v>
      </c>
      <c r="I305" t="s">
        <v>1553</v>
      </c>
      <c r="J305" t="s">
        <v>209</v>
      </c>
      <c r="K305" t="s">
        <v>209</v>
      </c>
      <c r="L305" t="s">
        <v>114</v>
      </c>
      <c r="M305" s="3" t="str">
        <f t="shared" si="67"/>
        <v>Home Office</v>
      </c>
      <c r="N305" t="s">
        <v>72</v>
      </c>
      <c r="O305" s="3" t="str">
        <f t="shared" si="68"/>
        <v>West</v>
      </c>
      <c r="P305" t="s">
        <v>234</v>
      </c>
      <c r="Q305" t="s">
        <v>235</v>
      </c>
      <c r="R305" t="s">
        <v>44</v>
      </c>
      <c r="S305" s="3" t="str">
        <f t="shared" si="69"/>
        <v>Furniture</v>
      </c>
      <c r="T305" t="s">
        <v>75</v>
      </c>
      <c r="U305" t="s">
        <v>1554</v>
      </c>
      <c r="V305" t="s">
        <v>66</v>
      </c>
      <c r="W305" s="3" t="str">
        <f t="shared" si="70"/>
        <v>Standard Class</v>
      </c>
      <c r="X305">
        <v>2</v>
      </c>
      <c r="Y305">
        <v>1313.14</v>
      </c>
      <c r="Z305">
        <v>0.1</v>
      </c>
      <c r="AA305">
        <f t="shared" si="74"/>
        <v>0.1</v>
      </c>
      <c r="AB305">
        <f t="shared" si="75"/>
        <v>2363.652</v>
      </c>
      <c r="AC305">
        <v>2363.65</v>
      </c>
      <c r="AD305">
        <v>1876.1</v>
      </c>
      <c r="AE305">
        <v>487.55</v>
      </c>
      <c r="AF305" t="s">
        <v>136</v>
      </c>
      <c r="AG305" t="s">
        <v>124</v>
      </c>
      <c r="AH305" t="str">
        <f t="shared" si="71"/>
        <v>Returned</v>
      </c>
      <c r="AI305" t="str">
        <f t="shared" si="72"/>
        <v>Valid</v>
      </c>
      <c r="AJ305">
        <f t="shared" si="73"/>
        <v>487.55000000000018</v>
      </c>
      <c r="AK305" s="12">
        <f t="shared" si="76"/>
        <v>0.20626978929216322</v>
      </c>
      <c r="AL305">
        <f t="shared" si="77"/>
        <v>6</v>
      </c>
      <c r="AM305">
        <f t="shared" si="78"/>
        <v>2024</v>
      </c>
      <c r="AN305" t="str">
        <f t="shared" si="79"/>
        <v>Clean</v>
      </c>
    </row>
    <row r="306" spans="1:40">
      <c r="A306" t="s">
        <v>1555</v>
      </c>
      <c r="B306" s="3" t="s">
        <v>1556</v>
      </c>
      <c r="C306" s="10">
        <v>45357</v>
      </c>
      <c r="D306" s="3" t="s">
        <v>1557</v>
      </c>
      <c r="E306" s="10">
        <v>45364</v>
      </c>
      <c r="F306" s="6" t="str">
        <f t="shared" si="64"/>
        <v>Valid</v>
      </c>
      <c r="G306" s="8">
        <f t="shared" si="65"/>
        <v>7</v>
      </c>
      <c r="H306" s="8" t="str">
        <f t="shared" si="66"/>
        <v>Valid</v>
      </c>
      <c r="I306" t="s">
        <v>1558</v>
      </c>
      <c r="J306" t="s">
        <v>24</v>
      </c>
      <c r="K306" t="s">
        <v>24</v>
      </c>
      <c r="L306" t="s">
        <v>25</v>
      </c>
      <c r="M306" s="3" t="str">
        <f t="shared" si="67"/>
        <v>Consumer</v>
      </c>
      <c r="N306" t="s">
        <v>26</v>
      </c>
      <c r="O306" s="3" t="str">
        <f t="shared" si="68"/>
        <v>North</v>
      </c>
      <c r="P306" t="s">
        <v>153</v>
      </c>
      <c r="Q306" t="s">
        <v>154</v>
      </c>
      <c r="R306" t="s">
        <v>44</v>
      </c>
      <c r="S306" s="3" t="str">
        <f t="shared" si="69"/>
        <v>Furniture</v>
      </c>
      <c r="T306" t="s">
        <v>64</v>
      </c>
      <c r="U306" t="s">
        <v>1559</v>
      </c>
      <c r="V306" t="s">
        <v>66</v>
      </c>
      <c r="W306" s="3" t="str">
        <f t="shared" si="70"/>
        <v>Standard Class</v>
      </c>
      <c r="X306">
        <v>6</v>
      </c>
      <c r="Y306">
        <v>2403.0500000000002</v>
      </c>
      <c r="Z306">
        <v>0.1</v>
      </c>
      <c r="AA306">
        <f t="shared" si="74"/>
        <v>0.1</v>
      </c>
      <c r="AB306">
        <f t="shared" si="75"/>
        <v>12976.470000000001</v>
      </c>
      <c r="AC306">
        <v>12976.47</v>
      </c>
      <c r="AD306">
        <v>10019.98</v>
      </c>
      <c r="AE306">
        <v>2956.49</v>
      </c>
      <c r="AF306" t="s">
        <v>33</v>
      </c>
      <c r="AG306" t="s">
        <v>34</v>
      </c>
      <c r="AH306" t="str">
        <f t="shared" si="71"/>
        <v>Completed</v>
      </c>
      <c r="AI306" t="str">
        <f t="shared" si="72"/>
        <v>Valid</v>
      </c>
      <c r="AJ306">
        <f t="shared" si="73"/>
        <v>2956.49</v>
      </c>
      <c r="AK306" s="12">
        <f t="shared" si="76"/>
        <v>0.22783468847845365</v>
      </c>
      <c r="AL306">
        <f t="shared" si="77"/>
        <v>3</v>
      </c>
      <c r="AM306">
        <f t="shared" si="78"/>
        <v>2024</v>
      </c>
      <c r="AN306" t="str">
        <f t="shared" si="79"/>
        <v>Clean</v>
      </c>
    </row>
    <row r="307" spans="1:40">
      <c r="A307" t="s">
        <v>1560</v>
      </c>
      <c r="B307" s="3" t="s">
        <v>1561</v>
      </c>
      <c r="C307" s="10">
        <v>45413</v>
      </c>
      <c r="D307" s="3" t="s">
        <v>1224</v>
      </c>
      <c r="E307" s="10">
        <v>45414</v>
      </c>
      <c r="F307" s="6" t="str">
        <f t="shared" si="64"/>
        <v>Valid</v>
      </c>
      <c r="G307" s="8">
        <f t="shared" si="65"/>
        <v>1</v>
      </c>
      <c r="H307" s="8" t="str">
        <f t="shared" si="66"/>
        <v>Valid</v>
      </c>
      <c r="I307" t="s">
        <v>1562</v>
      </c>
      <c r="J307" t="s">
        <v>71</v>
      </c>
      <c r="K307" t="s">
        <v>71</v>
      </c>
      <c r="L307" t="s">
        <v>25</v>
      </c>
      <c r="M307" s="3" t="str">
        <f t="shared" si="67"/>
        <v>Consumer</v>
      </c>
      <c r="N307" t="s">
        <v>41</v>
      </c>
      <c r="O307" s="3" t="str">
        <f t="shared" si="68"/>
        <v>East</v>
      </c>
      <c r="P307" t="s">
        <v>215</v>
      </c>
      <c r="Q307" t="s">
        <v>216</v>
      </c>
      <c r="R307" t="s">
        <v>44</v>
      </c>
      <c r="S307" s="3" t="str">
        <f t="shared" si="69"/>
        <v>Furniture</v>
      </c>
      <c r="T307" t="s">
        <v>75</v>
      </c>
      <c r="U307" t="s">
        <v>1563</v>
      </c>
      <c r="V307" t="s">
        <v>55</v>
      </c>
      <c r="W307" s="3" t="str">
        <f t="shared" si="70"/>
        <v>First Class</v>
      </c>
      <c r="X307">
        <v>4</v>
      </c>
      <c r="Y307">
        <v>4156.0600000000004</v>
      </c>
      <c r="Z307">
        <v>0.55000000000000004</v>
      </c>
      <c r="AA307">
        <f t="shared" si="74"/>
        <v>0.55000000000000004</v>
      </c>
      <c r="AB307">
        <f t="shared" si="75"/>
        <v>7480.9080000000004</v>
      </c>
      <c r="AC307">
        <v>13299.39</v>
      </c>
      <c r="AD307">
        <v>9851.91</v>
      </c>
      <c r="AE307">
        <v>3447.48</v>
      </c>
      <c r="AF307" t="s">
        <v>33</v>
      </c>
      <c r="AG307" t="s">
        <v>77</v>
      </c>
      <c r="AH307" t="str">
        <f t="shared" si="71"/>
        <v>Cancelled</v>
      </c>
      <c r="AI307" t="str">
        <f t="shared" si="72"/>
        <v>Valid</v>
      </c>
      <c r="AJ307">
        <f t="shared" si="73"/>
        <v>3447.4799999999996</v>
      </c>
      <c r="AK307" s="12">
        <f t="shared" si="76"/>
        <v>0.46083710693942492</v>
      </c>
      <c r="AL307">
        <f t="shared" si="77"/>
        <v>5</v>
      </c>
      <c r="AM307">
        <f t="shared" si="78"/>
        <v>2024</v>
      </c>
      <c r="AN307" t="str">
        <f t="shared" si="79"/>
        <v>Clean</v>
      </c>
    </row>
    <row r="308" spans="1:40">
      <c r="A308" t="s">
        <v>1564</v>
      </c>
      <c r="B308" s="3" t="s">
        <v>1565</v>
      </c>
      <c r="C308" s="10">
        <v>45708</v>
      </c>
      <c r="D308" s="3" t="s">
        <v>96</v>
      </c>
      <c r="E308" s="10">
        <v>45711</v>
      </c>
      <c r="F308" s="6" t="str">
        <f t="shared" si="64"/>
        <v>Valid</v>
      </c>
      <c r="G308" s="8">
        <f t="shared" si="65"/>
        <v>3</v>
      </c>
      <c r="H308" s="8" t="str">
        <f t="shared" si="66"/>
        <v>Valid</v>
      </c>
      <c r="I308" t="s">
        <v>1566</v>
      </c>
      <c r="J308" t="s">
        <v>161</v>
      </c>
      <c r="K308" t="s">
        <v>161</v>
      </c>
      <c r="L308" t="s">
        <v>25</v>
      </c>
      <c r="M308" s="3" t="str">
        <f t="shared" si="67"/>
        <v>Consumer</v>
      </c>
      <c r="N308" t="s">
        <v>26</v>
      </c>
      <c r="O308" s="3" t="str">
        <f t="shared" si="68"/>
        <v>North</v>
      </c>
      <c r="P308" t="s">
        <v>27</v>
      </c>
      <c r="Q308" t="s">
        <v>28</v>
      </c>
      <c r="R308" t="s">
        <v>85</v>
      </c>
      <c r="S308" s="3" t="str">
        <f t="shared" si="69"/>
        <v>Technology</v>
      </c>
      <c r="T308" t="s">
        <v>222</v>
      </c>
      <c r="U308" t="s">
        <v>1567</v>
      </c>
      <c r="V308" t="s">
        <v>32</v>
      </c>
      <c r="W308" s="3" t="str">
        <f t="shared" si="70"/>
        <v>Second Class</v>
      </c>
      <c r="X308">
        <v>4</v>
      </c>
      <c r="Y308">
        <v>3673.11</v>
      </c>
      <c r="Z308">
        <v>0</v>
      </c>
      <c r="AA308">
        <f t="shared" si="74"/>
        <v>0</v>
      </c>
      <c r="AB308">
        <f t="shared" si="75"/>
        <v>14692.44</v>
      </c>
      <c r="AC308">
        <v>14692.44</v>
      </c>
      <c r="AD308">
        <v>10082.19</v>
      </c>
      <c r="AE308">
        <v>4610.25</v>
      </c>
      <c r="AF308" t="s">
        <v>33</v>
      </c>
      <c r="AG308" t="s">
        <v>34</v>
      </c>
      <c r="AH308" t="str">
        <f t="shared" si="71"/>
        <v>Completed</v>
      </c>
      <c r="AI308" t="str">
        <f t="shared" si="72"/>
        <v>Valid</v>
      </c>
      <c r="AJ308">
        <f t="shared" si="73"/>
        <v>4610.25</v>
      </c>
      <c r="AK308" s="12">
        <f t="shared" si="76"/>
        <v>0.31378382351740075</v>
      </c>
      <c r="AL308">
        <f t="shared" si="77"/>
        <v>2</v>
      </c>
      <c r="AM308">
        <f t="shared" si="78"/>
        <v>2025</v>
      </c>
      <c r="AN308" t="str">
        <f t="shared" si="79"/>
        <v>Clean</v>
      </c>
    </row>
    <row r="309" spans="1:40">
      <c r="A309" t="s">
        <v>1568</v>
      </c>
      <c r="B309" s="3" t="s">
        <v>1569</v>
      </c>
      <c r="C309" s="10">
        <v>45850</v>
      </c>
      <c r="D309" s="3" t="s">
        <v>1570</v>
      </c>
      <c r="E309" s="10">
        <v>45857</v>
      </c>
      <c r="F309" s="6" t="str">
        <f t="shared" si="64"/>
        <v>Valid</v>
      </c>
      <c r="G309" s="8">
        <f t="shared" si="65"/>
        <v>7</v>
      </c>
      <c r="H309" s="8" t="str">
        <f t="shared" si="66"/>
        <v>Valid</v>
      </c>
      <c r="I309" t="s">
        <v>1571</v>
      </c>
      <c r="J309" t="s">
        <v>71</v>
      </c>
      <c r="K309" t="s">
        <v>71</v>
      </c>
      <c r="L309" t="s">
        <v>107</v>
      </c>
      <c r="M309" s="3" t="str">
        <f t="shared" si="67"/>
        <v>Corporate</v>
      </c>
      <c r="N309" t="s">
        <v>26</v>
      </c>
      <c r="O309" s="3" t="str">
        <f t="shared" si="68"/>
        <v>North</v>
      </c>
      <c r="P309" t="s">
        <v>173</v>
      </c>
      <c r="Q309" t="s">
        <v>174</v>
      </c>
      <c r="R309" t="s">
        <v>44</v>
      </c>
      <c r="S309" s="3" t="str">
        <f t="shared" si="69"/>
        <v>Furniture</v>
      </c>
      <c r="T309" t="s">
        <v>45</v>
      </c>
      <c r="U309" t="s">
        <v>1572</v>
      </c>
      <c r="V309" t="s">
        <v>55</v>
      </c>
      <c r="W309" s="3" t="str">
        <f t="shared" si="70"/>
        <v>First Class</v>
      </c>
      <c r="X309">
        <v>9</v>
      </c>
      <c r="Y309">
        <v>4093.04</v>
      </c>
      <c r="Z309">
        <v>0.2</v>
      </c>
      <c r="AA309">
        <f t="shared" si="74"/>
        <v>0.2</v>
      </c>
      <c r="AB309">
        <f t="shared" si="75"/>
        <v>29469.888000000003</v>
      </c>
      <c r="AC309">
        <v>29469.89</v>
      </c>
      <c r="AD309">
        <v>18935.509999999998</v>
      </c>
      <c r="AE309">
        <v>10534.38</v>
      </c>
      <c r="AF309" t="s">
        <v>1573</v>
      </c>
      <c r="AG309" t="s">
        <v>77</v>
      </c>
      <c r="AH309" t="str">
        <f t="shared" si="71"/>
        <v>Cancelled</v>
      </c>
      <c r="AI309" t="str">
        <f t="shared" si="72"/>
        <v>Valid</v>
      </c>
      <c r="AJ309">
        <f t="shared" si="73"/>
        <v>10534.380000000001</v>
      </c>
      <c r="AK309" s="12">
        <f t="shared" si="76"/>
        <v>0.35746250545641706</v>
      </c>
      <c r="AL309">
        <f t="shared" si="77"/>
        <v>7</v>
      </c>
      <c r="AM309">
        <f t="shared" si="78"/>
        <v>2025</v>
      </c>
      <c r="AN309" t="str">
        <f t="shared" si="79"/>
        <v>Clean</v>
      </c>
    </row>
    <row r="310" spans="1:40">
      <c r="A310" t="s">
        <v>1574</v>
      </c>
      <c r="B310" s="3" t="s">
        <v>1575</v>
      </c>
      <c r="C310" s="10">
        <v>45821</v>
      </c>
      <c r="D310" s="3" t="s">
        <v>1576</v>
      </c>
      <c r="E310" s="10">
        <v>45827</v>
      </c>
      <c r="F310" s="6" t="str">
        <f t="shared" si="64"/>
        <v>Valid</v>
      </c>
      <c r="G310" s="8">
        <f t="shared" si="65"/>
        <v>6</v>
      </c>
      <c r="H310" s="8" t="str">
        <f t="shared" si="66"/>
        <v>Valid</v>
      </c>
      <c r="I310" t="s">
        <v>1577</v>
      </c>
      <c r="J310" t="s">
        <v>179</v>
      </c>
      <c r="K310" t="s">
        <v>179</v>
      </c>
      <c r="L310" t="s">
        <v>25</v>
      </c>
      <c r="M310" s="3" t="str">
        <f t="shared" si="67"/>
        <v>Consumer</v>
      </c>
      <c r="N310" t="s">
        <v>26</v>
      </c>
      <c r="O310" s="3" t="str">
        <f t="shared" si="68"/>
        <v>North</v>
      </c>
      <c r="P310" t="s">
        <v>27</v>
      </c>
      <c r="Q310" t="s">
        <v>28</v>
      </c>
      <c r="R310" t="s">
        <v>44</v>
      </c>
      <c r="S310" s="3" t="str">
        <f t="shared" si="69"/>
        <v>Furniture</v>
      </c>
      <c r="T310" t="s">
        <v>45</v>
      </c>
      <c r="U310" t="s">
        <v>1578</v>
      </c>
      <c r="V310" t="s">
        <v>55</v>
      </c>
      <c r="W310" s="3" t="str">
        <f t="shared" si="70"/>
        <v>First Class</v>
      </c>
      <c r="X310">
        <v>4</v>
      </c>
      <c r="Y310">
        <v>731.57</v>
      </c>
      <c r="Z310">
        <v>0.2</v>
      </c>
      <c r="AA310">
        <f t="shared" si="74"/>
        <v>0.2</v>
      </c>
      <c r="AB310">
        <f t="shared" si="75"/>
        <v>2341.0240000000003</v>
      </c>
      <c r="AC310">
        <v>2341.02</v>
      </c>
      <c r="AD310">
        <v>1565.49</v>
      </c>
      <c r="AE310">
        <v>775.53</v>
      </c>
      <c r="AF310" t="s">
        <v>33</v>
      </c>
      <c r="AG310" t="s">
        <v>34</v>
      </c>
      <c r="AH310" t="str">
        <f t="shared" si="71"/>
        <v>Completed</v>
      </c>
      <c r="AI310" t="str">
        <f t="shared" si="72"/>
        <v>Valid</v>
      </c>
      <c r="AJ310">
        <f t="shared" si="73"/>
        <v>775.53</v>
      </c>
      <c r="AK310" s="12">
        <f t="shared" si="76"/>
        <v>0.3312781073581475</v>
      </c>
      <c r="AL310">
        <f t="shared" si="77"/>
        <v>6</v>
      </c>
      <c r="AM310">
        <f t="shared" si="78"/>
        <v>2025</v>
      </c>
      <c r="AN310" t="str">
        <f t="shared" si="79"/>
        <v>Clean</v>
      </c>
    </row>
    <row r="311" spans="1:40">
      <c r="A311" t="s">
        <v>1579</v>
      </c>
      <c r="B311" s="3" t="s">
        <v>1580</v>
      </c>
      <c r="C311" s="10">
        <v>45493</v>
      </c>
      <c r="D311" s="3" t="s">
        <v>126</v>
      </c>
      <c r="E311" s="10">
        <v>45495</v>
      </c>
      <c r="F311" s="6" t="str">
        <f t="shared" si="64"/>
        <v>Valid</v>
      </c>
      <c r="G311" s="8">
        <f t="shared" si="65"/>
        <v>2</v>
      </c>
      <c r="H311" s="8" t="str">
        <f t="shared" si="66"/>
        <v>Valid</v>
      </c>
      <c r="I311" t="s">
        <v>1581</v>
      </c>
      <c r="J311" t="s">
        <v>71</v>
      </c>
      <c r="K311" t="s">
        <v>71</v>
      </c>
      <c r="L311" t="s">
        <v>25</v>
      </c>
      <c r="M311" s="3" t="str">
        <f t="shared" si="67"/>
        <v>Consumer</v>
      </c>
      <c r="N311" t="s">
        <v>61</v>
      </c>
      <c r="O311" s="3" t="str">
        <f t="shared" si="68"/>
        <v>South</v>
      </c>
      <c r="P311" t="s">
        <v>338</v>
      </c>
      <c r="Q311" t="s">
        <v>339</v>
      </c>
      <c r="R311" t="s">
        <v>44</v>
      </c>
      <c r="S311" s="3" t="str">
        <f t="shared" si="69"/>
        <v>Furniture</v>
      </c>
      <c r="T311" t="s">
        <v>45</v>
      </c>
      <c r="U311" t="s">
        <v>1582</v>
      </c>
      <c r="V311" t="s">
        <v>55</v>
      </c>
      <c r="W311" s="3" t="str">
        <f t="shared" si="70"/>
        <v>First Class</v>
      </c>
      <c r="X311">
        <v>7</v>
      </c>
      <c r="Y311">
        <v>2060.73</v>
      </c>
      <c r="Z311">
        <v>0.1</v>
      </c>
      <c r="AA311">
        <f t="shared" si="74"/>
        <v>0.1</v>
      </c>
      <c r="AB311">
        <f t="shared" si="75"/>
        <v>12982.599</v>
      </c>
      <c r="AC311">
        <v>12982.6</v>
      </c>
      <c r="AD311">
        <v>7246.36</v>
      </c>
      <c r="AE311">
        <v>5736.24</v>
      </c>
      <c r="AF311" t="s">
        <v>33</v>
      </c>
      <c r="AG311" t="s">
        <v>77</v>
      </c>
      <c r="AH311" t="str">
        <f t="shared" si="71"/>
        <v>Cancelled</v>
      </c>
      <c r="AI311" t="str">
        <f t="shared" si="72"/>
        <v>Valid</v>
      </c>
      <c r="AJ311">
        <f t="shared" si="73"/>
        <v>5736.2400000000007</v>
      </c>
      <c r="AK311" s="12">
        <f t="shared" si="76"/>
        <v>0.44184065147510143</v>
      </c>
      <c r="AL311">
        <f t="shared" si="77"/>
        <v>7</v>
      </c>
      <c r="AM311">
        <f t="shared" si="78"/>
        <v>2024</v>
      </c>
      <c r="AN311" t="str">
        <f t="shared" si="79"/>
        <v>Clean</v>
      </c>
    </row>
    <row r="312" spans="1:40">
      <c r="A312" t="s">
        <v>1583</v>
      </c>
      <c r="B312" s="3" t="s">
        <v>1584</v>
      </c>
      <c r="C312" s="10">
        <v>45477</v>
      </c>
      <c r="D312" s="3" t="s">
        <v>1585</v>
      </c>
      <c r="E312" s="10">
        <v>45481</v>
      </c>
      <c r="F312" s="6" t="str">
        <f t="shared" si="64"/>
        <v>Valid</v>
      </c>
      <c r="G312" s="8">
        <f t="shared" si="65"/>
        <v>4</v>
      </c>
      <c r="H312" s="8" t="str">
        <f t="shared" si="66"/>
        <v>Valid</v>
      </c>
      <c r="I312" t="s">
        <v>1586</v>
      </c>
      <c r="J312" t="s">
        <v>179</v>
      </c>
      <c r="K312" t="s">
        <v>179</v>
      </c>
      <c r="L312" t="s">
        <v>40</v>
      </c>
      <c r="M312" s="3" t="str">
        <f t="shared" si="67"/>
        <v>Small Business</v>
      </c>
      <c r="N312" t="s">
        <v>61</v>
      </c>
      <c r="O312" s="3" t="str">
        <f t="shared" si="68"/>
        <v>South</v>
      </c>
      <c r="P312" t="s">
        <v>338</v>
      </c>
      <c r="Q312" t="s">
        <v>339</v>
      </c>
      <c r="R312" t="s">
        <v>85</v>
      </c>
      <c r="S312" s="3" t="str">
        <f t="shared" si="69"/>
        <v>Technology</v>
      </c>
      <c r="T312" t="s">
        <v>381</v>
      </c>
      <c r="U312" t="s">
        <v>1587</v>
      </c>
      <c r="V312" t="s">
        <v>55</v>
      </c>
      <c r="W312" s="3" t="str">
        <f t="shared" si="70"/>
        <v>First Class</v>
      </c>
      <c r="X312">
        <v>8</v>
      </c>
      <c r="Y312">
        <v>2034.25</v>
      </c>
      <c r="Z312">
        <v>0</v>
      </c>
      <c r="AA312">
        <f t="shared" si="74"/>
        <v>0</v>
      </c>
      <c r="AB312">
        <f t="shared" si="75"/>
        <v>16274</v>
      </c>
      <c r="AC312">
        <v>16274</v>
      </c>
      <c r="AD312">
        <v>9424.25</v>
      </c>
      <c r="AE312">
        <v>6849.75</v>
      </c>
      <c r="AF312" t="s">
        <v>33</v>
      </c>
      <c r="AG312" t="s">
        <v>34</v>
      </c>
      <c r="AH312" t="str">
        <f t="shared" si="71"/>
        <v>Completed</v>
      </c>
      <c r="AI312" t="str">
        <f t="shared" si="72"/>
        <v>Valid</v>
      </c>
      <c r="AJ312">
        <f t="shared" si="73"/>
        <v>6849.75</v>
      </c>
      <c r="AK312" s="12">
        <f t="shared" si="76"/>
        <v>0.42090143787636719</v>
      </c>
      <c r="AL312">
        <f t="shared" si="77"/>
        <v>7</v>
      </c>
      <c r="AM312">
        <f t="shared" si="78"/>
        <v>2024</v>
      </c>
      <c r="AN312" t="str">
        <f t="shared" si="79"/>
        <v>Clean</v>
      </c>
    </row>
    <row r="313" spans="1:40">
      <c r="A313" t="s">
        <v>1588</v>
      </c>
      <c r="B313" s="3" t="s">
        <v>1589</v>
      </c>
      <c r="C313" s="10">
        <v>45409</v>
      </c>
      <c r="D313" s="3" t="s">
        <v>947</v>
      </c>
      <c r="E313" s="10">
        <v>45414</v>
      </c>
      <c r="F313" s="6" t="str">
        <f t="shared" si="64"/>
        <v>Valid</v>
      </c>
      <c r="G313" s="8">
        <f t="shared" si="65"/>
        <v>5</v>
      </c>
      <c r="H313" s="8" t="str">
        <f t="shared" si="66"/>
        <v>Valid</v>
      </c>
      <c r="I313" t="s">
        <v>1590</v>
      </c>
      <c r="J313" t="s">
        <v>39</v>
      </c>
      <c r="K313" t="s">
        <v>39</v>
      </c>
      <c r="L313" t="s">
        <v>107</v>
      </c>
      <c r="M313" s="3" t="str">
        <f t="shared" si="67"/>
        <v>Corporate</v>
      </c>
      <c r="N313" t="s">
        <v>61</v>
      </c>
      <c r="O313" s="3" t="str">
        <f t="shared" si="68"/>
        <v>South</v>
      </c>
      <c r="P313" t="s">
        <v>228</v>
      </c>
      <c r="Q313" t="s">
        <v>229</v>
      </c>
      <c r="R313" t="s">
        <v>29</v>
      </c>
      <c r="S313" s="3" t="str">
        <f t="shared" si="69"/>
        <v>Office Supplies</v>
      </c>
      <c r="T313" t="s">
        <v>197</v>
      </c>
      <c r="U313" t="s">
        <v>1591</v>
      </c>
      <c r="V313" t="s">
        <v>32</v>
      </c>
      <c r="W313" s="3" t="str">
        <f t="shared" si="70"/>
        <v>Second Class</v>
      </c>
      <c r="X313">
        <v>5</v>
      </c>
      <c r="Y313">
        <v>554.04</v>
      </c>
      <c r="Z313">
        <v>0.1</v>
      </c>
      <c r="AA313">
        <f t="shared" si="74"/>
        <v>0.1</v>
      </c>
      <c r="AB313">
        <f t="shared" si="75"/>
        <v>2493.1799999999998</v>
      </c>
      <c r="AC313">
        <v>2493.1799999999998</v>
      </c>
      <c r="AD313">
        <v>1764</v>
      </c>
      <c r="AE313">
        <v>729.18</v>
      </c>
      <c r="AF313" t="s">
        <v>33</v>
      </c>
      <c r="AG313" t="s">
        <v>34</v>
      </c>
      <c r="AH313" t="str">
        <f t="shared" si="71"/>
        <v>Completed</v>
      </c>
      <c r="AI313" t="str">
        <f t="shared" si="72"/>
        <v>Valid</v>
      </c>
      <c r="AJ313">
        <f t="shared" si="73"/>
        <v>729.17999999999984</v>
      </c>
      <c r="AK313" s="12">
        <f t="shared" si="76"/>
        <v>0.29246985777200196</v>
      </c>
      <c r="AL313">
        <f t="shared" si="77"/>
        <v>4</v>
      </c>
      <c r="AM313">
        <f t="shared" si="78"/>
        <v>2024</v>
      </c>
      <c r="AN313" t="str">
        <f t="shared" si="79"/>
        <v>Clean</v>
      </c>
    </row>
    <row r="314" spans="1:40">
      <c r="A314" t="s">
        <v>1592</v>
      </c>
      <c r="B314" s="3" t="s">
        <v>1593</v>
      </c>
      <c r="C314" s="10">
        <v>45504</v>
      </c>
      <c r="D314" s="3" t="s">
        <v>515</v>
      </c>
      <c r="E314" s="10">
        <v>45508</v>
      </c>
      <c r="F314" s="6" t="str">
        <f t="shared" si="64"/>
        <v>Valid</v>
      </c>
      <c r="G314" s="8">
        <f t="shared" si="65"/>
        <v>4</v>
      </c>
      <c r="H314" s="8" t="str">
        <f t="shared" si="66"/>
        <v>Valid</v>
      </c>
      <c r="I314" t="s">
        <v>1594</v>
      </c>
      <c r="J314" t="s">
        <v>24</v>
      </c>
      <c r="K314" t="s">
        <v>24</v>
      </c>
      <c r="L314" t="s">
        <v>40</v>
      </c>
      <c r="M314" s="3" t="str">
        <f t="shared" si="67"/>
        <v>Small Business</v>
      </c>
      <c r="N314" t="s">
        <v>41</v>
      </c>
      <c r="O314" s="3" t="str">
        <f t="shared" si="68"/>
        <v>East</v>
      </c>
      <c r="P314" t="s">
        <v>215</v>
      </c>
      <c r="Q314" t="s">
        <v>216</v>
      </c>
      <c r="R314" t="s">
        <v>85</v>
      </c>
      <c r="S314" s="3" t="str">
        <f t="shared" si="69"/>
        <v>Technology</v>
      </c>
      <c r="T314" t="s">
        <v>222</v>
      </c>
      <c r="U314" t="s">
        <v>1595</v>
      </c>
      <c r="V314" t="s">
        <v>66</v>
      </c>
      <c r="W314" s="3" t="str">
        <f t="shared" si="70"/>
        <v>Standard Class</v>
      </c>
      <c r="X314">
        <v>8</v>
      </c>
      <c r="Y314">
        <v>2614.7399999999998</v>
      </c>
      <c r="AA314">
        <f t="shared" si="74"/>
        <v>0</v>
      </c>
      <c r="AB314">
        <f t="shared" si="75"/>
        <v>20917.919999999998</v>
      </c>
      <c r="AC314">
        <v>15688.44</v>
      </c>
      <c r="AD314">
        <v>10047.33</v>
      </c>
      <c r="AE314">
        <v>5641.11</v>
      </c>
      <c r="AF314" t="s">
        <v>33</v>
      </c>
      <c r="AG314" t="s">
        <v>77</v>
      </c>
      <c r="AH314" t="str">
        <f t="shared" si="71"/>
        <v>Cancelled</v>
      </c>
      <c r="AI314" t="str">
        <f t="shared" si="72"/>
        <v>Valid</v>
      </c>
      <c r="AJ314">
        <f t="shared" si="73"/>
        <v>5641.1100000000006</v>
      </c>
      <c r="AK314" s="12">
        <f t="shared" si="76"/>
        <v>0.26967834277977931</v>
      </c>
      <c r="AL314">
        <f t="shared" si="77"/>
        <v>7</v>
      </c>
      <c r="AM314">
        <f t="shared" si="78"/>
        <v>2024</v>
      </c>
      <c r="AN314" t="str">
        <f t="shared" si="79"/>
        <v>Clean</v>
      </c>
    </row>
    <row r="315" spans="1:40">
      <c r="A315" t="s">
        <v>1596</v>
      </c>
      <c r="B315" s="3" t="s">
        <v>1597</v>
      </c>
      <c r="C315" s="10">
        <v>45807</v>
      </c>
      <c r="D315" s="3" t="s">
        <v>1598</v>
      </c>
      <c r="E315" s="10">
        <v>45808</v>
      </c>
      <c r="F315" s="6" t="str">
        <f t="shared" si="64"/>
        <v>Valid</v>
      </c>
      <c r="G315" s="8">
        <f t="shared" si="65"/>
        <v>1</v>
      </c>
      <c r="H315" s="8" t="str">
        <f t="shared" si="66"/>
        <v>Valid</v>
      </c>
      <c r="I315" t="s">
        <v>1599</v>
      </c>
      <c r="J315" t="s">
        <v>147</v>
      </c>
      <c r="K315" t="s">
        <v>147</v>
      </c>
      <c r="L315" t="s">
        <v>107</v>
      </c>
      <c r="M315" s="3" t="str">
        <f t="shared" si="67"/>
        <v>Corporate</v>
      </c>
      <c r="N315" t="s">
        <v>26</v>
      </c>
      <c r="O315" s="3" t="str">
        <f t="shared" si="68"/>
        <v>North</v>
      </c>
      <c r="P315" t="s">
        <v>173</v>
      </c>
      <c r="Q315" t="s">
        <v>174</v>
      </c>
      <c r="R315" t="s">
        <v>85</v>
      </c>
      <c r="S315" s="3" t="str">
        <f t="shared" si="69"/>
        <v>Technology</v>
      </c>
      <c r="T315" t="s">
        <v>222</v>
      </c>
      <c r="U315" t="s">
        <v>1600</v>
      </c>
      <c r="V315" t="s">
        <v>55</v>
      </c>
      <c r="W315" s="3" t="str">
        <f t="shared" si="70"/>
        <v>First Class</v>
      </c>
      <c r="X315">
        <v>8</v>
      </c>
      <c r="Y315">
        <v>2081.4299999999998</v>
      </c>
      <c r="Z315">
        <v>0.25</v>
      </c>
      <c r="AA315">
        <f t="shared" si="74"/>
        <v>0.25</v>
      </c>
      <c r="AB315">
        <f t="shared" si="75"/>
        <v>12488.579999999998</v>
      </c>
      <c r="AC315">
        <v>12488.58</v>
      </c>
      <c r="AD315">
        <v>10717.4</v>
      </c>
      <c r="AE315">
        <v>1771.18</v>
      </c>
      <c r="AF315" t="s">
        <v>123</v>
      </c>
      <c r="AG315" t="s">
        <v>77</v>
      </c>
      <c r="AH315" t="str">
        <f t="shared" si="71"/>
        <v>Cancelled</v>
      </c>
      <c r="AI315" t="str">
        <f t="shared" si="72"/>
        <v>Valid</v>
      </c>
      <c r="AJ315">
        <f t="shared" si="73"/>
        <v>1771.1800000000003</v>
      </c>
      <c r="AK315" s="12">
        <f t="shared" si="76"/>
        <v>0.14182397037933861</v>
      </c>
      <c r="AL315">
        <f t="shared" si="77"/>
        <v>5</v>
      </c>
      <c r="AM315">
        <f t="shared" si="78"/>
        <v>2025</v>
      </c>
      <c r="AN315" t="str">
        <f t="shared" si="79"/>
        <v>Clean</v>
      </c>
    </row>
    <row r="316" spans="1:40">
      <c r="A316" t="s">
        <v>1601</v>
      </c>
      <c r="B316" s="3" t="s">
        <v>1103</v>
      </c>
      <c r="C316" s="10">
        <v>45795</v>
      </c>
      <c r="D316" s="3" t="s">
        <v>117</v>
      </c>
      <c r="E316" s="10">
        <v>45797</v>
      </c>
      <c r="F316" s="6" t="str">
        <f t="shared" si="64"/>
        <v>Valid</v>
      </c>
      <c r="G316" s="8">
        <f t="shared" si="65"/>
        <v>2</v>
      </c>
      <c r="H316" s="8" t="str">
        <f t="shared" si="66"/>
        <v>Valid</v>
      </c>
      <c r="I316" t="s">
        <v>1602</v>
      </c>
      <c r="J316" t="s">
        <v>52</v>
      </c>
      <c r="K316" t="s">
        <v>52</v>
      </c>
      <c r="L316" t="s">
        <v>107</v>
      </c>
      <c r="M316" s="3" t="str">
        <f t="shared" si="67"/>
        <v>Corporate</v>
      </c>
      <c r="N316" t="s">
        <v>72</v>
      </c>
      <c r="O316" s="3" t="str">
        <f t="shared" si="68"/>
        <v>West</v>
      </c>
      <c r="P316" t="s">
        <v>83</v>
      </c>
      <c r="Q316" t="s">
        <v>84</v>
      </c>
      <c r="R316" t="s">
        <v>29</v>
      </c>
      <c r="S316" s="3" t="str">
        <f t="shared" si="69"/>
        <v>Office Supplies</v>
      </c>
      <c r="T316" t="s">
        <v>108</v>
      </c>
      <c r="U316" t="s">
        <v>1603</v>
      </c>
      <c r="V316" t="s">
        <v>66</v>
      </c>
      <c r="W316" s="3" t="str">
        <f t="shared" si="70"/>
        <v>Standard Class</v>
      </c>
      <c r="X316">
        <v>9</v>
      </c>
      <c r="Y316">
        <v>847.76</v>
      </c>
      <c r="Z316">
        <v>0.15</v>
      </c>
      <c r="AA316">
        <f t="shared" si="74"/>
        <v>0.15</v>
      </c>
      <c r="AB316">
        <f t="shared" si="75"/>
        <v>6485.3639999999996</v>
      </c>
      <c r="AC316">
        <v>6485.36</v>
      </c>
      <c r="AD316">
        <v>5376.17</v>
      </c>
      <c r="AE316">
        <v>1109.19</v>
      </c>
      <c r="AF316" t="s">
        <v>199</v>
      </c>
      <c r="AG316" t="s">
        <v>124</v>
      </c>
      <c r="AH316" t="str">
        <f t="shared" si="71"/>
        <v>Returned</v>
      </c>
      <c r="AI316" t="str">
        <f t="shared" si="72"/>
        <v>Valid</v>
      </c>
      <c r="AJ316">
        <f t="shared" si="73"/>
        <v>1109.1899999999996</v>
      </c>
      <c r="AK316" s="12">
        <f t="shared" si="76"/>
        <v>0.17102972169333899</v>
      </c>
      <c r="AL316">
        <f t="shared" si="77"/>
        <v>5</v>
      </c>
      <c r="AM316">
        <f t="shared" si="78"/>
        <v>2025</v>
      </c>
      <c r="AN316" t="str">
        <f t="shared" si="79"/>
        <v>Clean</v>
      </c>
    </row>
    <row r="317" spans="1:40">
      <c r="A317" t="s">
        <v>1604</v>
      </c>
      <c r="B317" s="3" t="s">
        <v>1605</v>
      </c>
      <c r="C317" s="10">
        <v>45475</v>
      </c>
      <c r="D317" s="3" t="s">
        <v>1606</v>
      </c>
      <c r="E317" s="10">
        <v>45481</v>
      </c>
      <c r="F317" s="6" t="str">
        <f t="shared" si="64"/>
        <v>Valid</v>
      </c>
      <c r="G317" s="8">
        <f t="shared" si="65"/>
        <v>6</v>
      </c>
      <c r="H317" s="8" t="str">
        <f t="shared" si="66"/>
        <v>Valid</v>
      </c>
      <c r="I317" t="s">
        <v>1607</v>
      </c>
      <c r="J317" t="s">
        <v>179</v>
      </c>
      <c r="K317" t="s">
        <v>179</v>
      </c>
      <c r="L317" t="s">
        <v>25</v>
      </c>
      <c r="M317" s="3" t="str">
        <f t="shared" si="67"/>
        <v>Consumer</v>
      </c>
      <c r="N317" t="s">
        <v>26</v>
      </c>
      <c r="O317" s="3" t="str">
        <f t="shared" si="68"/>
        <v>North</v>
      </c>
      <c r="P317" t="s">
        <v>505</v>
      </c>
      <c r="Q317" t="s">
        <v>506</v>
      </c>
      <c r="R317" t="s">
        <v>29</v>
      </c>
      <c r="S317" s="3" t="str">
        <f t="shared" si="69"/>
        <v>Office Supplies</v>
      </c>
      <c r="T317" t="s">
        <v>30</v>
      </c>
      <c r="U317" t="s">
        <v>1608</v>
      </c>
      <c r="V317" t="s">
        <v>66</v>
      </c>
      <c r="W317" s="3" t="str">
        <f t="shared" si="70"/>
        <v>Standard Class</v>
      </c>
      <c r="X317">
        <v>9</v>
      </c>
      <c r="Y317">
        <v>3450.4</v>
      </c>
      <c r="Z317">
        <v>0.05</v>
      </c>
      <c r="AA317">
        <f t="shared" si="74"/>
        <v>0.05</v>
      </c>
      <c r="AB317">
        <f t="shared" si="75"/>
        <v>29500.920000000002</v>
      </c>
      <c r="AC317">
        <v>29500.92</v>
      </c>
      <c r="AD317">
        <v>17989.68</v>
      </c>
      <c r="AE317">
        <v>11511.24</v>
      </c>
      <c r="AF317" t="s">
        <v>136</v>
      </c>
      <c r="AG317" t="s">
        <v>124</v>
      </c>
      <c r="AH317" t="str">
        <f t="shared" si="71"/>
        <v>Returned</v>
      </c>
      <c r="AI317" t="str">
        <f t="shared" si="72"/>
        <v>Valid</v>
      </c>
      <c r="AJ317">
        <f t="shared" si="73"/>
        <v>11511.239999999998</v>
      </c>
      <c r="AK317" s="12">
        <f t="shared" si="76"/>
        <v>0.39019935649464482</v>
      </c>
      <c r="AL317">
        <f t="shared" si="77"/>
        <v>7</v>
      </c>
      <c r="AM317">
        <f t="shared" si="78"/>
        <v>2024</v>
      </c>
      <c r="AN317" t="str">
        <f t="shared" si="79"/>
        <v>Clean</v>
      </c>
    </row>
    <row r="318" spans="1:40">
      <c r="A318" t="s">
        <v>1609</v>
      </c>
      <c r="B318" s="3" t="s">
        <v>1610</v>
      </c>
      <c r="C318" s="10">
        <v>45338</v>
      </c>
      <c r="D318" s="3" t="s">
        <v>1611</v>
      </c>
      <c r="E318" s="10">
        <v>45340</v>
      </c>
      <c r="F318" s="6" t="str">
        <f t="shared" si="64"/>
        <v>Valid</v>
      </c>
      <c r="G318" s="8">
        <f t="shared" si="65"/>
        <v>2</v>
      </c>
      <c r="H318" s="8" t="str">
        <f t="shared" si="66"/>
        <v>Valid</v>
      </c>
      <c r="I318" t="s">
        <v>1612</v>
      </c>
      <c r="J318" t="s">
        <v>24</v>
      </c>
      <c r="K318" t="s">
        <v>24</v>
      </c>
      <c r="L318" t="s">
        <v>107</v>
      </c>
      <c r="M318" s="3" t="str">
        <f t="shared" si="67"/>
        <v>Corporate</v>
      </c>
      <c r="N318" t="s">
        <v>26</v>
      </c>
      <c r="O318" s="3" t="str">
        <f t="shared" si="68"/>
        <v>North</v>
      </c>
      <c r="P318" t="s">
        <v>153</v>
      </c>
      <c r="Q318" t="s">
        <v>154</v>
      </c>
      <c r="R318" t="s">
        <v>29</v>
      </c>
      <c r="S318" s="3" t="str">
        <f t="shared" si="69"/>
        <v>Office Supplies</v>
      </c>
      <c r="T318" t="s">
        <v>108</v>
      </c>
      <c r="U318" t="s">
        <v>1613</v>
      </c>
      <c r="V318" t="s">
        <v>66</v>
      </c>
      <c r="W318" s="3" t="str">
        <f t="shared" si="70"/>
        <v>Standard Class</v>
      </c>
      <c r="X318">
        <v>2</v>
      </c>
      <c r="Y318">
        <v>1947.53</v>
      </c>
      <c r="Z318">
        <v>0.2</v>
      </c>
      <c r="AA318">
        <f t="shared" si="74"/>
        <v>0.2</v>
      </c>
      <c r="AB318">
        <f t="shared" si="75"/>
        <v>3116.0480000000002</v>
      </c>
      <c r="AC318">
        <v>3116.05</v>
      </c>
      <c r="AD318">
        <v>1956.63</v>
      </c>
      <c r="AE318">
        <v>1159.42</v>
      </c>
      <c r="AF318" t="s">
        <v>33</v>
      </c>
      <c r="AG318" t="s">
        <v>77</v>
      </c>
      <c r="AH318" t="str">
        <f t="shared" si="71"/>
        <v>Cancelled</v>
      </c>
      <c r="AI318" t="str">
        <f t="shared" si="72"/>
        <v>Valid</v>
      </c>
      <c r="AJ318">
        <f t="shared" si="73"/>
        <v>1159.42</v>
      </c>
      <c r="AK318" s="12">
        <f t="shared" si="76"/>
        <v>0.37208027604196081</v>
      </c>
      <c r="AL318">
        <f t="shared" si="77"/>
        <v>2</v>
      </c>
      <c r="AM318">
        <f t="shared" si="78"/>
        <v>2024</v>
      </c>
      <c r="AN318" t="str">
        <f t="shared" si="79"/>
        <v>Clean</v>
      </c>
    </row>
    <row r="319" spans="1:40">
      <c r="A319" t="s">
        <v>1614</v>
      </c>
      <c r="B319" s="3" t="s">
        <v>1615</v>
      </c>
      <c r="C319" s="10">
        <v>45898</v>
      </c>
      <c r="D319" s="3" t="s">
        <v>1616</v>
      </c>
      <c r="E319" s="10">
        <v>45904</v>
      </c>
      <c r="F319" s="6" t="str">
        <f t="shared" si="64"/>
        <v>Valid</v>
      </c>
      <c r="G319" s="8">
        <f t="shared" si="65"/>
        <v>6</v>
      </c>
      <c r="H319" s="8" t="str">
        <f t="shared" si="66"/>
        <v>Valid</v>
      </c>
      <c r="I319" t="s">
        <v>1617</v>
      </c>
      <c r="J319" t="s">
        <v>92</v>
      </c>
      <c r="K319" t="s">
        <v>92</v>
      </c>
      <c r="L319" t="s">
        <v>107</v>
      </c>
      <c r="M319" s="3" t="str">
        <f t="shared" si="67"/>
        <v>Corporate</v>
      </c>
      <c r="N319" t="s">
        <v>61</v>
      </c>
      <c r="O319" s="3" t="str">
        <f t="shared" si="68"/>
        <v>South</v>
      </c>
      <c r="P319" t="s">
        <v>241</v>
      </c>
      <c r="Q319" t="s">
        <v>242</v>
      </c>
      <c r="R319" t="s">
        <v>44</v>
      </c>
      <c r="S319" s="3" t="str">
        <f t="shared" si="69"/>
        <v>Furniture</v>
      </c>
      <c r="T319" t="s">
        <v>45</v>
      </c>
      <c r="U319" t="s">
        <v>1618</v>
      </c>
      <c r="V319" t="s">
        <v>55</v>
      </c>
      <c r="W319" s="3" t="str">
        <f t="shared" si="70"/>
        <v>First Class</v>
      </c>
      <c r="X319">
        <v>9</v>
      </c>
      <c r="Y319">
        <v>2996.97</v>
      </c>
      <c r="Z319">
        <v>0.15</v>
      </c>
      <c r="AA319">
        <f t="shared" si="74"/>
        <v>0.15</v>
      </c>
      <c r="AB319">
        <f t="shared" si="75"/>
        <v>22926.820499999998</v>
      </c>
      <c r="AC319">
        <v>22926.82</v>
      </c>
      <c r="AD319">
        <v>14621.59</v>
      </c>
      <c r="AE319">
        <v>8305.23</v>
      </c>
      <c r="AF319" t="s">
        <v>33</v>
      </c>
      <c r="AG319" t="s">
        <v>34</v>
      </c>
      <c r="AH319" t="str">
        <f t="shared" si="71"/>
        <v>Completed</v>
      </c>
      <c r="AI319" t="str">
        <f t="shared" si="72"/>
        <v>Valid</v>
      </c>
      <c r="AJ319">
        <f t="shared" si="73"/>
        <v>8305.23</v>
      </c>
      <c r="AK319" s="12">
        <f t="shared" si="76"/>
        <v>0.36224953215819877</v>
      </c>
      <c r="AL319">
        <f t="shared" si="77"/>
        <v>8</v>
      </c>
      <c r="AM319">
        <f t="shared" si="78"/>
        <v>2025</v>
      </c>
      <c r="AN319" t="str">
        <f t="shared" si="79"/>
        <v>Clean</v>
      </c>
    </row>
    <row r="320" spans="1:40">
      <c r="A320" t="s">
        <v>1619</v>
      </c>
      <c r="B320" s="3" t="s">
        <v>1620</v>
      </c>
      <c r="C320" s="10">
        <v>45407</v>
      </c>
      <c r="D320" s="3" t="s">
        <v>1621</v>
      </c>
      <c r="E320" s="10">
        <v>45412</v>
      </c>
      <c r="F320" s="6" t="str">
        <f t="shared" si="64"/>
        <v>Valid</v>
      </c>
      <c r="G320" s="8">
        <f t="shared" si="65"/>
        <v>5</v>
      </c>
      <c r="H320" s="8" t="str">
        <f t="shared" si="66"/>
        <v>Valid</v>
      </c>
      <c r="I320" t="s">
        <v>1622</v>
      </c>
      <c r="J320" t="s">
        <v>39</v>
      </c>
      <c r="K320" t="s">
        <v>39</v>
      </c>
      <c r="L320" t="s">
        <v>40</v>
      </c>
      <c r="M320" s="3" t="str">
        <f t="shared" si="67"/>
        <v>Small Business</v>
      </c>
      <c r="N320" t="s">
        <v>61</v>
      </c>
      <c r="O320" s="3" t="str">
        <f t="shared" si="68"/>
        <v>South</v>
      </c>
      <c r="P320" t="s">
        <v>228</v>
      </c>
      <c r="Q320" t="s">
        <v>229</v>
      </c>
      <c r="R320" t="s">
        <v>85</v>
      </c>
      <c r="S320" s="3" t="str">
        <f t="shared" si="69"/>
        <v>Technology</v>
      </c>
      <c r="T320" t="s">
        <v>222</v>
      </c>
      <c r="U320" t="s">
        <v>1623</v>
      </c>
      <c r="V320" t="s">
        <v>66</v>
      </c>
      <c r="W320" s="3" t="str">
        <f t="shared" si="70"/>
        <v>Standard Class</v>
      </c>
      <c r="X320">
        <v>3</v>
      </c>
      <c r="Y320">
        <v>4149.46</v>
      </c>
      <c r="Z320">
        <v>0.1</v>
      </c>
      <c r="AA320">
        <f t="shared" si="74"/>
        <v>0.1</v>
      </c>
      <c r="AB320">
        <f t="shared" si="75"/>
        <v>11203.542000000001</v>
      </c>
      <c r="AC320">
        <v>11203.54</v>
      </c>
      <c r="AD320">
        <v>8452.93</v>
      </c>
      <c r="AE320">
        <v>2750.61</v>
      </c>
      <c r="AF320" t="s">
        <v>33</v>
      </c>
      <c r="AG320" t="s">
        <v>34</v>
      </c>
      <c r="AH320" t="str">
        <f t="shared" si="71"/>
        <v>Completed</v>
      </c>
      <c r="AI320" t="str">
        <f t="shared" si="72"/>
        <v>Valid</v>
      </c>
      <c r="AJ320">
        <f t="shared" si="73"/>
        <v>2750.6100000000006</v>
      </c>
      <c r="AK320" s="12">
        <f t="shared" si="76"/>
        <v>0.24551253523216143</v>
      </c>
      <c r="AL320">
        <f t="shared" si="77"/>
        <v>4</v>
      </c>
      <c r="AM320">
        <f t="shared" si="78"/>
        <v>2024</v>
      </c>
      <c r="AN320" t="str">
        <f t="shared" si="79"/>
        <v>Clean</v>
      </c>
    </row>
    <row r="321" spans="1:40">
      <c r="A321" t="s">
        <v>1624</v>
      </c>
      <c r="B321" s="3" t="s">
        <v>1625</v>
      </c>
      <c r="C321" s="10">
        <v>45525</v>
      </c>
      <c r="D321" s="3" t="s">
        <v>1626</v>
      </c>
      <c r="E321" s="10">
        <v>45529</v>
      </c>
      <c r="F321" s="6" t="str">
        <f t="shared" si="64"/>
        <v>Valid</v>
      </c>
      <c r="G321" s="8">
        <f t="shared" si="65"/>
        <v>4</v>
      </c>
      <c r="H321" s="8" t="str">
        <f t="shared" si="66"/>
        <v>Valid</v>
      </c>
      <c r="I321" t="s">
        <v>1627</v>
      </c>
      <c r="J321" t="s">
        <v>209</v>
      </c>
      <c r="K321" t="s">
        <v>209</v>
      </c>
      <c r="L321" t="s">
        <v>25</v>
      </c>
      <c r="M321" s="3" t="str">
        <f t="shared" si="67"/>
        <v>Consumer</v>
      </c>
      <c r="N321" t="s">
        <v>72</v>
      </c>
      <c r="O321" s="3" t="str">
        <f t="shared" si="68"/>
        <v>West</v>
      </c>
      <c r="P321" t="s">
        <v>234</v>
      </c>
      <c r="Q321" t="s">
        <v>235</v>
      </c>
      <c r="R321" t="s">
        <v>29</v>
      </c>
      <c r="S321" s="3" t="str">
        <f t="shared" si="69"/>
        <v>Office Supplies</v>
      </c>
      <c r="T321" t="s">
        <v>197</v>
      </c>
      <c r="U321" t="s">
        <v>1628</v>
      </c>
      <c r="V321" t="s">
        <v>55</v>
      </c>
      <c r="W321" s="3" t="str">
        <f t="shared" si="70"/>
        <v>First Class</v>
      </c>
      <c r="X321">
        <v>1</v>
      </c>
      <c r="Y321">
        <v>270.27999999999997</v>
      </c>
      <c r="Z321">
        <v>0</v>
      </c>
      <c r="AA321">
        <f t="shared" si="74"/>
        <v>0</v>
      </c>
      <c r="AB321">
        <f t="shared" si="75"/>
        <v>270.27999999999997</v>
      </c>
      <c r="AC321">
        <v>270.27999999999997</v>
      </c>
      <c r="AD321">
        <v>156.34</v>
      </c>
      <c r="AE321">
        <v>113.94</v>
      </c>
      <c r="AF321" t="s">
        <v>33</v>
      </c>
      <c r="AG321" t="s">
        <v>34</v>
      </c>
      <c r="AH321" t="str">
        <f t="shared" si="71"/>
        <v>Completed</v>
      </c>
      <c r="AI321" t="str">
        <f t="shared" si="72"/>
        <v>Valid</v>
      </c>
      <c r="AJ321">
        <f t="shared" si="73"/>
        <v>113.93999999999997</v>
      </c>
      <c r="AK321" s="12">
        <f t="shared" si="76"/>
        <v>0.42156282373834536</v>
      </c>
      <c r="AL321">
        <f t="shared" si="77"/>
        <v>8</v>
      </c>
      <c r="AM321">
        <f t="shared" si="78"/>
        <v>2024</v>
      </c>
      <c r="AN321" t="str">
        <f t="shared" si="79"/>
        <v>Clean</v>
      </c>
    </row>
    <row r="322" spans="1:40">
      <c r="A322" t="s">
        <v>1629</v>
      </c>
      <c r="B322" s="3" t="s">
        <v>1630</v>
      </c>
      <c r="C322" s="10">
        <v>45630</v>
      </c>
      <c r="D322" s="3" t="s">
        <v>1631</v>
      </c>
      <c r="E322" s="10">
        <v>45632</v>
      </c>
      <c r="F322" s="6" t="str">
        <f t="shared" ref="F322:F385" si="80">IF(E322&lt;C322,"Invalid Shipping Record","Valid")</f>
        <v>Valid</v>
      </c>
      <c r="G322" s="8">
        <f t="shared" ref="G322:G385" si="81">E322-C322</f>
        <v>2</v>
      </c>
      <c r="H322" s="8" t="str">
        <f t="shared" ref="H322:H385" si="82">IF(OR(C322="",E322=""),"Missing Date",IF(OR(NOT(ISNUMBER(C322)),NOT(ISNUMBER(E322))),"Invalid Date",IF(E322&lt;C322,"Invalid Shipping Record","Valid")))</f>
        <v>Valid</v>
      </c>
      <c r="I322" t="s">
        <v>1632</v>
      </c>
      <c r="J322" t="s">
        <v>161</v>
      </c>
      <c r="K322" t="s">
        <v>161</v>
      </c>
      <c r="L322" t="s">
        <v>114</v>
      </c>
      <c r="M322" s="3" t="str">
        <f t="shared" ref="M322:M385" si="83">PROPER(TRIM(L322))</f>
        <v>Home Office</v>
      </c>
      <c r="N322" t="s">
        <v>41</v>
      </c>
      <c r="O322" s="3" t="str">
        <f t="shared" ref="O322:O385" si="84">IF(TRIM(N322)="","Unknown",PROPER(TRIM(N322)))</f>
        <v>East</v>
      </c>
      <c r="P322" t="s">
        <v>120</v>
      </c>
      <c r="Q322" t="s">
        <v>121</v>
      </c>
      <c r="R322" t="s">
        <v>29</v>
      </c>
      <c r="S322" s="3" t="str">
        <f t="shared" ref="S322:S385" si="85">PROPER(TRIM(R322))</f>
        <v>Office Supplies</v>
      </c>
      <c r="T322" t="s">
        <v>53</v>
      </c>
      <c r="U322" t="s">
        <v>1633</v>
      </c>
      <c r="V322" t="s">
        <v>32</v>
      </c>
      <c r="W322" s="3" t="str">
        <f t="shared" ref="W322:W385" si="86">IF(TRIM(V322)="","Unknown",PROPER(TRIM(V322)))</f>
        <v>Second Class</v>
      </c>
      <c r="X322">
        <v>3</v>
      </c>
      <c r="Y322">
        <v>876.14</v>
      </c>
      <c r="Z322" t="s">
        <v>680</v>
      </c>
      <c r="AA322" t="str">
        <f t="shared" si="74"/>
        <v>70%</v>
      </c>
      <c r="AB322">
        <f t="shared" si="75"/>
        <v>788.52600000000018</v>
      </c>
      <c r="AC322">
        <v>2628.42</v>
      </c>
      <c r="AD322">
        <v>1541.54</v>
      </c>
      <c r="AE322">
        <v>1086.8800000000001</v>
      </c>
      <c r="AF322" t="s">
        <v>136</v>
      </c>
      <c r="AG322" t="s">
        <v>124</v>
      </c>
      <c r="AH322" t="str">
        <f t="shared" ref="AH322:AH385" si="87">PROPER(TRIM(AG322))</f>
        <v>Returned</v>
      </c>
      <c r="AI322" t="str">
        <f t="shared" ref="AI322:AI385" si="88">IF(Z322&lt;0,"Invalid - Negative Discount",IF(Z322&gt;1,"Invalid - Discount Above Range","Valid"))</f>
        <v>Invalid - Discount Above Range</v>
      </c>
      <c r="AJ322">
        <f t="shared" ref="AJ322:AJ385" si="89">AC322-AD322</f>
        <v>1086.8800000000001</v>
      </c>
      <c r="AK322" s="12">
        <f t="shared" si="76"/>
        <v>1.3783692611277243</v>
      </c>
      <c r="AL322">
        <f t="shared" si="77"/>
        <v>12</v>
      </c>
      <c r="AM322">
        <f t="shared" si="78"/>
        <v>2024</v>
      </c>
      <c r="AN322" t="str">
        <f t="shared" si="79"/>
        <v>Clean</v>
      </c>
    </row>
    <row r="323" spans="1:40">
      <c r="A323" t="s">
        <v>1634</v>
      </c>
      <c r="B323" s="3" t="s">
        <v>1635</v>
      </c>
      <c r="C323" s="10">
        <v>45466</v>
      </c>
      <c r="D323" s="3" t="s">
        <v>1636</v>
      </c>
      <c r="E323" s="10">
        <v>45473</v>
      </c>
      <c r="F323" s="6" t="str">
        <f t="shared" si="80"/>
        <v>Valid</v>
      </c>
      <c r="G323" s="8">
        <f t="shared" si="81"/>
        <v>7</v>
      </c>
      <c r="H323" s="8" t="str">
        <f t="shared" si="82"/>
        <v>Valid</v>
      </c>
      <c r="I323" t="s">
        <v>1637</v>
      </c>
      <c r="J323" t="s">
        <v>92</v>
      </c>
      <c r="K323" t="s">
        <v>92</v>
      </c>
      <c r="L323" t="s">
        <v>40</v>
      </c>
      <c r="M323" s="3" t="str">
        <f t="shared" si="83"/>
        <v>Small Business</v>
      </c>
      <c r="N323" t="s">
        <v>72</v>
      </c>
      <c r="O323" s="3" t="str">
        <f t="shared" si="84"/>
        <v>West</v>
      </c>
      <c r="P323" t="s">
        <v>248</v>
      </c>
      <c r="Q323" t="s">
        <v>249</v>
      </c>
      <c r="R323" t="s">
        <v>85</v>
      </c>
      <c r="S323" s="3" t="str">
        <f t="shared" si="85"/>
        <v>Technology</v>
      </c>
      <c r="T323" t="s">
        <v>86</v>
      </c>
      <c r="U323" t="s">
        <v>1638</v>
      </c>
      <c r="V323" t="s">
        <v>47</v>
      </c>
      <c r="W323" s="3" t="str">
        <f t="shared" si="86"/>
        <v>Same Day</v>
      </c>
      <c r="X323">
        <v>4</v>
      </c>
      <c r="Y323">
        <v>674.82</v>
      </c>
      <c r="Z323">
        <v>0</v>
      </c>
      <c r="AA323">
        <f t="shared" ref="AA323:AA386" si="90">IF(Z323="",0,Z323)</f>
        <v>0</v>
      </c>
      <c r="AB323">
        <f t="shared" ref="AB323:AB386" si="91">X323*Y323*(1-Z323)</f>
        <v>2699.28</v>
      </c>
      <c r="AC323">
        <v>2699.28</v>
      </c>
      <c r="AD323">
        <v>1759.76</v>
      </c>
      <c r="AE323">
        <v>939.52</v>
      </c>
      <c r="AF323" t="s">
        <v>199</v>
      </c>
      <c r="AG323" t="s">
        <v>77</v>
      </c>
      <c r="AH323" t="str">
        <f t="shared" si="87"/>
        <v>Cancelled</v>
      </c>
      <c r="AI323" t="str">
        <f t="shared" si="88"/>
        <v>Valid</v>
      </c>
      <c r="AJ323">
        <f t="shared" si="89"/>
        <v>939.52000000000021</v>
      </c>
      <c r="AK323" s="12">
        <f t="shared" ref="AK323:AK386" si="92">IF(AB323=0,"",AJ323/AB323)</f>
        <v>0.34806318722029583</v>
      </c>
      <c r="AL323">
        <f t="shared" ref="AL323:AL386" si="93">MONTH(C323)</f>
        <v>6</v>
      </c>
      <c r="AM323">
        <f t="shared" ref="AM323:AM386" si="94">YEAR(C323)</f>
        <v>2024</v>
      </c>
      <c r="AN323" t="str">
        <f t="shared" ref="AN323:AN386" si="95">IF(H323="Invalid Shipping Record","Invalid","Clean")</f>
        <v>Clean</v>
      </c>
    </row>
    <row r="324" spans="1:40">
      <c r="A324" t="s">
        <v>1639</v>
      </c>
      <c r="B324" s="3" t="s">
        <v>1535</v>
      </c>
      <c r="C324" s="10">
        <v>45608</v>
      </c>
      <c r="D324" s="3" t="s">
        <v>1640</v>
      </c>
      <c r="E324" s="10">
        <v>45608</v>
      </c>
      <c r="F324" s="6" t="str">
        <f t="shared" si="80"/>
        <v>Valid</v>
      </c>
      <c r="G324" s="8">
        <f t="shared" si="81"/>
        <v>0</v>
      </c>
      <c r="H324" s="8" t="str">
        <f t="shared" si="82"/>
        <v>Valid</v>
      </c>
      <c r="I324" t="s">
        <v>1641</v>
      </c>
      <c r="J324" t="s">
        <v>52</v>
      </c>
      <c r="K324" t="s">
        <v>52</v>
      </c>
      <c r="L324" t="s">
        <v>25</v>
      </c>
      <c r="M324" s="3" t="str">
        <f t="shared" si="83"/>
        <v>Consumer</v>
      </c>
      <c r="N324" t="s">
        <v>26</v>
      </c>
      <c r="O324" s="3" t="str">
        <f t="shared" si="84"/>
        <v>North</v>
      </c>
      <c r="P324" t="s">
        <v>173</v>
      </c>
      <c r="Q324" t="s">
        <v>174</v>
      </c>
      <c r="R324" t="s">
        <v>85</v>
      </c>
      <c r="S324" s="3" t="str">
        <f t="shared" si="85"/>
        <v>Technology</v>
      </c>
      <c r="T324" t="s">
        <v>222</v>
      </c>
      <c r="U324" t="s">
        <v>1642</v>
      </c>
      <c r="V324" t="s">
        <v>32</v>
      </c>
      <c r="W324" s="3" t="str">
        <f t="shared" si="86"/>
        <v>Second Class</v>
      </c>
      <c r="X324">
        <v>6</v>
      </c>
      <c r="Y324">
        <v>1369.48</v>
      </c>
      <c r="Z324">
        <v>0.15</v>
      </c>
      <c r="AA324">
        <f t="shared" si="90"/>
        <v>0.15</v>
      </c>
      <c r="AB324">
        <f t="shared" si="91"/>
        <v>6984.3480000000009</v>
      </c>
      <c r="AC324">
        <v>6984.35</v>
      </c>
      <c r="AD324">
        <v>4023.63</v>
      </c>
      <c r="AE324">
        <v>2960.72</v>
      </c>
      <c r="AF324" t="s">
        <v>33</v>
      </c>
      <c r="AG324" t="s">
        <v>34</v>
      </c>
      <c r="AH324" t="str">
        <f t="shared" si="87"/>
        <v>Completed</v>
      </c>
      <c r="AI324" t="str">
        <f t="shared" si="88"/>
        <v>Valid</v>
      </c>
      <c r="AJ324">
        <f t="shared" si="89"/>
        <v>2960.7200000000003</v>
      </c>
      <c r="AK324" s="12">
        <f t="shared" si="92"/>
        <v>0.42390785797042185</v>
      </c>
      <c r="AL324">
        <f t="shared" si="93"/>
        <v>11</v>
      </c>
      <c r="AM324">
        <f t="shared" si="94"/>
        <v>2024</v>
      </c>
      <c r="AN324" t="str">
        <f t="shared" si="95"/>
        <v>Clean</v>
      </c>
    </row>
    <row r="325" spans="1:40">
      <c r="A325" t="s">
        <v>1643</v>
      </c>
      <c r="B325" s="3" t="s">
        <v>1644</v>
      </c>
      <c r="C325" s="10">
        <v>45347</v>
      </c>
      <c r="D325" s="3" t="s">
        <v>1645</v>
      </c>
      <c r="E325" s="10">
        <v>45351</v>
      </c>
      <c r="F325" s="6" t="str">
        <f t="shared" si="80"/>
        <v>Valid</v>
      </c>
      <c r="G325" s="8">
        <f t="shared" si="81"/>
        <v>4</v>
      </c>
      <c r="H325" s="8" t="str">
        <f t="shared" si="82"/>
        <v>Valid</v>
      </c>
      <c r="I325" t="s">
        <v>1646</v>
      </c>
      <c r="J325" t="s">
        <v>52</v>
      </c>
      <c r="K325" t="s">
        <v>52</v>
      </c>
      <c r="L325" t="s">
        <v>40</v>
      </c>
      <c r="M325" s="3" t="str">
        <f t="shared" si="83"/>
        <v>Small Business</v>
      </c>
      <c r="N325" t="s">
        <v>72</v>
      </c>
      <c r="O325" s="3" t="str">
        <f t="shared" si="84"/>
        <v>West</v>
      </c>
      <c r="P325" t="s">
        <v>248</v>
      </c>
      <c r="Q325" t="s">
        <v>249</v>
      </c>
      <c r="R325" t="s">
        <v>44</v>
      </c>
      <c r="S325" s="3" t="str">
        <f t="shared" si="85"/>
        <v>Furniture</v>
      </c>
      <c r="T325" t="s">
        <v>64</v>
      </c>
      <c r="U325" t="s">
        <v>192</v>
      </c>
      <c r="V325" t="s">
        <v>66</v>
      </c>
      <c r="W325" s="3" t="str">
        <f t="shared" si="86"/>
        <v>Standard Class</v>
      </c>
      <c r="X325">
        <v>9</v>
      </c>
      <c r="Y325">
        <v>1331.46</v>
      </c>
      <c r="Z325">
        <v>0.15</v>
      </c>
      <c r="AA325">
        <f t="shared" si="90"/>
        <v>0.15</v>
      </c>
      <c r="AB325">
        <f t="shared" si="91"/>
        <v>10185.669</v>
      </c>
      <c r="AC325">
        <v>10185.67</v>
      </c>
      <c r="AD325">
        <v>6479.31</v>
      </c>
      <c r="AE325">
        <v>3706.36</v>
      </c>
      <c r="AF325" t="s">
        <v>33</v>
      </c>
      <c r="AG325" t="s">
        <v>34</v>
      </c>
      <c r="AH325" t="str">
        <f t="shared" si="87"/>
        <v>Completed</v>
      </c>
      <c r="AI325" t="str">
        <f t="shared" si="88"/>
        <v>Valid</v>
      </c>
      <c r="AJ325">
        <f t="shared" si="89"/>
        <v>3706.3599999999997</v>
      </c>
      <c r="AK325" s="12">
        <f t="shared" si="92"/>
        <v>0.36387987868052651</v>
      </c>
      <c r="AL325">
        <f t="shared" si="93"/>
        <v>2</v>
      </c>
      <c r="AM325">
        <f t="shared" si="94"/>
        <v>2024</v>
      </c>
      <c r="AN325" t="str">
        <f t="shared" si="95"/>
        <v>Clean</v>
      </c>
    </row>
    <row r="326" spans="1:40">
      <c r="A326" t="s">
        <v>1647</v>
      </c>
      <c r="B326" s="3" t="s">
        <v>1648</v>
      </c>
      <c r="C326" s="10">
        <v>45869</v>
      </c>
      <c r="D326" s="3" t="s">
        <v>942</v>
      </c>
      <c r="E326" s="10">
        <v>45871</v>
      </c>
      <c r="F326" s="6" t="str">
        <f t="shared" si="80"/>
        <v>Valid</v>
      </c>
      <c r="G326" s="8">
        <f t="shared" si="81"/>
        <v>2</v>
      </c>
      <c r="H326" s="8" t="str">
        <f t="shared" si="82"/>
        <v>Valid</v>
      </c>
      <c r="I326" t="s">
        <v>1649</v>
      </c>
      <c r="J326" t="s">
        <v>179</v>
      </c>
      <c r="K326" t="s">
        <v>179</v>
      </c>
      <c r="L326" t="s">
        <v>114</v>
      </c>
      <c r="M326" s="3" t="str">
        <f t="shared" si="83"/>
        <v>Home Office</v>
      </c>
      <c r="N326" t="s">
        <v>61</v>
      </c>
      <c r="O326" s="3" t="str">
        <f t="shared" si="84"/>
        <v>South</v>
      </c>
      <c r="P326" t="s">
        <v>99</v>
      </c>
      <c r="Q326" t="s">
        <v>100</v>
      </c>
      <c r="R326" t="s">
        <v>29</v>
      </c>
      <c r="S326" s="3" t="str">
        <f t="shared" si="85"/>
        <v>Office Supplies</v>
      </c>
      <c r="T326" t="s">
        <v>108</v>
      </c>
      <c r="U326" t="s">
        <v>1650</v>
      </c>
      <c r="V326" t="s">
        <v>47</v>
      </c>
      <c r="W326" s="3" t="str">
        <f t="shared" si="86"/>
        <v>Same Day</v>
      </c>
      <c r="X326">
        <v>1</v>
      </c>
      <c r="Y326">
        <v>1947.88</v>
      </c>
      <c r="Z326">
        <v>0.15</v>
      </c>
      <c r="AA326">
        <f t="shared" si="90"/>
        <v>0.15</v>
      </c>
      <c r="AB326">
        <f t="shared" si="91"/>
        <v>1655.6980000000001</v>
      </c>
      <c r="AC326">
        <v>1655.7</v>
      </c>
      <c r="AD326">
        <v>1354.8</v>
      </c>
      <c r="AE326">
        <v>300.89999999999998</v>
      </c>
      <c r="AF326" t="s">
        <v>33</v>
      </c>
      <c r="AG326" t="s">
        <v>124</v>
      </c>
      <c r="AH326" t="str">
        <f t="shared" si="87"/>
        <v>Returned</v>
      </c>
      <c r="AI326" t="str">
        <f t="shared" si="88"/>
        <v>Valid</v>
      </c>
      <c r="AJ326">
        <f t="shared" si="89"/>
        <v>300.90000000000009</v>
      </c>
      <c r="AK326" s="12">
        <f t="shared" si="92"/>
        <v>0.18173604123457301</v>
      </c>
      <c r="AL326">
        <f t="shared" si="93"/>
        <v>7</v>
      </c>
      <c r="AM326">
        <f t="shared" si="94"/>
        <v>2025</v>
      </c>
      <c r="AN326" t="str">
        <f t="shared" si="95"/>
        <v>Clean</v>
      </c>
    </row>
    <row r="327" spans="1:40">
      <c r="A327" t="s">
        <v>1651</v>
      </c>
      <c r="B327" s="3" t="s">
        <v>1652</v>
      </c>
      <c r="C327" s="10">
        <v>45916</v>
      </c>
      <c r="D327" s="3" t="s">
        <v>1653</v>
      </c>
      <c r="E327" s="10">
        <v>45922</v>
      </c>
      <c r="F327" s="6" t="str">
        <f t="shared" si="80"/>
        <v>Valid</v>
      </c>
      <c r="G327" s="8">
        <f t="shared" si="81"/>
        <v>6</v>
      </c>
      <c r="H327" s="8" t="str">
        <f t="shared" si="82"/>
        <v>Valid</v>
      </c>
      <c r="I327" t="s">
        <v>1654</v>
      </c>
      <c r="J327" t="s">
        <v>167</v>
      </c>
      <c r="K327" t="s">
        <v>167</v>
      </c>
      <c r="L327" t="s">
        <v>114</v>
      </c>
      <c r="M327" s="3" t="str">
        <f t="shared" si="83"/>
        <v>Home Office</v>
      </c>
      <c r="N327" t="s">
        <v>41</v>
      </c>
      <c r="O327" s="3" t="str">
        <f t="shared" si="84"/>
        <v>East</v>
      </c>
      <c r="P327" t="s">
        <v>120</v>
      </c>
      <c r="Q327" t="s">
        <v>121</v>
      </c>
      <c r="R327" t="s">
        <v>85</v>
      </c>
      <c r="S327" s="3" t="str">
        <f t="shared" si="85"/>
        <v>Technology</v>
      </c>
      <c r="T327" t="s">
        <v>93</v>
      </c>
      <c r="U327" t="s">
        <v>1655</v>
      </c>
      <c r="V327" t="s">
        <v>32</v>
      </c>
      <c r="W327" s="3" t="str">
        <f t="shared" si="86"/>
        <v>Second Class</v>
      </c>
      <c r="X327">
        <v>5</v>
      </c>
      <c r="Y327">
        <v>3671.2</v>
      </c>
      <c r="Z327">
        <v>0.15</v>
      </c>
      <c r="AA327">
        <f t="shared" si="90"/>
        <v>0.15</v>
      </c>
      <c r="AB327">
        <f t="shared" si="91"/>
        <v>15602.6</v>
      </c>
      <c r="AC327">
        <v>15602.6</v>
      </c>
      <c r="AD327">
        <v>11908.52</v>
      </c>
      <c r="AE327">
        <v>3694.08</v>
      </c>
      <c r="AF327" t="s">
        <v>33</v>
      </c>
      <c r="AG327" t="s">
        <v>34</v>
      </c>
      <c r="AH327" t="str">
        <f t="shared" si="87"/>
        <v>Completed</v>
      </c>
      <c r="AI327" t="str">
        <f t="shared" si="88"/>
        <v>Valid</v>
      </c>
      <c r="AJ327">
        <f t="shared" si="89"/>
        <v>3694.08</v>
      </c>
      <c r="AK327" s="12">
        <f t="shared" si="92"/>
        <v>0.236760539910015</v>
      </c>
      <c r="AL327">
        <f t="shared" si="93"/>
        <v>9</v>
      </c>
      <c r="AM327">
        <f t="shared" si="94"/>
        <v>2025</v>
      </c>
      <c r="AN327" t="str">
        <f t="shared" si="95"/>
        <v>Clean</v>
      </c>
    </row>
    <row r="328" spans="1:40">
      <c r="A328" t="s">
        <v>1656</v>
      </c>
      <c r="B328" s="3" t="s">
        <v>1657</v>
      </c>
      <c r="C328" s="10">
        <v>45860</v>
      </c>
      <c r="D328" s="3" t="s">
        <v>1511</v>
      </c>
      <c r="E328" s="10">
        <v>45860</v>
      </c>
      <c r="F328" s="6" t="str">
        <f t="shared" si="80"/>
        <v>Valid</v>
      </c>
      <c r="G328" s="8">
        <f t="shared" si="81"/>
        <v>0</v>
      </c>
      <c r="H328" s="8" t="str">
        <f t="shared" si="82"/>
        <v>Valid</v>
      </c>
      <c r="I328" t="s">
        <v>1658</v>
      </c>
      <c r="J328" t="s">
        <v>167</v>
      </c>
      <c r="K328" t="s">
        <v>167</v>
      </c>
      <c r="L328" t="s">
        <v>107</v>
      </c>
      <c r="M328" s="3" t="str">
        <f t="shared" si="83"/>
        <v>Corporate</v>
      </c>
      <c r="N328" t="s">
        <v>41</v>
      </c>
      <c r="O328" s="3" t="str">
        <f t="shared" si="84"/>
        <v>East</v>
      </c>
      <c r="P328" t="s">
        <v>310</v>
      </c>
      <c r="Q328" t="s">
        <v>311</v>
      </c>
      <c r="R328" t="s">
        <v>44</v>
      </c>
      <c r="S328" s="3" t="str">
        <f t="shared" si="85"/>
        <v>Furniture</v>
      </c>
      <c r="T328" t="s">
        <v>64</v>
      </c>
      <c r="U328" t="s">
        <v>1659</v>
      </c>
      <c r="V328" t="s">
        <v>47</v>
      </c>
      <c r="W328" s="3" t="str">
        <f t="shared" si="86"/>
        <v>Same Day</v>
      </c>
      <c r="X328">
        <v>5</v>
      </c>
      <c r="Y328">
        <v>3187.05</v>
      </c>
      <c r="Z328">
        <v>0.05</v>
      </c>
      <c r="AA328">
        <f t="shared" si="90"/>
        <v>0.05</v>
      </c>
      <c r="AB328">
        <f t="shared" si="91"/>
        <v>15138.487499999999</v>
      </c>
      <c r="AC328">
        <v>15138.49</v>
      </c>
      <c r="AD328">
        <v>11235.72</v>
      </c>
      <c r="AE328">
        <v>3902.77</v>
      </c>
      <c r="AF328" t="s">
        <v>33</v>
      </c>
      <c r="AG328" t="s">
        <v>34</v>
      </c>
      <c r="AH328" t="str">
        <f t="shared" si="87"/>
        <v>Completed</v>
      </c>
      <c r="AI328" t="str">
        <f t="shared" si="88"/>
        <v>Valid</v>
      </c>
      <c r="AJ328">
        <f t="shared" si="89"/>
        <v>3902.7700000000004</v>
      </c>
      <c r="AK328" s="12">
        <f t="shared" si="92"/>
        <v>0.2578044867428137</v>
      </c>
      <c r="AL328">
        <f t="shared" si="93"/>
        <v>7</v>
      </c>
      <c r="AM328">
        <f t="shared" si="94"/>
        <v>2025</v>
      </c>
      <c r="AN328" t="str">
        <f t="shared" si="95"/>
        <v>Clean</v>
      </c>
    </row>
    <row r="329" spans="1:40">
      <c r="A329" t="s">
        <v>1660</v>
      </c>
      <c r="B329" s="3" t="s">
        <v>1661</v>
      </c>
      <c r="C329" s="10">
        <v>45497</v>
      </c>
      <c r="D329" s="3" t="s">
        <v>263</v>
      </c>
      <c r="E329" s="10">
        <v>45500</v>
      </c>
      <c r="F329" s="6" t="str">
        <f t="shared" si="80"/>
        <v>Valid</v>
      </c>
      <c r="G329" s="8">
        <f t="shared" si="81"/>
        <v>3</v>
      </c>
      <c r="H329" s="8" t="str">
        <f t="shared" si="82"/>
        <v>Valid</v>
      </c>
      <c r="I329" t="s">
        <v>1662</v>
      </c>
      <c r="J329" t="s">
        <v>52</v>
      </c>
      <c r="K329" t="s">
        <v>52</v>
      </c>
      <c r="L329" t="s">
        <v>25</v>
      </c>
      <c r="M329" s="3" t="str">
        <f t="shared" si="83"/>
        <v>Consumer</v>
      </c>
      <c r="N329" t="s">
        <v>72</v>
      </c>
      <c r="O329" s="3" t="str">
        <f t="shared" si="84"/>
        <v>West</v>
      </c>
      <c r="P329" t="s">
        <v>27</v>
      </c>
      <c r="Q329" t="s">
        <v>134</v>
      </c>
      <c r="R329" t="s">
        <v>85</v>
      </c>
      <c r="S329" s="3" t="str">
        <f t="shared" si="85"/>
        <v>Technology</v>
      </c>
      <c r="T329" t="s">
        <v>86</v>
      </c>
      <c r="U329" t="s">
        <v>1663</v>
      </c>
      <c r="V329" t="s">
        <v>32</v>
      </c>
      <c r="W329" s="3" t="str">
        <f t="shared" si="86"/>
        <v>Second Class</v>
      </c>
      <c r="X329">
        <v>3</v>
      </c>
      <c r="Y329">
        <v>1834.55</v>
      </c>
      <c r="Z329">
        <v>0.2</v>
      </c>
      <c r="AA329">
        <f t="shared" si="90"/>
        <v>0.2</v>
      </c>
      <c r="AB329">
        <f t="shared" si="91"/>
        <v>4402.92</v>
      </c>
      <c r="AC329">
        <v>4402.92</v>
      </c>
      <c r="AD329">
        <v>2993.94</v>
      </c>
      <c r="AE329">
        <v>1408.98</v>
      </c>
      <c r="AF329" t="s">
        <v>136</v>
      </c>
      <c r="AG329" t="s">
        <v>77</v>
      </c>
      <c r="AH329" t="str">
        <f t="shared" si="87"/>
        <v>Cancelled</v>
      </c>
      <c r="AI329" t="str">
        <f t="shared" si="88"/>
        <v>Valid</v>
      </c>
      <c r="AJ329">
        <f t="shared" si="89"/>
        <v>1408.98</v>
      </c>
      <c r="AK329" s="12">
        <f t="shared" si="92"/>
        <v>0.32001035676323897</v>
      </c>
      <c r="AL329">
        <f t="shared" si="93"/>
        <v>7</v>
      </c>
      <c r="AM329">
        <f t="shared" si="94"/>
        <v>2024</v>
      </c>
      <c r="AN329" t="str">
        <f t="shared" si="95"/>
        <v>Clean</v>
      </c>
    </row>
    <row r="330" spans="1:40">
      <c r="A330" t="s">
        <v>1664</v>
      </c>
      <c r="B330" s="3" t="s">
        <v>1665</v>
      </c>
      <c r="C330" s="10">
        <v>45806</v>
      </c>
      <c r="D330" s="3" t="s">
        <v>1431</v>
      </c>
      <c r="E330" s="10">
        <v>45812</v>
      </c>
      <c r="F330" s="6" t="str">
        <f t="shared" si="80"/>
        <v>Valid</v>
      </c>
      <c r="G330" s="8">
        <f t="shared" si="81"/>
        <v>6</v>
      </c>
      <c r="H330" s="8" t="str">
        <f t="shared" si="82"/>
        <v>Valid</v>
      </c>
      <c r="I330" t="s">
        <v>1666</v>
      </c>
      <c r="J330" t="s">
        <v>209</v>
      </c>
      <c r="K330" t="s">
        <v>209</v>
      </c>
      <c r="L330" t="s">
        <v>25</v>
      </c>
      <c r="M330" s="3" t="str">
        <f t="shared" si="83"/>
        <v>Consumer</v>
      </c>
      <c r="N330" t="s">
        <v>72</v>
      </c>
      <c r="O330" s="3" t="str">
        <f t="shared" si="84"/>
        <v>West</v>
      </c>
      <c r="P330" t="s">
        <v>73</v>
      </c>
      <c r="Q330" t="s">
        <v>74</v>
      </c>
      <c r="R330" t="s">
        <v>29</v>
      </c>
      <c r="S330" s="3" t="str">
        <f t="shared" si="85"/>
        <v>Office Supplies</v>
      </c>
      <c r="T330" t="s">
        <v>155</v>
      </c>
      <c r="U330" t="s">
        <v>1667</v>
      </c>
      <c r="V330" t="s">
        <v>55</v>
      </c>
      <c r="W330" s="3" t="str">
        <f t="shared" si="86"/>
        <v>First Class</v>
      </c>
      <c r="X330">
        <v>6</v>
      </c>
      <c r="Y330">
        <v>3100.68</v>
      </c>
      <c r="Z330">
        <v>0</v>
      </c>
      <c r="AA330">
        <f t="shared" si="90"/>
        <v>0</v>
      </c>
      <c r="AB330">
        <f t="shared" si="91"/>
        <v>18604.079999999998</v>
      </c>
      <c r="AC330">
        <v>18604.080000000002</v>
      </c>
      <c r="AD330">
        <v>15834.3</v>
      </c>
      <c r="AE330">
        <v>2769.78</v>
      </c>
      <c r="AF330" t="s">
        <v>33</v>
      </c>
      <c r="AG330" t="s">
        <v>34</v>
      </c>
      <c r="AH330" t="str">
        <f t="shared" si="87"/>
        <v>Completed</v>
      </c>
      <c r="AI330" t="str">
        <f t="shared" si="88"/>
        <v>Valid</v>
      </c>
      <c r="AJ330">
        <f t="shared" si="89"/>
        <v>2769.7800000000025</v>
      </c>
      <c r="AK330" s="12">
        <f t="shared" si="92"/>
        <v>0.1488802456235408</v>
      </c>
      <c r="AL330">
        <f t="shared" si="93"/>
        <v>5</v>
      </c>
      <c r="AM330">
        <f t="shared" si="94"/>
        <v>2025</v>
      </c>
      <c r="AN330" t="str">
        <f t="shared" si="95"/>
        <v>Clean</v>
      </c>
    </row>
    <row r="331" spans="1:40">
      <c r="A331" t="s">
        <v>1668</v>
      </c>
      <c r="B331" s="3" t="s">
        <v>1669</v>
      </c>
      <c r="C331" s="10">
        <v>45789</v>
      </c>
      <c r="D331" s="3" t="s">
        <v>1670</v>
      </c>
      <c r="E331" s="10">
        <v>45795</v>
      </c>
      <c r="F331" s="6" t="str">
        <f t="shared" si="80"/>
        <v>Valid</v>
      </c>
      <c r="G331" s="8">
        <f t="shared" si="81"/>
        <v>6</v>
      </c>
      <c r="H331" s="8" t="str">
        <f t="shared" si="82"/>
        <v>Valid</v>
      </c>
      <c r="I331" t="s">
        <v>1671</v>
      </c>
      <c r="J331" t="s">
        <v>92</v>
      </c>
      <c r="K331" t="s">
        <v>92</v>
      </c>
      <c r="L331" t="s">
        <v>40</v>
      </c>
      <c r="M331" s="3" t="str">
        <f t="shared" si="83"/>
        <v>Small Business</v>
      </c>
      <c r="N331" t="s">
        <v>72</v>
      </c>
      <c r="O331" s="3" t="str">
        <f t="shared" si="84"/>
        <v>West</v>
      </c>
      <c r="P331" t="s">
        <v>73</v>
      </c>
      <c r="Q331" t="s">
        <v>74</v>
      </c>
      <c r="R331" t="s">
        <v>29</v>
      </c>
      <c r="S331" s="3" t="str">
        <f t="shared" si="85"/>
        <v>Office Supplies</v>
      </c>
      <c r="T331" t="s">
        <v>155</v>
      </c>
      <c r="U331" t="s">
        <v>1672</v>
      </c>
      <c r="V331" t="s">
        <v>66</v>
      </c>
      <c r="W331" s="3" t="str">
        <f t="shared" si="86"/>
        <v>Standard Class</v>
      </c>
      <c r="X331">
        <v>4</v>
      </c>
      <c r="Y331">
        <v>4053.03</v>
      </c>
      <c r="Z331">
        <v>0.05</v>
      </c>
      <c r="AA331">
        <f t="shared" si="90"/>
        <v>0.05</v>
      </c>
      <c r="AB331">
        <f t="shared" si="91"/>
        <v>15401.513999999999</v>
      </c>
      <c r="AC331">
        <v>15401.51</v>
      </c>
      <c r="AD331">
        <v>8650.42</v>
      </c>
      <c r="AE331">
        <v>6751.09</v>
      </c>
      <c r="AF331" t="s">
        <v>33</v>
      </c>
      <c r="AG331" t="s">
        <v>34</v>
      </c>
      <c r="AH331" t="str">
        <f t="shared" si="87"/>
        <v>Completed</v>
      </c>
      <c r="AI331" t="str">
        <f t="shared" si="88"/>
        <v>Valid</v>
      </c>
      <c r="AJ331">
        <f t="shared" si="89"/>
        <v>6751.09</v>
      </c>
      <c r="AK331" s="12">
        <f t="shared" si="92"/>
        <v>0.43833937364859066</v>
      </c>
      <c r="AL331">
        <f t="shared" si="93"/>
        <v>5</v>
      </c>
      <c r="AM331">
        <f t="shared" si="94"/>
        <v>2025</v>
      </c>
      <c r="AN331" t="str">
        <f t="shared" si="95"/>
        <v>Clean</v>
      </c>
    </row>
    <row r="332" spans="1:40">
      <c r="A332" t="s">
        <v>1673</v>
      </c>
      <c r="B332" s="3" t="s">
        <v>1127</v>
      </c>
      <c r="C332" s="10">
        <v>45428</v>
      </c>
      <c r="D332" s="3" t="s">
        <v>708</v>
      </c>
      <c r="E332" s="10">
        <v>45436</v>
      </c>
      <c r="F332" s="6" t="str">
        <f t="shared" si="80"/>
        <v>Valid</v>
      </c>
      <c r="G332" s="8">
        <f t="shared" si="81"/>
        <v>8</v>
      </c>
      <c r="H332" s="8" t="str">
        <f t="shared" si="82"/>
        <v>Valid</v>
      </c>
      <c r="I332" t="s">
        <v>1674</v>
      </c>
      <c r="J332" t="s">
        <v>60</v>
      </c>
      <c r="K332" t="s">
        <v>60</v>
      </c>
      <c r="L332" t="s">
        <v>114</v>
      </c>
      <c r="M332" s="3" t="str">
        <f t="shared" si="83"/>
        <v>Home Office</v>
      </c>
      <c r="N332" t="s">
        <v>26</v>
      </c>
      <c r="O332" s="3" t="str">
        <f t="shared" si="84"/>
        <v>North</v>
      </c>
      <c r="P332" t="s">
        <v>153</v>
      </c>
      <c r="Q332" t="s">
        <v>154</v>
      </c>
      <c r="R332" t="s">
        <v>85</v>
      </c>
      <c r="S332" s="3" t="str">
        <f t="shared" si="85"/>
        <v>Technology</v>
      </c>
      <c r="T332" t="s">
        <v>86</v>
      </c>
      <c r="U332" t="s">
        <v>1675</v>
      </c>
      <c r="V332" t="s">
        <v>47</v>
      </c>
      <c r="W332" s="3" t="str">
        <f t="shared" si="86"/>
        <v>Same Day</v>
      </c>
      <c r="X332">
        <v>1</v>
      </c>
      <c r="Y332">
        <v>783.09</v>
      </c>
      <c r="Z332">
        <v>0</v>
      </c>
      <c r="AA332">
        <f t="shared" si="90"/>
        <v>0</v>
      </c>
      <c r="AB332">
        <f t="shared" si="91"/>
        <v>783.09</v>
      </c>
      <c r="AC332">
        <v>783.09</v>
      </c>
      <c r="AD332">
        <v>503.89</v>
      </c>
      <c r="AE332">
        <v>279.2</v>
      </c>
      <c r="AF332" t="s">
        <v>199</v>
      </c>
      <c r="AG332" t="s">
        <v>77</v>
      </c>
      <c r="AH332" t="str">
        <f t="shared" si="87"/>
        <v>Cancelled</v>
      </c>
      <c r="AI332" t="str">
        <f t="shared" si="88"/>
        <v>Valid</v>
      </c>
      <c r="AJ332">
        <f t="shared" si="89"/>
        <v>279.20000000000005</v>
      </c>
      <c r="AK332" s="12">
        <f t="shared" si="92"/>
        <v>0.3565362857398256</v>
      </c>
      <c r="AL332">
        <f t="shared" si="93"/>
        <v>5</v>
      </c>
      <c r="AM332">
        <f t="shared" si="94"/>
        <v>2024</v>
      </c>
      <c r="AN332" t="str">
        <f t="shared" si="95"/>
        <v>Clean</v>
      </c>
    </row>
    <row r="333" spans="1:40">
      <c r="A333" t="s">
        <v>1676</v>
      </c>
      <c r="B333" s="3" t="s">
        <v>704</v>
      </c>
      <c r="C333" s="10">
        <v>45630</v>
      </c>
      <c r="D333" s="3" t="s">
        <v>1677</v>
      </c>
      <c r="E333" s="10">
        <v>45632</v>
      </c>
      <c r="F333" s="6" t="str">
        <f t="shared" si="80"/>
        <v>Valid</v>
      </c>
      <c r="G333" s="8">
        <f t="shared" si="81"/>
        <v>2</v>
      </c>
      <c r="H333" s="8" t="str">
        <f t="shared" si="82"/>
        <v>Valid</v>
      </c>
      <c r="I333" t="s">
        <v>1678</v>
      </c>
      <c r="J333" t="s">
        <v>167</v>
      </c>
      <c r="K333" t="s">
        <v>167</v>
      </c>
      <c r="L333" t="s">
        <v>114</v>
      </c>
      <c r="M333" s="3" t="str">
        <f t="shared" si="83"/>
        <v>Home Office</v>
      </c>
      <c r="N333" t="s">
        <v>41</v>
      </c>
      <c r="O333" s="3" t="str">
        <f t="shared" si="84"/>
        <v>East</v>
      </c>
      <c r="P333" t="s">
        <v>42</v>
      </c>
      <c r="Q333" t="s">
        <v>43</v>
      </c>
      <c r="R333" t="s">
        <v>29</v>
      </c>
      <c r="S333" s="3" t="str">
        <f t="shared" si="85"/>
        <v>Office Supplies</v>
      </c>
      <c r="T333" t="s">
        <v>197</v>
      </c>
      <c r="U333" t="s">
        <v>1679</v>
      </c>
      <c r="V333" t="s">
        <v>32</v>
      </c>
      <c r="W333" s="3" t="str">
        <f t="shared" si="86"/>
        <v>Second Class</v>
      </c>
      <c r="X333">
        <v>4</v>
      </c>
      <c r="Y333">
        <v>2685.66</v>
      </c>
      <c r="Z333">
        <v>0</v>
      </c>
      <c r="AA333">
        <f t="shared" si="90"/>
        <v>0</v>
      </c>
      <c r="AB333">
        <f t="shared" si="91"/>
        <v>10742.64</v>
      </c>
      <c r="AC333">
        <v>10742.64</v>
      </c>
      <c r="AD333">
        <v>6477.37</v>
      </c>
      <c r="AE333">
        <v>4265.2700000000004</v>
      </c>
      <c r="AF333" t="s">
        <v>33</v>
      </c>
      <c r="AG333" t="s">
        <v>124</v>
      </c>
      <c r="AH333" t="str">
        <f t="shared" si="87"/>
        <v>Returned</v>
      </c>
      <c r="AI333" t="str">
        <f t="shared" si="88"/>
        <v>Valid</v>
      </c>
      <c r="AJ333">
        <f t="shared" si="89"/>
        <v>4265.2699999999995</v>
      </c>
      <c r="AK333" s="12">
        <f t="shared" si="92"/>
        <v>0.39704113700170535</v>
      </c>
      <c r="AL333">
        <f t="shared" si="93"/>
        <v>12</v>
      </c>
      <c r="AM333">
        <f t="shared" si="94"/>
        <v>2024</v>
      </c>
      <c r="AN333" t="str">
        <f t="shared" si="95"/>
        <v>Clean</v>
      </c>
    </row>
    <row r="334" spans="1:40">
      <c r="A334" t="s">
        <v>1680</v>
      </c>
      <c r="B334" s="3" t="s">
        <v>1681</v>
      </c>
      <c r="C334" s="10">
        <v>45804</v>
      </c>
      <c r="D334" s="3" t="s">
        <v>1682</v>
      </c>
      <c r="E334" s="10">
        <v>45805</v>
      </c>
      <c r="F334" s="6" t="str">
        <f t="shared" si="80"/>
        <v>Valid</v>
      </c>
      <c r="G334" s="8">
        <f t="shared" si="81"/>
        <v>1</v>
      </c>
      <c r="H334" s="8" t="str">
        <f t="shared" si="82"/>
        <v>Valid</v>
      </c>
      <c r="I334" t="s">
        <v>1683</v>
      </c>
      <c r="J334" t="s">
        <v>161</v>
      </c>
      <c r="K334" t="s">
        <v>161</v>
      </c>
      <c r="L334" t="s">
        <v>25</v>
      </c>
      <c r="M334" s="3" t="str">
        <f t="shared" si="83"/>
        <v>Consumer</v>
      </c>
      <c r="N334" t="s">
        <v>61</v>
      </c>
      <c r="O334" s="3" t="str">
        <f t="shared" si="84"/>
        <v>South</v>
      </c>
      <c r="P334" t="s">
        <v>99</v>
      </c>
      <c r="Q334" t="s">
        <v>100</v>
      </c>
      <c r="R334" t="s">
        <v>85</v>
      </c>
      <c r="S334" s="3" t="str">
        <f t="shared" si="85"/>
        <v>Technology</v>
      </c>
      <c r="T334" t="s">
        <v>1684</v>
      </c>
      <c r="U334" t="s">
        <v>1685</v>
      </c>
      <c r="V334" t="s">
        <v>32</v>
      </c>
      <c r="W334" s="3" t="str">
        <f t="shared" si="86"/>
        <v>Second Class</v>
      </c>
      <c r="X334">
        <v>2</v>
      </c>
      <c r="Y334">
        <v>3911.96</v>
      </c>
      <c r="Z334">
        <v>0</v>
      </c>
      <c r="AA334">
        <f t="shared" si="90"/>
        <v>0</v>
      </c>
      <c r="AB334">
        <f t="shared" si="91"/>
        <v>7823.92</v>
      </c>
      <c r="AC334">
        <v>7823.92</v>
      </c>
      <c r="AD334">
        <v>6034.63</v>
      </c>
      <c r="AE334">
        <v>1789.29</v>
      </c>
      <c r="AF334" t="s">
        <v>33</v>
      </c>
      <c r="AG334" t="s">
        <v>34</v>
      </c>
      <c r="AH334" t="str">
        <f t="shared" si="87"/>
        <v>Completed</v>
      </c>
      <c r="AI334" t="str">
        <f t="shared" si="88"/>
        <v>Valid</v>
      </c>
      <c r="AJ334">
        <f t="shared" si="89"/>
        <v>1789.29</v>
      </c>
      <c r="AK334" s="12">
        <f t="shared" si="92"/>
        <v>0.22869482305545047</v>
      </c>
      <c r="AL334">
        <f t="shared" si="93"/>
        <v>5</v>
      </c>
      <c r="AM334">
        <f t="shared" si="94"/>
        <v>2025</v>
      </c>
      <c r="AN334" t="str">
        <f t="shared" si="95"/>
        <v>Clean</v>
      </c>
    </row>
    <row r="335" spans="1:40">
      <c r="A335" t="s">
        <v>1686</v>
      </c>
      <c r="B335" s="3" t="s">
        <v>1687</v>
      </c>
      <c r="C335" s="10">
        <v>45830</v>
      </c>
      <c r="D335" s="3" t="s">
        <v>1688</v>
      </c>
      <c r="E335" s="10">
        <v>45835</v>
      </c>
      <c r="F335" s="6" t="str">
        <f t="shared" si="80"/>
        <v>Valid</v>
      </c>
      <c r="G335" s="8">
        <f t="shared" si="81"/>
        <v>5</v>
      </c>
      <c r="H335" s="8" t="str">
        <f t="shared" si="82"/>
        <v>Valid</v>
      </c>
      <c r="I335" t="s">
        <v>1689</v>
      </c>
      <c r="J335" t="s">
        <v>179</v>
      </c>
      <c r="K335" t="s">
        <v>179</v>
      </c>
      <c r="L335" t="s">
        <v>114</v>
      </c>
      <c r="M335" s="3" t="str">
        <f t="shared" si="83"/>
        <v>Home Office</v>
      </c>
      <c r="O335" s="3" t="str">
        <f t="shared" si="84"/>
        <v>Unknown</v>
      </c>
      <c r="P335" t="s">
        <v>505</v>
      </c>
      <c r="Q335" t="s">
        <v>506</v>
      </c>
      <c r="R335" t="s">
        <v>85</v>
      </c>
      <c r="S335" s="3" t="str">
        <f t="shared" si="85"/>
        <v>Technology</v>
      </c>
      <c r="T335" t="s">
        <v>222</v>
      </c>
      <c r="U335" t="s">
        <v>1690</v>
      </c>
      <c r="V335" t="s">
        <v>55</v>
      </c>
      <c r="W335" s="3" t="str">
        <f t="shared" si="86"/>
        <v>First Class</v>
      </c>
      <c r="X335">
        <v>2</v>
      </c>
      <c r="Y335">
        <v>1468.05</v>
      </c>
      <c r="Z335">
        <v>0</v>
      </c>
      <c r="AA335">
        <f t="shared" si="90"/>
        <v>0</v>
      </c>
      <c r="AB335">
        <f t="shared" si="91"/>
        <v>2936.1</v>
      </c>
      <c r="AC335">
        <v>2936.1</v>
      </c>
      <c r="AD335">
        <v>1923.1</v>
      </c>
      <c r="AE335">
        <v>1013</v>
      </c>
      <c r="AF335" t="s">
        <v>33</v>
      </c>
      <c r="AG335" t="s">
        <v>34</v>
      </c>
      <c r="AH335" t="str">
        <f t="shared" si="87"/>
        <v>Completed</v>
      </c>
      <c r="AI335" t="str">
        <f t="shared" si="88"/>
        <v>Valid</v>
      </c>
      <c r="AJ335">
        <f t="shared" si="89"/>
        <v>1013</v>
      </c>
      <c r="AK335" s="12">
        <f t="shared" si="92"/>
        <v>0.34501549674738602</v>
      </c>
      <c r="AL335">
        <f t="shared" si="93"/>
        <v>6</v>
      </c>
      <c r="AM335">
        <f t="shared" si="94"/>
        <v>2025</v>
      </c>
      <c r="AN335" t="str">
        <f t="shared" si="95"/>
        <v>Clean</v>
      </c>
    </row>
    <row r="336" spans="1:40">
      <c r="A336" t="s">
        <v>1691</v>
      </c>
      <c r="B336" s="3" t="s">
        <v>1692</v>
      </c>
      <c r="C336" s="10">
        <v>45547</v>
      </c>
      <c r="D336" s="3" t="s">
        <v>1693</v>
      </c>
      <c r="E336" s="10">
        <v>45552</v>
      </c>
      <c r="F336" s="6" t="str">
        <f t="shared" si="80"/>
        <v>Valid</v>
      </c>
      <c r="G336" s="8">
        <f t="shared" si="81"/>
        <v>5</v>
      </c>
      <c r="H336" s="8" t="str">
        <f t="shared" si="82"/>
        <v>Valid</v>
      </c>
      <c r="I336" t="s">
        <v>1694</v>
      </c>
      <c r="J336" t="s">
        <v>71</v>
      </c>
      <c r="K336" t="s">
        <v>71</v>
      </c>
      <c r="L336" t="s">
        <v>25</v>
      </c>
      <c r="M336" s="3" t="str">
        <f t="shared" si="83"/>
        <v>Consumer</v>
      </c>
      <c r="N336" t="s">
        <v>41</v>
      </c>
      <c r="O336" s="3" t="str">
        <f t="shared" si="84"/>
        <v>East</v>
      </c>
      <c r="P336" t="s">
        <v>310</v>
      </c>
      <c r="Q336" t="s">
        <v>311</v>
      </c>
      <c r="R336" t="s">
        <v>29</v>
      </c>
      <c r="S336" s="3" t="str">
        <f t="shared" si="85"/>
        <v>Office Supplies</v>
      </c>
      <c r="T336" t="s">
        <v>155</v>
      </c>
      <c r="U336" t="s">
        <v>1695</v>
      </c>
      <c r="V336" t="s">
        <v>55</v>
      </c>
      <c r="W336" s="3" t="str">
        <f t="shared" si="86"/>
        <v>First Class</v>
      </c>
      <c r="X336">
        <v>9</v>
      </c>
      <c r="Y336">
        <v>1921.47</v>
      </c>
      <c r="Z336">
        <v>0.25</v>
      </c>
      <c r="AA336">
        <f t="shared" si="90"/>
        <v>0.25</v>
      </c>
      <c r="AB336">
        <f t="shared" si="91"/>
        <v>12969.922500000001</v>
      </c>
      <c r="AC336">
        <v>12969.92</v>
      </c>
      <c r="AD336">
        <v>9398.4599999999991</v>
      </c>
      <c r="AE336">
        <v>3571.46</v>
      </c>
      <c r="AF336" t="s">
        <v>33</v>
      </c>
      <c r="AG336" t="s">
        <v>34</v>
      </c>
      <c r="AH336" t="str">
        <f t="shared" si="87"/>
        <v>Completed</v>
      </c>
      <c r="AI336" t="str">
        <f t="shared" si="88"/>
        <v>Valid</v>
      </c>
      <c r="AJ336">
        <f t="shared" si="89"/>
        <v>3571.4600000000009</v>
      </c>
      <c r="AK336" s="12">
        <f t="shared" si="92"/>
        <v>0.27536479111575268</v>
      </c>
      <c r="AL336">
        <f t="shared" si="93"/>
        <v>9</v>
      </c>
      <c r="AM336">
        <f t="shared" si="94"/>
        <v>2024</v>
      </c>
      <c r="AN336" t="str">
        <f t="shared" si="95"/>
        <v>Clean</v>
      </c>
    </row>
    <row r="337" spans="1:40">
      <c r="A337" t="s">
        <v>1696</v>
      </c>
      <c r="B337" s="3" t="s">
        <v>1697</v>
      </c>
      <c r="C337" s="10">
        <v>45824</v>
      </c>
      <c r="D337" s="3" t="s">
        <v>1698</v>
      </c>
      <c r="E337" s="10">
        <v>45826</v>
      </c>
      <c r="F337" s="6" t="str">
        <f t="shared" si="80"/>
        <v>Valid</v>
      </c>
      <c r="G337" s="8">
        <f t="shared" si="81"/>
        <v>2</v>
      </c>
      <c r="H337" s="8" t="str">
        <f t="shared" si="82"/>
        <v>Valid</v>
      </c>
      <c r="I337" t="s">
        <v>1699</v>
      </c>
      <c r="J337" t="s">
        <v>147</v>
      </c>
      <c r="K337" t="s">
        <v>147</v>
      </c>
      <c r="L337" t="s">
        <v>114</v>
      </c>
      <c r="M337" s="3" t="str">
        <f t="shared" si="83"/>
        <v>Home Office</v>
      </c>
      <c r="N337" t="s">
        <v>72</v>
      </c>
      <c r="O337" s="3" t="str">
        <f t="shared" si="84"/>
        <v>West</v>
      </c>
      <c r="P337" t="s">
        <v>83</v>
      </c>
      <c r="Q337" t="s">
        <v>84</v>
      </c>
      <c r="R337" t="s">
        <v>29</v>
      </c>
      <c r="S337" s="3" t="str">
        <f t="shared" si="85"/>
        <v>Office Supplies</v>
      </c>
      <c r="T337" t="s">
        <v>30</v>
      </c>
      <c r="U337" t="s">
        <v>1700</v>
      </c>
      <c r="V337" t="s">
        <v>55</v>
      </c>
      <c r="W337" s="3" t="str">
        <f t="shared" si="86"/>
        <v>First Class</v>
      </c>
      <c r="X337">
        <v>3</v>
      </c>
      <c r="Y337">
        <v>4289.37</v>
      </c>
      <c r="Z337">
        <v>0.1</v>
      </c>
      <c r="AA337">
        <f t="shared" si="90"/>
        <v>0.1</v>
      </c>
      <c r="AB337">
        <f t="shared" si="91"/>
        <v>11581.299000000001</v>
      </c>
      <c r="AC337">
        <v>11581.3</v>
      </c>
      <c r="AD337">
        <v>6829.43</v>
      </c>
      <c r="AE337">
        <v>4751.87</v>
      </c>
      <c r="AF337" t="s">
        <v>33</v>
      </c>
      <c r="AG337" t="s">
        <v>34</v>
      </c>
      <c r="AH337" t="str">
        <f t="shared" si="87"/>
        <v>Completed</v>
      </c>
      <c r="AI337" t="str">
        <f t="shared" si="88"/>
        <v>Valid</v>
      </c>
      <c r="AJ337">
        <f t="shared" si="89"/>
        <v>4751.869999999999</v>
      </c>
      <c r="AK337" s="12">
        <f t="shared" si="92"/>
        <v>0.41030544155711707</v>
      </c>
      <c r="AL337">
        <f t="shared" si="93"/>
        <v>6</v>
      </c>
      <c r="AM337">
        <f t="shared" si="94"/>
        <v>2025</v>
      </c>
      <c r="AN337" t="str">
        <f t="shared" si="95"/>
        <v>Clean</v>
      </c>
    </row>
    <row r="338" spans="1:40">
      <c r="A338" t="s">
        <v>1701</v>
      </c>
      <c r="B338" s="3" t="s">
        <v>303</v>
      </c>
      <c r="C338" s="10">
        <v>45368</v>
      </c>
      <c r="D338" s="3" t="s">
        <v>1702</v>
      </c>
      <c r="E338" s="10">
        <v>45372</v>
      </c>
      <c r="F338" s="6" t="str">
        <f t="shared" si="80"/>
        <v>Valid</v>
      </c>
      <c r="G338" s="8">
        <f t="shared" si="81"/>
        <v>4</v>
      </c>
      <c r="H338" s="8" t="str">
        <f t="shared" si="82"/>
        <v>Valid</v>
      </c>
      <c r="I338" t="s">
        <v>1320</v>
      </c>
      <c r="J338" t="s">
        <v>161</v>
      </c>
      <c r="K338" t="s">
        <v>161</v>
      </c>
      <c r="L338" t="s">
        <v>25</v>
      </c>
      <c r="M338" s="3" t="str">
        <f t="shared" si="83"/>
        <v>Consumer</v>
      </c>
      <c r="N338" t="s">
        <v>26</v>
      </c>
      <c r="O338" s="3" t="str">
        <f t="shared" si="84"/>
        <v>North</v>
      </c>
      <c r="P338" t="s">
        <v>27</v>
      </c>
      <c r="Q338" t="s">
        <v>28</v>
      </c>
      <c r="R338" t="s">
        <v>85</v>
      </c>
      <c r="S338" s="3" t="str">
        <f t="shared" si="85"/>
        <v>Technology</v>
      </c>
      <c r="T338" t="s">
        <v>93</v>
      </c>
      <c r="U338" t="s">
        <v>1703</v>
      </c>
      <c r="V338" t="s">
        <v>55</v>
      </c>
      <c r="W338" s="3" t="str">
        <f t="shared" si="86"/>
        <v>First Class</v>
      </c>
      <c r="X338">
        <v>8</v>
      </c>
      <c r="Y338">
        <v>1992.57</v>
      </c>
      <c r="Z338">
        <v>0</v>
      </c>
      <c r="AA338">
        <f t="shared" si="90"/>
        <v>0</v>
      </c>
      <c r="AB338">
        <f t="shared" si="91"/>
        <v>15940.56</v>
      </c>
      <c r="AC338">
        <v>15940.56</v>
      </c>
      <c r="AD338">
        <v>12347.15</v>
      </c>
      <c r="AE338">
        <v>3593.41</v>
      </c>
      <c r="AF338" t="s">
        <v>33</v>
      </c>
      <c r="AG338" t="s">
        <v>34</v>
      </c>
      <c r="AH338" t="str">
        <f t="shared" si="87"/>
        <v>Completed</v>
      </c>
      <c r="AI338" t="str">
        <f t="shared" si="88"/>
        <v>Valid</v>
      </c>
      <c r="AJ338">
        <f t="shared" si="89"/>
        <v>3593.41</v>
      </c>
      <c r="AK338" s="12">
        <f t="shared" si="92"/>
        <v>0.2254255810335396</v>
      </c>
      <c r="AL338">
        <f t="shared" si="93"/>
        <v>3</v>
      </c>
      <c r="AM338">
        <f t="shared" si="94"/>
        <v>2024</v>
      </c>
      <c r="AN338" t="str">
        <f t="shared" si="95"/>
        <v>Clean</v>
      </c>
    </row>
    <row r="339" spans="1:40">
      <c r="A339" t="s">
        <v>1704</v>
      </c>
      <c r="B339" s="3" t="s">
        <v>1705</v>
      </c>
      <c r="C339" s="10">
        <v>45516</v>
      </c>
      <c r="D339" s="3" t="s">
        <v>1706</v>
      </c>
      <c r="E339" s="10">
        <v>45522</v>
      </c>
      <c r="F339" s="6" t="str">
        <f t="shared" si="80"/>
        <v>Valid</v>
      </c>
      <c r="G339" s="8">
        <f t="shared" si="81"/>
        <v>6</v>
      </c>
      <c r="H339" s="8" t="str">
        <f t="shared" si="82"/>
        <v>Valid</v>
      </c>
      <c r="I339" t="s">
        <v>1707</v>
      </c>
      <c r="J339" t="s">
        <v>71</v>
      </c>
      <c r="K339" t="s">
        <v>71</v>
      </c>
      <c r="L339" t="s">
        <v>25</v>
      </c>
      <c r="M339" s="3" t="str">
        <f t="shared" si="83"/>
        <v>Consumer</v>
      </c>
      <c r="N339" t="s">
        <v>41</v>
      </c>
      <c r="O339" s="3" t="str">
        <f t="shared" si="84"/>
        <v>East</v>
      </c>
      <c r="P339" t="s">
        <v>215</v>
      </c>
      <c r="Q339" t="s">
        <v>216</v>
      </c>
      <c r="R339" t="s">
        <v>29</v>
      </c>
      <c r="S339" s="3" t="str">
        <f t="shared" si="85"/>
        <v>Office Supplies</v>
      </c>
      <c r="T339" t="s">
        <v>108</v>
      </c>
      <c r="U339" t="s">
        <v>1708</v>
      </c>
      <c r="V339" t="s">
        <v>47</v>
      </c>
      <c r="W339" s="3" t="str">
        <f t="shared" si="86"/>
        <v>Same Day</v>
      </c>
      <c r="X339">
        <v>6</v>
      </c>
      <c r="Y339">
        <v>1181.74</v>
      </c>
      <c r="Z339">
        <v>0</v>
      </c>
      <c r="AA339">
        <f t="shared" si="90"/>
        <v>0</v>
      </c>
      <c r="AB339">
        <f t="shared" si="91"/>
        <v>7090.4400000000005</v>
      </c>
      <c r="AC339">
        <v>7090.44</v>
      </c>
      <c r="AD339">
        <v>5672.27</v>
      </c>
      <c r="AE339">
        <v>1262.8699999999999</v>
      </c>
      <c r="AF339" t="s">
        <v>33</v>
      </c>
      <c r="AG339" t="s">
        <v>34</v>
      </c>
      <c r="AH339" t="str">
        <f t="shared" si="87"/>
        <v>Completed</v>
      </c>
      <c r="AI339" t="str">
        <f t="shared" si="88"/>
        <v>Valid</v>
      </c>
      <c r="AJ339">
        <f t="shared" si="89"/>
        <v>1418.1699999999992</v>
      </c>
      <c r="AK339" s="12">
        <f t="shared" si="92"/>
        <v>0.20001156486762445</v>
      </c>
      <c r="AL339">
        <f t="shared" si="93"/>
        <v>8</v>
      </c>
      <c r="AM339">
        <f t="shared" si="94"/>
        <v>2024</v>
      </c>
      <c r="AN339" t="str">
        <f t="shared" si="95"/>
        <v>Clean</v>
      </c>
    </row>
    <row r="340" spans="1:40">
      <c r="A340" t="s">
        <v>1709</v>
      </c>
      <c r="B340" s="3" t="s">
        <v>1710</v>
      </c>
      <c r="C340" s="10">
        <v>45634</v>
      </c>
      <c r="D340" s="3" t="s">
        <v>1463</v>
      </c>
      <c r="E340" s="10">
        <v>45634</v>
      </c>
      <c r="F340" s="6" t="str">
        <f t="shared" si="80"/>
        <v>Valid</v>
      </c>
      <c r="G340" s="8">
        <f t="shared" si="81"/>
        <v>0</v>
      </c>
      <c r="H340" s="8" t="str">
        <f t="shared" si="82"/>
        <v>Valid</v>
      </c>
      <c r="I340" t="s">
        <v>1711</v>
      </c>
      <c r="J340" t="s">
        <v>60</v>
      </c>
      <c r="K340" t="s">
        <v>60</v>
      </c>
      <c r="L340" t="s">
        <v>40</v>
      </c>
      <c r="M340" s="3" t="str">
        <f t="shared" si="83"/>
        <v>Small Business</v>
      </c>
      <c r="N340" t="s">
        <v>61</v>
      </c>
      <c r="O340" s="3" t="str">
        <f t="shared" si="84"/>
        <v>South</v>
      </c>
      <c r="P340" t="s">
        <v>99</v>
      </c>
      <c r="Q340" t="s">
        <v>100</v>
      </c>
      <c r="R340" t="s">
        <v>85</v>
      </c>
      <c r="S340" s="3" t="str">
        <f t="shared" si="85"/>
        <v>Technology</v>
      </c>
      <c r="T340" t="s">
        <v>86</v>
      </c>
      <c r="U340" t="s">
        <v>1712</v>
      </c>
      <c r="V340" t="s">
        <v>55</v>
      </c>
      <c r="W340" s="3" t="str">
        <f t="shared" si="86"/>
        <v>First Class</v>
      </c>
      <c r="X340">
        <v>8</v>
      </c>
      <c r="Y340">
        <v>4402.3599999999997</v>
      </c>
      <c r="Z340">
        <v>0.25</v>
      </c>
      <c r="AA340">
        <f t="shared" si="90"/>
        <v>0.25</v>
      </c>
      <c r="AB340">
        <f t="shared" si="91"/>
        <v>26414.159999999996</v>
      </c>
      <c r="AC340">
        <v>26414.16</v>
      </c>
      <c r="AD340">
        <v>21822.53</v>
      </c>
      <c r="AE340">
        <v>4591.63</v>
      </c>
      <c r="AF340" t="s">
        <v>33</v>
      </c>
      <c r="AG340" t="s">
        <v>34</v>
      </c>
      <c r="AH340" t="str">
        <f t="shared" si="87"/>
        <v>Completed</v>
      </c>
      <c r="AI340" t="str">
        <f t="shared" si="88"/>
        <v>Valid</v>
      </c>
      <c r="AJ340">
        <f t="shared" si="89"/>
        <v>4591.630000000001</v>
      </c>
      <c r="AK340" s="12">
        <f t="shared" si="92"/>
        <v>0.17383214154832111</v>
      </c>
      <c r="AL340">
        <f t="shared" si="93"/>
        <v>12</v>
      </c>
      <c r="AM340">
        <f t="shared" si="94"/>
        <v>2024</v>
      </c>
      <c r="AN340" t="str">
        <f t="shared" si="95"/>
        <v>Clean</v>
      </c>
    </row>
    <row r="341" spans="1:40">
      <c r="A341" t="s">
        <v>1713</v>
      </c>
      <c r="B341" s="3" t="s">
        <v>915</v>
      </c>
      <c r="C341" s="10">
        <v>45708</v>
      </c>
      <c r="D341" s="3" t="s">
        <v>1714</v>
      </c>
      <c r="E341" s="10">
        <v>45710</v>
      </c>
      <c r="F341" s="6" t="str">
        <f t="shared" si="80"/>
        <v>Valid</v>
      </c>
      <c r="G341" s="8">
        <f t="shared" si="81"/>
        <v>2</v>
      </c>
      <c r="H341" s="8" t="str">
        <f t="shared" si="82"/>
        <v>Valid</v>
      </c>
      <c r="I341" t="s">
        <v>1715</v>
      </c>
      <c r="J341" t="s">
        <v>92</v>
      </c>
      <c r="K341" t="s">
        <v>92</v>
      </c>
      <c r="L341" t="s">
        <v>107</v>
      </c>
      <c r="M341" s="3" t="str">
        <f t="shared" si="83"/>
        <v>Corporate</v>
      </c>
      <c r="N341" t="s">
        <v>41</v>
      </c>
      <c r="O341" s="3" t="str">
        <f t="shared" si="84"/>
        <v>East</v>
      </c>
      <c r="P341" t="s">
        <v>310</v>
      </c>
      <c r="Q341" t="s">
        <v>311</v>
      </c>
      <c r="R341" t="s">
        <v>44</v>
      </c>
      <c r="S341" s="3" t="str">
        <f t="shared" si="85"/>
        <v>Furniture</v>
      </c>
      <c r="T341" t="s">
        <v>203</v>
      </c>
      <c r="U341" t="s">
        <v>1716</v>
      </c>
      <c r="V341" t="s">
        <v>66</v>
      </c>
      <c r="W341" s="3" t="str">
        <f t="shared" si="86"/>
        <v>Standard Class</v>
      </c>
      <c r="X341">
        <v>8</v>
      </c>
      <c r="Y341">
        <v>3265.76</v>
      </c>
      <c r="Z341">
        <v>0.2</v>
      </c>
      <c r="AA341">
        <f t="shared" si="90"/>
        <v>0.2</v>
      </c>
      <c r="AB341">
        <f t="shared" si="91"/>
        <v>20900.864000000001</v>
      </c>
      <c r="AC341">
        <v>20900.86</v>
      </c>
      <c r="AD341">
        <v>12513.14</v>
      </c>
      <c r="AE341">
        <v>8387.7199999999993</v>
      </c>
      <c r="AF341" t="s">
        <v>33</v>
      </c>
      <c r="AG341" t="s">
        <v>34</v>
      </c>
      <c r="AH341" t="str">
        <f t="shared" si="87"/>
        <v>Completed</v>
      </c>
      <c r="AI341" t="str">
        <f t="shared" si="88"/>
        <v>Valid</v>
      </c>
      <c r="AJ341">
        <f t="shared" si="89"/>
        <v>8387.7200000000012</v>
      </c>
      <c r="AK341" s="12">
        <f t="shared" si="92"/>
        <v>0.4013097257606193</v>
      </c>
      <c r="AL341">
        <f t="shared" si="93"/>
        <v>2</v>
      </c>
      <c r="AM341">
        <f t="shared" si="94"/>
        <v>2025</v>
      </c>
      <c r="AN341" t="str">
        <f t="shared" si="95"/>
        <v>Clean</v>
      </c>
    </row>
    <row r="342" spans="1:40">
      <c r="A342" t="s">
        <v>1717</v>
      </c>
      <c r="B342" s="3" t="s">
        <v>1718</v>
      </c>
      <c r="C342" s="10">
        <v>45312</v>
      </c>
      <c r="D342" s="3" t="s">
        <v>1719</v>
      </c>
      <c r="E342" s="10">
        <v>45320</v>
      </c>
      <c r="F342" s="6" t="str">
        <f t="shared" si="80"/>
        <v>Valid</v>
      </c>
      <c r="G342" s="8">
        <f t="shared" si="81"/>
        <v>8</v>
      </c>
      <c r="H342" s="8" t="str">
        <f t="shared" si="82"/>
        <v>Valid</v>
      </c>
      <c r="I342" t="s">
        <v>1720</v>
      </c>
      <c r="J342" t="s">
        <v>92</v>
      </c>
      <c r="K342" t="s">
        <v>92</v>
      </c>
      <c r="L342" t="s">
        <v>25</v>
      </c>
      <c r="M342" s="3" t="str">
        <f t="shared" si="83"/>
        <v>Consumer</v>
      </c>
      <c r="N342" t="s">
        <v>61</v>
      </c>
      <c r="O342" s="3" t="str">
        <f t="shared" si="84"/>
        <v>South</v>
      </c>
      <c r="P342" t="s">
        <v>228</v>
      </c>
      <c r="Q342" t="s">
        <v>229</v>
      </c>
      <c r="R342" t="s">
        <v>29</v>
      </c>
      <c r="S342" s="3" t="str">
        <f t="shared" si="85"/>
        <v>Office Supplies</v>
      </c>
      <c r="T342" t="s">
        <v>197</v>
      </c>
      <c r="U342" t="s">
        <v>1721</v>
      </c>
      <c r="V342" t="s">
        <v>66</v>
      </c>
      <c r="W342" s="3" t="str">
        <f t="shared" si="86"/>
        <v>Standard Class</v>
      </c>
      <c r="X342">
        <v>5</v>
      </c>
      <c r="Y342">
        <v>4058.08</v>
      </c>
      <c r="Z342">
        <v>0.1</v>
      </c>
      <c r="AA342">
        <f t="shared" si="90"/>
        <v>0.1</v>
      </c>
      <c r="AB342">
        <f t="shared" si="91"/>
        <v>18261.36</v>
      </c>
      <c r="AC342">
        <v>18261.36</v>
      </c>
      <c r="AD342">
        <v>11399.94</v>
      </c>
      <c r="AE342">
        <v>6861.42</v>
      </c>
      <c r="AF342" t="s">
        <v>33</v>
      </c>
      <c r="AG342" t="s">
        <v>34</v>
      </c>
      <c r="AH342" t="str">
        <f t="shared" si="87"/>
        <v>Completed</v>
      </c>
      <c r="AI342" t="str">
        <f t="shared" si="88"/>
        <v>Valid</v>
      </c>
      <c r="AJ342">
        <f t="shared" si="89"/>
        <v>6861.42</v>
      </c>
      <c r="AK342" s="12">
        <f t="shared" si="92"/>
        <v>0.3757343374206521</v>
      </c>
      <c r="AL342">
        <f t="shared" si="93"/>
        <v>1</v>
      </c>
      <c r="AM342">
        <f t="shared" si="94"/>
        <v>2024</v>
      </c>
      <c r="AN342" t="str">
        <f t="shared" si="95"/>
        <v>Clean</v>
      </c>
    </row>
    <row r="343" spans="1:40">
      <c r="A343" t="s">
        <v>1722</v>
      </c>
      <c r="B343" s="3" t="s">
        <v>1723</v>
      </c>
      <c r="C343" s="10">
        <v>45908</v>
      </c>
      <c r="D343" s="3" t="s">
        <v>1724</v>
      </c>
      <c r="E343" s="10">
        <v>45909</v>
      </c>
      <c r="F343" s="6" t="str">
        <f t="shared" si="80"/>
        <v>Valid</v>
      </c>
      <c r="G343" s="8">
        <f t="shared" si="81"/>
        <v>1</v>
      </c>
      <c r="H343" s="8" t="str">
        <f t="shared" si="82"/>
        <v>Valid</v>
      </c>
      <c r="I343" t="s">
        <v>1725</v>
      </c>
      <c r="J343" t="s">
        <v>179</v>
      </c>
      <c r="K343" t="s">
        <v>179</v>
      </c>
      <c r="L343" t="s">
        <v>114</v>
      </c>
      <c r="M343" s="3" t="str">
        <f t="shared" si="83"/>
        <v>Home Office</v>
      </c>
      <c r="N343" t="s">
        <v>72</v>
      </c>
      <c r="O343" s="3" t="str">
        <f t="shared" si="84"/>
        <v>West</v>
      </c>
      <c r="P343" t="s">
        <v>234</v>
      </c>
      <c r="Q343" t="s">
        <v>235</v>
      </c>
      <c r="R343" t="s">
        <v>44</v>
      </c>
      <c r="S343" s="3" t="str">
        <f t="shared" si="85"/>
        <v>Furniture</v>
      </c>
      <c r="T343" t="s">
        <v>75</v>
      </c>
      <c r="U343" t="s">
        <v>1726</v>
      </c>
      <c r="V343" t="s">
        <v>32</v>
      </c>
      <c r="W343" s="3" t="str">
        <f t="shared" si="86"/>
        <v>Second Class</v>
      </c>
      <c r="X343">
        <v>2</v>
      </c>
      <c r="Y343">
        <v>3960.33</v>
      </c>
      <c r="Z343">
        <v>0.05</v>
      </c>
      <c r="AA343">
        <f t="shared" si="90"/>
        <v>0.05</v>
      </c>
      <c r="AB343">
        <f t="shared" si="91"/>
        <v>7524.6269999999995</v>
      </c>
      <c r="AC343">
        <v>7524.63</v>
      </c>
      <c r="AD343">
        <v>6229.6</v>
      </c>
      <c r="AE343">
        <v>1295.03</v>
      </c>
      <c r="AF343" t="s">
        <v>33</v>
      </c>
      <c r="AG343" t="s">
        <v>34</v>
      </c>
      <c r="AH343" t="str">
        <f t="shared" si="87"/>
        <v>Completed</v>
      </c>
      <c r="AI343" t="str">
        <f t="shared" si="88"/>
        <v>Valid</v>
      </c>
      <c r="AJ343">
        <f t="shared" si="89"/>
        <v>1295.0299999999997</v>
      </c>
      <c r="AK343" s="12">
        <f t="shared" si="92"/>
        <v>0.17210554091252628</v>
      </c>
      <c r="AL343">
        <f t="shared" si="93"/>
        <v>9</v>
      </c>
      <c r="AM343">
        <f t="shared" si="94"/>
        <v>2025</v>
      </c>
      <c r="AN343" t="str">
        <f t="shared" si="95"/>
        <v>Clean</v>
      </c>
    </row>
    <row r="344" spans="1:40">
      <c r="A344" t="s">
        <v>1727</v>
      </c>
      <c r="B344" s="3" t="s">
        <v>1728</v>
      </c>
      <c r="C344" s="10">
        <v>45862</v>
      </c>
      <c r="D344" s="3" t="s">
        <v>1729</v>
      </c>
      <c r="E344" s="10">
        <v>45870</v>
      </c>
      <c r="F344" s="6" t="str">
        <f t="shared" si="80"/>
        <v>Valid</v>
      </c>
      <c r="G344" s="8">
        <f t="shared" si="81"/>
        <v>8</v>
      </c>
      <c r="H344" s="8" t="str">
        <f t="shared" si="82"/>
        <v>Valid</v>
      </c>
      <c r="I344" t="s">
        <v>1730</v>
      </c>
      <c r="J344" t="s">
        <v>365</v>
      </c>
      <c r="K344" t="s">
        <v>365</v>
      </c>
      <c r="L344" t="s">
        <v>40</v>
      </c>
      <c r="M344" s="3" t="str">
        <f t="shared" si="83"/>
        <v>Small Business</v>
      </c>
      <c r="N344" t="s">
        <v>41</v>
      </c>
      <c r="O344" s="3" t="str">
        <f t="shared" si="84"/>
        <v>East</v>
      </c>
      <c r="P344" t="s">
        <v>310</v>
      </c>
      <c r="Q344" t="s">
        <v>311</v>
      </c>
      <c r="R344" t="s">
        <v>29</v>
      </c>
      <c r="S344" s="3" t="str">
        <f t="shared" si="85"/>
        <v>Office Supplies</v>
      </c>
      <c r="T344" t="s">
        <v>197</v>
      </c>
      <c r="U344" t="s">
        <v>1731</v>
      </c>
      <c r="V344" t="s">
        <v>55</v>
      </c>
      <c r="W344" s="3" t="str">
        <f t="shared" si="86"/>
        <v>First Class</v>
      </c>
      <c r="X344">
        <v>8</v>
      </c>
      <c r="Y344">
        <v>1528.92</v>
      </c>
      <c r="Z344">
        <v>0</v>
      </c>
      <c r="AA344">
        <f t="shared" si="90"/>
        <v>0</v>
      </c>
      <c r="AB344">
        <f t="shared" si="91"/>
        <v>12231.36</v>
      </c>
      <c r="AC344">
        <v>12231.36</v>
      </c>
      <c r="AD344">
        <v>8766.9</v>
      </c>
      <c r="AE344">
        <v>3464.46</v>
      </c>
      <c r="AF344" t="s">
        <v>33</v>
      </c>
      <c r="AG344" t="s">
        <v>34</v>
      </c>
      <c r="AH344" t="str">
        <f t="shared" si="87"/>
        <v>Completed</v>
      </c>
      <c r="AI344" t="str">
        <f t="shared" si="88"/>
        <v>Valid</v>
      </c>
      <c r="AJ344">
        <f t="shared" si="89"/>
        <v>3464.4600000000009</v>
      </c>
      <c r="AK344" s="12">
        <f t="shared" si="92"/>
        <v>0.28324405462679547</v>
      </c>
      <c r="AL344">
        <f t="shared" si="93"/>
        <v>7</v>
      </c>
      <c r="AM344">
        <f t="shared" si="94"/>
        <v>2025</v>
      </c>
      <c r="AN344" t="str">
        <f t="shared" si="95"/>
        <v>Clean</v>
      </c>
    </row>
    <row r="345" spans="1:40">
      <c r="A345" t="s">
        <v>1732</v>
      </c>
      <c r="B345" s="3" t="s">
        <v>1733</v>
      </c>
      <c r="C345" s="10">
        <v>45933</v>
      </c>
      <c r="D345" s="3" t="s">
        <v>1190</v>
      </c>
      <c r="E345" s="10">
        <v>45938</v>
      </c>
      <c r="F345" s="6" t="str">
        <f t="shared" si="80"/>
        <v>Valid</v>
      </c>
      <c r="G345" s="8">
        <f t="shared" si="81"/>
        <v>5</v>
      </c>
      <c r="H345" s="8" t="str">
        <f t="shared" si="82"/>
        <v>Valid</v>
      </c>
      <c r="I345" t="s">
        <v>1734</v>
      </c>
      <c r="J345" t="s">
        <v>161</v>
      </c>
      <c r="K345" t="s">
        <v>161</v>
      </c>
      <c r="L345" t="s">
        <v>107</v>
      </c>
      <c r="M345" s="3" t="str">
        <f t="shared" si="83"/>
        <v>Corporate</v>
      </c>
      <c r="N345" t="s">
        <v>72</v>
      </c>
      <c r="O345" s="3" t="str">
        <f t="shared" si="84"/>
        <v>West</v>
      </c>
      <c r="P345" t="s">
        <v>83</v>
      </c>
      <c r="Q345" t="s">
        <v>84</v>
      </c>
      <c r="R345" t="s">
        <v>85</v>
      </c>
      <c r="S345" s="3" t="str">
        <f t="shared" si="85"/>
        <v>Technology</v>
      </c>
      <c r="T345" t="s">
        <v>381</v>
      </c>
      <c r="U345" t="s">
        <v>1735</v>
      </c>
      <c r="V345" t="s">
        <v>47</v>
      </c>
      <c r="W345" s="3" t="str">
        <f t="shared" si="86"/>
        <v>Same Day</v>
      </c>
      <c r="X345">
        <v>9</v>
      </c>
      <c r="Y345">
        <v>3837</v>
      </c>
      <c r="Z345">
        <v>0.1</v>
      </c>
      <c r="AA345">
        <f t="shared" si="90"/>
        <v>0.1</v>
      </c>
      <c r="AB345">
        <f t="shared" si="91"/>
        <v>31079.7</v>
      </c>
      <c r="AC345">
        <v>31079.7</v>
      </c>
      <c r="AD345">
        <v>17758.25</v>
      </c>
      <c r="AE345">
        <v>13321.45</v>
      </c>
      <c r="AF345" t="s">
        <v>33</v>
      </c>
      <c r="AG345" t="s">
        <v>34</v>
      </c>
      <c r="AH345" t="str">
        <f t="shared" si="87"/>
        <v>Completed</v>
      </c>
      <c r="AI345" t="str">
        <f t="shared" si="88"/>
        <v>Valid</v>
      </c>
      <c r="AJ345">
        <f t="shared" si="89"/>
        <v>13321.45</v>
      </c>
      <c r="AK345" s="12">
        <f t="shared" si="92"/>
        <v>0.4286222196481948</v>
      </c>
      <c r="AL345">
        <f t="shared" si="93"/>
        <v>10</v>
      </c>
      <c r="AM345">
        <f t="shared" si="94"/>
        <v>2025</v>
      </c>
      <c r="AN345" t="str">
        <f t="shared" si="95"/>
        <v>Clean</v>
      </c>
    </row>
    <row r="346" spans="1:40">
      <c r="A346" t="s">
        <v>1736</v>
      </c>
      <c r="B346" s="3" t="s">
        <v>1506</v>
      </c>
      <c r="C346" s="10">
        <v>45362</v>
      </c>
      <c r="D346" s="3" t="s">
        <v>1506</v>
      </c>
      <c r="E346" s="10">
        <v>45362</v>
      </c>
      <c r="F346" s="6" t="str">
        <f t="shared" si="80"/>
        <v>Valid</v>
      </c>
      <c r="G346" s="8">
        <f t="shared" si="81"/>
        <v>0</v>
      </c>
      <c r="H346" s="8" t="str">
        <f t="shared" si="82"/>
        <v>Valid</v>
      </c>
      <c r="I346" t="s">
        <v>1737</v>
      </c>
      <c r="J346" t="s">
        <v>141</v>
      </c>
      <c r="K346" t="s">
        <v>141</v>
      </c>
      <c r="L346" t="s">
        <v>25</v>
      </c>
      <c r="M346" s="3" t="str">
        <f t="shared" si="83"/>
        <v>Consumer</v>
      </c>
      <c r="N346" t="s">
        <v>26</v>
      </c>
      <c r="O346" s="3" t="str">
        <f t="shared" si="84"/>
        <v>North</v>
      </c>
      <c r="P346" t="s">
        <v>153</v>
      </c>
      <c r="Q346" t="s">
        <v>154</v>
      </c>
      <c r="R346" t="s">
        <v>44</v>
      </c>
      <c r="S346" s="3" t="str">
        <f t="shared" si="85"/>
        <v>Furniture</v>
      </c>
      <c r="T346" t="s">
        <v>203</v>
      </c>
      <c r="U346" t="s">
        <v>1738</v>
      </c>
      <c r="V346" t="s">
        <v>47</v>
      </c>
      <c r="W346" s="3" t="str">
        <f t="shared" si="86"/>
        <v>Same Day</v>
      </c>
      <c r="X346">
        <v>9</v>
      </c>
      <c r="Y346">
        <v>3456.38</v>
      </c>
      <c r="Z346">
        <v>0</v>
      </c>
      <c r="AA346">
        <f t="shared" si="90"/>
        <v>0</v>
      </c>
      <c r="AB346">
        <f t="shared" si="91"/>
        <v>31107.420000000002</v>
      </c>
      <c r="AC346">
        <v>31107.42</v>
      </c>
      <c r="AD346">
        <v>20146.66</v>
      </c>
      <c r="AE346">
        <v>10960.76</v>
      </c>
      <c r="AF346" t="s">
        <v>136</v>
      </c>
      <c r="AG346" t="s">
        <v>124</v>
      </c>
      <c r="AH346" t="str">
        <f t="shared" si="87"/>
        <v>Returned</v>
      </c>
      <c r="AI346" t="str">
        <f t="shared" si="88"/>
        <v>Valid</v>
      </c>
      <c r="AJ346">
        <f t="shared" si="89"/>
        <v>10960.759999999998</v>
      </c>
      <c r="AK346" s="12">
        <f t="shared" si="92"/>
        <v>0.35235194689884269</v>
      </c>
      <c r="AL346">
        <f t="shared" si="93"/>
        <v>3</v>
      </c>
      <c r="AM346">
        <f t="shared" si="94"/>
        <v>2024</v>
      </c>
      <c r="AN346" t="str">
        <f t="shared" si="95"/>
        <v>Clean</v>
      </c>
    </row>
    <row r="347" spans="1:40">
      <c r="A347" t="s">
        <v>1739</v>
      </c>
      <c r="B347" s="3" t="s">
        <v>1740</v>
      </c>
      <c r="C347" s="10">
        <v>45549</v>
      </c>
      <c r="D347" s="3" t="s">
        <v>1741</v>
      </c>
      <c r="E347" s="10">
        <v>45557</v>
      </c>
      <c r="F347" s="6" t="str">
        <f t="shared" si="80"/>
        <v>Valid</v>
      </c>
      <c r="G347" s="8">
        <f t="shared" si="81"/>
        <v>8</v>
      </c>
      <c r="H347" s="8" t="str">
        <f t="shared" si="82"/>
        <v>Valid</v>
      </c>
      <c r="I347" t="s">
        <v>1742</v>
      </c>
      <c r="J347" t="s">
        <v>24</v>
      </c>
      <c r="K347" t="s">
        <v>24</v>
      </c>
      <c r="L347" t="s">
        <v>25</v>
      </c>
      <c r="M347" s="3" t="str">
        <f t="shared" si="83"/>
        <v>Consumer</v>
      </c>
      <c r="N347" t="s">
        <v>72</v>
      </c>
      <c r="O347" s="3" t="str">
        <f t="shared" si="84"/>
        <v>West</v>
      </c>
      <c r="P347" t="s">
        <v>83</v>
      </c>
      <c r="Q347" t="s">
        <v>84</v>
      </c>
      <c r="R347" t="s">
        <v>44</v>
      </c>
      <c r="S347" s="3" t="str">
        <f t="shared" si="85"/>
        <v>Furniture</v>
      </c>
      <c r="T347" t="s">
        <v>64</v>
      </c>
      <c r="U347" t="s">
        <v>1743</v>
      </c>
      <c r="V347" t="s">
        <v>32</v>
      </c>
      <c r="W347" s="3" t="str">
        <f t="shared" si="86"/>
        <v>Second Class</v>
      </c>
      <c r="X347">
        <v>2</v>
      </c>
      <c r="Y347">
        <v>2765.3</v>
      </c>
      <c r="Z347">
        <v>0</v>
      </c>
      <c r="AA347">
        <f t="shared" si="90"/>
        <v>0</v>
      </c>
      <c r="AB347">
        <f t="shared" si="91"/>
        <v>5530.6</v>
      </c>
      <c r="AC347">
        <v>5530.6</v>
      </c>
      <c r="AD347">
        <v>4453.1099999999997</v>
      </c>
      <c r="AE347">
        <v>1077.49</v>
      </c>
      <c r="AF347" t="s">
        <v>33</v>
      </c>
      <c r="AG347" t="s">
        <v>34</v>
      </c>
      <c r="AH347" t="str">
        <f t="shared" si="87"/>
        <v>Completed</v>
      </c>
      <c r="AI347" t="str">
        <f t="shared" si="88"/>
        <v>Valid</v>
      </c>
      <c r="AJ347">
        <f t="shared" si="89"/>
        <v>1077.4900000000007</v>
      </c>
      <c r="AK347" s="12">
        <f t="shared" si="92"/>
        <v>0.19482334647235391</v>
      </c>
      <c r="AL347">
        <f t="shared" si="93"/>
        <v>9</v>
      </c>
      <c r="AM347">
        <f t="shared" si="94"/>
        <v>2024</v>
      </c>
      <c r="AN347" t="str">
        <f t="shared" si="95"/>
        <v>Clean</v>
      </c>
    </row>
    <row r="348" spans="1:40">
      <c r="A348" t="s">
        <v>1744</v>
      </c>
      <c r="B348" s="3" t="s">
        <v>1657</v>
      </c>
      <c r="C348" s="10">
        <v>45860</v>
      </c>
      <c r="D348" s="3" t="s">
        <v>1745</v>
      </c>
      <c r="E348" s="10">
        <v>45866</v>
      </c>
      <c r="F348" s="6" t="str">
        <f t="shared" si="80"/>
        <v>Valid</v>
      </c>
      <c r="G348" s="8">
        <f t="shared" si="81"/>
        <v>6</v>
      </c>
      <c r="H348" s="8" t="str">
        <f t="shared" si="82"/>
        <v>Valid</v>
      </c>
      <c r="I348" t="s">
        <v>1746</v>
      </c>
      <c r="J348" t="s">
        <v>147</v>
      </c>
      <c r="K348" t="s">
        <v>147</v>
      </c>
      <c r="L348" t="s">
        <v>107</v>
      </c>
      <c r="M348" s="3" t="str">
        <f t="shared" si="83"/>
        <v>Corporate</v>
      </c>
      <c r="N348" t="s">
        <v>61</v>
      </c>
      <c r="O348" s="3" t="str">
        <f t="shared" si="84"/>
        <v>South</v>
      </c>
      <c r="P348" t="s">
        <v>241</v>
      </c>
      <c r="Q348" t="s">
        <v>242</v>
      </c>
      <c r="R348" t="s">
        <v>44</v>
      </c>
      <c r="S348" s="3" t="str">
        <f t="shared" si="85"/>
        <v>Furniture</v>
      </c>
      <c r="T348" t="s">
        <v>75</v>
      </c>
      <c r="U348" t="s">
        <v>1747</v>
      </c>
      <c r="V348" t="s">
        <v>32</v>
      </c>
      <c r="W348" s="3" t="str">
        <f t="shared" si="86"/>
        <v>Second Class</v>
      </c>
      <c r="X348">
        <v>6</v>
      </c>
      <c r="Y348">
        <v>1607.46</v>
      </c>
      <c r="Z348">
        <v>0.2</v>
      </c>
      <c r="AA348">
        <f t="shared" si="90"/>
        <v>0.2</v>
      </c>
      <c r="AB348">
        <f t="shared" si="91"/>
        <v>7715.8080000000009</v>
      </c>
      <c r="AC348">
        <v>7715.81</v>
      </c>
      <c r="AD348">
        <v>4258.42</v>
      </c>
      <c r="AE348">
        <v>3457.39</v>
      </c>
      <c r="AF348" t="s">
        <v>33</v>
      </c>
      <c r="AG348" t="s">
        <v>34</v>
      </c>
      <c r="AH348" t="str">
        <f t="shared" si="87"/>
        <v>Completed</v>
      </c>
      <c r="AI348" t="str">
        <f t="shared" si="88"/>
        <v>Valid</v>
      </c>
      <c r="AJ348">
        <f t="shared" si="89"/>
        <v>3457.3900000000003</v>
      </c>
      <c r="AK348" s="12">
        <f t="shared" si="92"/>
        <v>0.44809176174420101</v>
      </c>
      <c r="AL348">
        <f t="shared" si="93"/>
        <v>7</v>
      </c>
      <c r="AM348">
        <f t="shared" si="94"/>
        <v>2025</v>
      </c>
      <c r="AN348" t="str">
        <f t="shared" si="95"/>
        <v>Clean</v>
      </c>
    </row>
    <row r="349" spans="1:40">
      <c r="A349" t="s">
        <v>1748</v>
      </c>
      <c r="B349" s="3" t="s">
        <v>1749</v>
      </c>
      <c r="C349" s="10">
        <v>45627</v>
      </c>
      <c r="D349" s="3" t="s">
        <v>1463</v>
      </c>
      <c r="E349" s="10">
        <v>45634</v>
      </c>
      <c r="F349" s="6" t="str">
        <f t="shared" si="80"/>
        <v>Valid</v>
      </c>
      <c r="G349" s="8">
        <f t="shared" si="81"/>
        <v>7</v>
      </c>
      <c r="H349" s="8" t="str">
        <f t="shared" si="82"/>
        <v>Valid</v>
      </c>
      <c r="I349" t="s">
        <v>1750</v>
      </c>
      <c r="J349" t="s">
        <v>161</v>
      </c>
      <c r="K349" t="s">
        <v>161</v>
      </c>
      <c r="L349" t="s">
        <v>40</v>
      </c>
      <c r="M349" s="3" t="str">
        <f t="shared" si="83"/>
        <v>Small Business</v>
      </c>
      <c r="N349" t="s">
        <v>72</v>
      </c>
      <c r="O349" s="3" t="str">
        <f t="shared" si="84"/>
        <v>West</v>
      </c>
      <c r="P349" t="s">
        <v>248</v>
      </c>
      <c r="Q349" t="s">
        <v>249</v>
      </c>
      <c r="R349" t="s">
        <v>44</v>
      </c>
      <c r="S349" s="3" t="str">
        <f t="shared" si="85"/>
        <v>Furniture</v>
      </c>
      <c r="T349" t="s">
        <v>75</v>
      </c>
      <c r="U349" t="s">
        <v>1751</v>
      </c>
      <c r="V349" t="s">
        <v>32</v>
      </c>
      <c r="W349" s="3" t="str">
        <f t="shared" si="86"/>
        <v>Second Class</v>
      </c>
      <c r="X349">
        <v>5</v>
      </c>
      <c r="Y349">
        <v>2981.49</v>
      </c>
      <c r="Z349">
        <v>0.2</v>
      </c>
      <c r="AA349">
        <f t="shared" si="90"/>
        <v>0.2</v>
      </c>
      <c r="AB349">
        <f t="shared" si="91"/>
        <v>11925.96</v>
      </c>
      <c r="AC349">
        <v>11925.96</v>
      </c>
      <c r="AD349">
        <v>10103.51</v>
      </c>
      <c r="AE349">
        <v>1822.45</v>
      </c>
      <c r="AF349" t="s">
        <v>123</v>
      </c>
      <c r="AG349" t="s">
        <v>124</v>
      </c>
      <c r="AH349" t="str">
        <f t="shared" si="87"/>
        <v>Returned</v>
      </c>
      <c r="AI349" t="str">
        <f t="shared" si="88"/>
        <v>Valid</v>
      </c>
      <c r="AJ349">
        <f t="shared" si="89"/>
        <v>1822.4499999999989</v>
      </c>
      <c r="AK349" s="12">
        <f t="shared" si="92"/>
        <v>0.15281369382422874</v>
      </c>
      <c r="AL349">
        <f t="shared" si="93"/>
        <v>12</v>
      </c>
      <c r="AM349">
        <f t="shared" si="94"/>
        <v>2024</v>
      </c>
      <c r="AN349" t="str">
        <f t="shared" si="95"/>
        <v>Clean</v>
      </c>
    </row>
    <row r="350" spans="1:40">
      <c r="A350" t="s">
        <v>1752</v>
      </c>
      <c r="B350" s="3" t="s">
        <v>1302</v>
      </c>
      <c r="C350" s="10">
        <v>45445</v>
      </c>
      <c r="D350" s="3" t="s">
        <v>1753</v>
      </c>
      <c r="E350" s="10">
        <v>45450</v>
      </c>
      <c r="F350" s="6" t="str">
        <f t="shared" si="80"/>
        <v>Valid</v>
      </c>
      <c r="G350" s="8">
        <f t="shared" si="81"/>
        <v>5</v>
      </c>
      <c r="H350" s="8" t="str">
        <f t="shared" si="82"/>
        <v>Valid</v>
      </c>
      <c r="I350" t="s">
        <v>1754</v>
      </c>
      <c r="J350" t="s">
        <v>161</v>
      </c>
      <c r="K350" t="s">
        <v>161</v>
      </c>
      <c r="L350" t="s">
        <v>107</v>
      </c>
      <c r="M350" s="3" t="str">
        <f t="shared" si="83"/>
        <v>Corporate</v>
      </c>
      <c r="N350" t="s">
        <v>61</v>
      </c>
      <c r="O350" s="3" t="str">
        <f t="shared" si="84"/>
        <v>South</v>
      </c>
      <c r="P350" t="s">
        <v>228</v>
      </c>
      <c r="Q350" t="s">
        <v>229</v>
      </c>
      <c r="R350" t="s">
        <v>85</v>
      </c>
      <c r="S350" s="3" t="str">
        <f t="shared" si="85"/>
        <v>Technology</v>
      </c>
      <c r="T350" t="s">
        <v>222</v>
      </c>
      <c r="U350" t="s">
        <v>1755</v>
      </c>
      <c r="V350" t="s">
        <v>47</v>
      </c>
      <c r="W350" s="3" t="str">
        <f t="shared" si="86"/>
        <v>Same Day</v>
      </c>
      <c r="X350">
        <v>9</v>
      </c>
      <c r="Y350">
        <v>2860.26</v>
      </c>
      <c r="Z350">
        <v>0.25</v>
      </c>
      <c r="AA350">
        <f t="shared" si="90"/>
        <v>0.25</v>
      </c>
      <c r="AB350">
        <f t="shared" si="91"/>
        <v>19306.755000000005</v>
      </c>
      <c r="AC350">
        <v>19306.759999999998</v>
      </c>
      <c r="AD350">
        <v>14442.38</v>
      </c>
      <c r="AE350">
        <v>4864.38</v>
      </c>
      <c r="AF350" t="s">
        <v>33</v>
      </c>
      <c r="AG350" t="s">
        <v>34</v>
      </c>
      <c r="AH350" t="str">
        <f t="shared" si="87"/>
        <v>Completed</v>
      </c>
      <c r="AI350" t="str">
        <f t="shared" si="88"/>
        <v>Valid</v>
      </c>
      <c r="AJ350">
        <f t="shared" si="89"/>
        <v>4864.3799999999992</v>
      </c>
      <c r="AK350" s="12">
        <f t="shared" si="92"/>
        <v>0.25195223122684252</v>
      </c>
      <c r="AL350">
        <f t="shared" si="93"/>
        <v>6</v>
      </c>
      <c r="AM350">
        <f t="shared" si="94"/>
        <v>2024</v>
      </c>
      <c r="AN350" t="str">
        <f t="shared" si="95"/>
        <v>Clean</v>
      </c>
    </row>
    <row r="351" spans="1:40">
      <c r="A351" t="s">
        <v>1756</v>
      </c>
      <c r="B351" s="3" t="s">
        <v>1757</v>
      </c>
      <c r="C351" s="10">
        <v>45927</v>
      </c>
      <c r="D351" s="3" t="s">
        <v>746</v>
      </c>
      <c r="E351" s="10">
        <v>45929</v>
      </c>
      <c r="F351" s="6" t="str">
        <f t="shared" si="80"/>
        <v>Valid</v>
      </c>
      <c r="G351" s="8">
        <f t="shared" si="81"/>
        <v>2</v>
      </c>
      <c r="H351" s="8" t="str">
        <f t="shared" si="82"/>
        <v>Valid</v>
      </c>
      <c r="I351" t="s">
        <v>1758</v>
      </c>
      <c r="J351" t="s">
        <v>365</v>
      </c>
      <c r="K351" t="s">
        <v>365</v>
      </c>
      <c r="L351" t="s">
        <v>114</v>
      </c>
      <c r="M351" s="3" t="str">
        <f t="shared" si="83"/>
        <v>Home Office</v>
      </c>
      <c r="N351" t="s">
        <v>41</v>
      </c>
      <c r="O351" s="3" t="str">
        <f t="shared" si="84"/>
        <v>East</v>
      </c>
      <c r="P351" t="s">
        <v>310</v>
      </c>
      <c r="Q351" t="s">
        <v>311</v>
      </c>
      <c r="R351" t="s">
        <v>44</v>
      </c>
      <c r="S351" s="3" t="str">
        <f t="shared" si="85"/>
        <v>Furniture</v>
      </c>
      <c r="T351" t="s">
        <v>64</v>
      </c>
      <c r="U351" t="s">
        <v>1759</v>
      </c>
      <c r="V351" t="s">
        <v>32</v>
      </c>
      <c r="W351" s="3" t="str">
        <f t="shared" si="86"/>
        <v>Second Class</v>
      </c>
      <c r="X351">
        <v>9</v>
      </c>
      <c r="Y351">
        <v>2867.55</v>
      </c>
      <c r="Z351">
        <v>0.25</v>
      </c>
      <c r="AA351">
        <f t="shared" si="90"/>
        <v>0.25</v>
      </c>
      <c r="AB351">
        <f t="shared" si="91"/>
        <v>19355.962500000001</v>
      </c>
      <c r="AC351">
        <v>19355.96</v>
      </c>
      <c r="AD351">
        <v>15012.45</v>
      </c>
      <c r="AE351">
        <v>4017.4</v>
      </c>
      <c r="AF351" t="s">
        <v>33</v>
      </c>
      <c r="AG351" t="s">
        <v>34</v>
      </c>
      <c r="AH351" t="str">
        <f t="shared" si="87"/>
        <v>Completed</v>
      </c>
      <c r="AI351" t="str">
        <f t="shared" si="88"/>
        <v>Valid</v>
      </c>
      <c r="AJ351">
        <f t="shared" si="89"/>
        <v>4343.5099999999984</v>
      </c>
      <c r="AK351" s="12">
        <f t="shared" si="92"/>
        <v>0.22440165401229714</v>
      </c>
      <c r="AL351">
        <f t="shared" si="93"/>
        <v>9</v>
      </c>
      <c r="AM351">
        <f t="shared" si="94"/>
        <v>2025</v>
      </c>
      <c r="AN351" t="str">
        <f t="shared" si="95"/>
        <v>Clean</v>
      </c>
    </row>
    <row r="352" spans="1:40">
      <c r="A352" t="s">
        <v>1760</v>
      </c>
      <c r="B352" s="3" t="s">
        <v>1761</v>
      </c>
      <c r="C352" s="10">
        <v>45298</v>
      </c>
      <c r="D352" s="3" t="s">
        <v>1762</v>
      </c>
      <c r="E352" s="10">
        <v>45305</v>
      </c>
      <c r="F352" s="6" t="str">
        <f t="shared" si="80"/>
        <v>Valid</v>
      </c>
      <c r="G352" s="8">
        <f t="shared" si="81"/>
        <v>7</v>
      </c>
      <c r="H352" s="8" t="str">
        <f t="shared" si="82"/>
        <v>Valid</v>
      </c>
      <c r="I352" t="s">
        <v>1763</v>
      </c>
      <c r="J352" t="s">
        <v>167</v>
      </c>
      <c r="K352" t="s">
        <v>167</v>
      </c>
      <c r="L352" t="s">
        <v>40</v>
      </c>
      <c r="M352" s="3" t="str">
        <f t="shared" si="83"/>
        <v>Small Business</v>
      </c>
      <c r="N352" t="s">
        <v>41</v>
      </c>
      <c r="O352" s="3" t="str">
        <f t="shared" si="84"/>
        <v>East</v>
      </c>
      <c r="P352" t="s">
        <v>310</v>
      </c>
      <c r="Q352" t="s">
        <v>311</v>
      </c>
      <c r="R352" t="s">
        <v>44</v>
      </c>
      <c r="S352" s="3" t="str">
        <f t="shared" si="85"/>
        <v>Furniture</v>
      </c>
      <c r="T352" t="s">
        <v>64</v>
      </c>
      <c r="U352" t="s">
        <v>1764</v>
      </c>
      <c r="V352" t="s">
        <v>32</v>
      </c>
      <c r="W352" s="3" t="str">
        <f t="shared" si="86"/>
        <v>Second Class</v>
      </c>
      <c r="X352">
        <v>4</v>
      </c>
      <c r="Y352">
        <v>3309.54</v>
      </c>
      <c r="Z352">
        <v>0.1</v>
      </c>
      <c r="AA352">
        <f t="shared" si="90"/>
        <v>0.1</v>
      </c>
      <c r="AB352">
        <f t="shared" si="91"/>
        <v>11914.344000000001</v>
      </c>
      <c r="AC352">
        <v>11914.34</v>
      </c>
      <c r="AD352">
        <v>9771.24</v>
      </c>
      <c r="AE352">
        <v>2143.1</v>
      </c>
      <c r="AF352" t="s">
        <v>123</v>
      </c>
      <c r="AG352" t="s">
        <v>124</v>
      </c>
      <c r="AH352" t="str">
        <f t="shared" si="87"/>
        <v>Returned</v>
      </c>
      <c r="AI352" t="str">
        <f t="shared" si="88"/>
        <v>Valid</v>
      </c>
      <c r="AJ352">
        <f t="shared" si="89"/>
        <v>2143.1000000000004</v>
      </c>
      <c r="AK352" s="12">
        <f t="shared" si="92"/>
        <v>0.17987561883390307</v>
      </c>
      <c r="AL352">
        <f t="shared" si="93"/>
        <v>1</v>
      </c>
      <c r="AM352">
        <f t="shared" si="94"/>
        <v>2024</v>
      </c>
      <c r="AN352" t="str">
        <f t="shared" si="95"/>
        <v>Clean</v>
      </c>
    </row>
    <row r="353" spans="1:40">
      <c r="A353" t="s">
        <v>1765</v>
      </c>
      <c r="B353" s="3" t="s">
        <v>1766</v>
      </c>
      <c r="C353" s="10">
        <v>45800</v>
      </c>
      <c r="D353" s="3" t="s">
        <v>1681</v>
      </c>
      <c r="E353" s="10">
        <v>45804</v>
      </c>
      <c r="F353" s="6" t="str">
        <f t="shared" si="80"/>
        <v>Valid</v>
      </c>
      <c r="G353" s="8">
        <f t="shared" si="81"/>
        <v>4</v>
      </c>
      <c r="H353" s="8" t="str">
        <f t="shared" si="82"/>
        <v>Valid</v>
      </c>
      <c r="I353" t="s">
        <v>1767</v>
      </c>
      <c r="J353" t="s">
        <v>82</v>
      </c>
      <c r="K353" t="s">
        <v>82</v>
      </c>
      <c r="L353" t="s">
        <v>40</v>
      </c>
      <c r="M353" s="3" t="str">
        <f t="shared" si="83"/>
        <v>Small Business</v>
      </c>
      <c r="N353" t="s">
        <v>61</v>
      </c>
      <c r="O353" s="3" t="str">
        <f t="shared" si="84"/>
        <v>South</v>
      </c>
      <c r="P353" t="s">
        <v>62</v>
      </c>
      <c r="Q353" t="s">
        <v>63</v>
      </c>
      <c r="R353" t="s">
        <v>29</v>
      </c>
      <c r="S353" s="3" t="str">
        <f t="shared" si="85"/>
        <v>Office Supplies</v>
      </c>
      <c r="T353" t="s">
        <v>155</v>
      </c>
      <c r="U353" t="s">
        <v>1768</v>
      </c>
      <c r="V353" t="s">
        <v>55</v>
      </c>
      <c r="W353" s="3" t="str">
        <f t="shared" si="86"/>
        <v>First Class</v>
      </c>
      <c r="X353">
        <v>6</v>
      </c>
      <c r="Y353">
        <v>719.44</v>
      </c>
      <c r="Z353">
        <v>0.25</v>
      </c>
      <c r="AA353">
        <f t="shared" si="90"/>
        <v>0.25</v>
      </c>
      <c r="AB353">
        <f t="shared" si="91"/>
        <v>3237.4800000000005</v>
      </c>
      <c r="AC353">
        <v>3237.48</v>
      </c>
      <c r="AD353">
        <v>2118.34</v>
      </c>
      <c r="AE353">
        <v>1119.1400000000001</v>
      </c>
      <c r="AF353" t="s">
        <v>136</v>
      </c>
      <c r="AG353" t="s">
        <v>77</v>
      </c>
      <c r="AH353" t="str">
        <f t="shared" si="87"/>
        <v>Cancelled</v>
      </c>
      <c r="AI353" t="str">
        <f t="shared" si="88"/>
        <v>Valid</v>
      </c>
      <c r="AJ353">
        <f t="shared" si="89"/>
        <v>1119.1399999999999</v>
      </c>
      <c r="AK353" s="12">
        <f t="shared" si="92"/>
        <v>0.34568244437031265</v>
      </c>
      <c r="AL353">
        <f t="shared" si="93"/>
        <v>5</v>
      </c>
      <c r="AM353">
        <f t="shared" si="94"/>
        <v>2025</v>
      </c>
      <c r="AN353" t="str">
        <f t="shared" si="95"/>
        <v>Clean</v>
      </c>
    </row>
    <row r="354" spans="1:40">
      <c r="A354" t="s">
        <v>1769</v>
      </c>
      <c r="B354" s="3" t="s">
        <v>1770</v>
      </c>
      <c r="C354" s="10">
        <v>45884</v>
      </c>
      <c r="D354" s="3" t="s">
        <v>1392</v>
      </c>
      <c r="E354" s="10">
        <v>45886</v>
      </c>
      <c r="F354" s="6" t="str">
        <f t="shared" si="80"/>
        <v>Valid</v>
      </c>
      <c r="G354" s="8">
        <f t="shared" si="81"/>
        <v>2</v>
      </c>
      <c r="H354" s="8" t="str">
        <f t="shared" si="82"/>
        <v>Valid</v>
      </c>
      <c r="I354" t="s">
        <v>1771</v>
      </c>
      <c r="J354" t="s">
        <v>209</v>
      </c>
      <c r="K354" t="s">
        <v>209</v>
      </c>
      <c r="L354" t="s">
        <v>40</v>
      </c>
      <c r="M354" s="3" t="str">
        <f t="shared" si="83"/>
        <v>Small Business</v>
      </c>
      <c r="N354" t="s">
        <v>41</v>
      </c>
      <c r="O354" s="3" t="str">
        <f t="shared" si="84"/>
        <v>East</v>
      </c>
      <c r="P354" t="s">
        <v>215</v>
      </c>
      <c r="Q354" t="s">
        <v>216</v>
      </c>
      <c r="R354" t="s">
        <v>85</v>
      </c>
      <c r="S354" s="3" t="str">
        <f t="shared" si="85"/>
        <v>Technology</v>
      </c>
      <c r="T354" t="s">
        <v>93</v>
      </c>
      <c r="U354" t="s">
        <v>1772</v>
      </c>
      <c r="V354" t="s">
        <v>55</v>
      </c>
      <c r="W354" s="3" t="str">
        <f t="shared" si="86"/>
        <v>First Class</v>
      </c>
      <c r="X354">
        <v>5</v>
      </c>
      <c r="Y354">
        <v>2862.6</v>
      </c>
      <c r="Z354">
        <v>0.25</v>
      </c>
      <c r="AA354">
        <f t="shared" si="90"/>
        <v>0.25</v>
      </c>
      <c r="AB354">
        <f t="shared" si="91"/>
        <v>10734.75</v>
      </c>
      <c r="AC354">
        <v>10734.75</v>
      </c>
      <c r="AD354">
        <v>6475.73</v>
      </c>
      <c r="AE354">
        <v>4259.0200000000004</v>
      </c>
      <c r="AF354" t="s">
        <v>33</v>
      </c>
      <c r="AG354" t="s">
        <v>34</v>
      </c>
      <c r="AH354" t="str">
        <f t="shared" si="87"/>
        <v>Completed</v>
      </c>
      <c r="AI354" t="str">
        <f t="shared" si="88"/>
        <v>Valid</v>
      </c>
      <c r="AJ354">
        <f t="shared" si="89"/>
        <v>4259.0200000000004</v>
      </c>
      <c r="AK354" s="12">
        <f t="shared" si="92"/>
        <v>0.39675073942103917</v>
      </c>
      <c r="AL354">
        <f t="shared" si="93"/>
        <v>8</v>
      </c>
      <c r="AM354">
        <f t="shared" si="94"/>
        <v>2025</v>
      </c>
      <c r="AN354" t="str">
        <f t="shared" si="95"/>
        <v>Clean</v>
      </c>
    </row>
    <row r="355" spans="1:40">
      <c r="A355" t="s">
        <v>1773</v>
      </c>
      <c r="B355" s="3" t="s">
        <v>1774</v>
      </c>
      <c r="C355" s="10">
        <v>45709</v>
      </c>
      <c r="D355" s="3" t="s">
        <v>1162</v>
      </c>
      <c r="E355" s="10">
        <v>45715</v>
      </c>
      <c r="F355" s="6" t="str">
        <f t="shared" si="80"/>
        <v>Valid</v>
      </c>
      <c r="G355" s="8">
        <f t="shared" si="81"/>
        <v>6</v>
      </c>
      <c r="H355" s="8" t="str">
        <f t="shared" si="82"/>
        <v>Valid</v>
      </c>
      <c r="I355" t="s">
        <v>1775</v>
      </c>
      <c r="J355" t="s">
        <v>71</v>
      </c>
      <c r="K355" t="s">
        <v>71</v>
      </c>
      <c r="L355" t="s">
        <v>25</v>
      </c>
      <c r="M355" s="3" t="str">
        <f t="shared" si="83"/>
        <v>Consumer</v>
      </c>
      <c r="N355" t="s">
        <v>26</v>
      </c>
      <c r="O355" s="3" t="str">
        <f t="shared" si="84"/>
        <v>North</v>
      </c>
      <c r="P355" t="s">
        <v>27</v>
      </c>
      <c r="Q355" t="s">
        <v>28</v>
      </c>
      <c r="R355" t="s">
        <v>29</v>
      </c>
      <c r="S355" s="3" t="str">
        <f t="shared" si="85"/>
        <v>Office Supplies</v>
      </c>
      <c r="T355" t="s">
        <v>53</v>
      </c>
      <c r="U355" t="s">
        <v>1776</v>
      </c>
      <c r="V355" t="s">
        <v>47</v>
      </c>
      <c r="W355" s="3" t="str">
        <f t="shared" si="86"/>
        <v>Same Day</v>
      </c>
      <c r="X355">
        <v>9</v>
      </c>
      <c r="Y355">
        <v>1431.67</v>
      </c>
      <c r="Z355">
        <v>0.2</v>
      </c>
      <c r="AA355">
        <f t="shared" si="90"/>
        <v>0.2</v>
      </c>
      <c r="AB355">
        <f t="shared" si="91"/>
        <v>10308.024000000001</v>
      </c>
      <c r="AC355">
        <v>10308.02</v>
      </c>
      <c r="AD355">
        <v>5822.31</v>
      </c>
      <c r="AE355">
        <v>4485.71</v>
      </c>
      <c r="AF355" t="s">
        <v>33</v>
      </c>
      <c r="AG355" t="s">
        <v>34</v>
      </c>
      <c r="AH355" t="str">
        <f t="shared" si="87"/>
        <v>Completed</v>
      </c>
      <c r="AI355" t="str">
        <f t="shared" si="88"/>
        <v>Valid</v>
      </c>
      <c r="AJ355">
        <f t="shared" si="89"/>
        <v>4485.71</v>
      </c>
      <c r="AK355" s="12">
        <f t="shared" si="92"/>
        <v>0.43516681761703307</v>
      </c>
      <c r="AL355">
        <f t="shared" si="93"/>
        <v>2</v>
      </c>
      <c r="AM355">
        <f t="shared" si="94"/>
        <v>2025</v>
      </c>
      <c r="AN355" t="str">
        <f t="shared" si="95"/>
        <v>Clean</v>
      </c>
    </row>
    <row r="356" spans="1:40">
      <c r="A356" t="s">
        <v>1777</v>
      </c>
      <c r="B356" s="3" t="s">
        <v>144</v>
      </c>
      <c r="C356" s="10">
        <v>45653</v>
      </c>
      <c r="D356" s="3" t="s">
        <v>1778</v>
      </c>
      <c r="E356" s="10">
        <v>45657</v>
      </c>
      <c r="F356" s="6" t="str">
        <f t="shared" si="80"/>
        <v>Valid</v>
      </c>
      <c r="G356" s="8">
        <f t="shared" si="81"/>
        <v>4</v>
      </c>
      <c r="H356" s="8" t="str">
        <f t="shared" si="82"/>
        <v>Valid</v>
      </c>
      <c r="I356" t="s">
        <v>1779</v>
      </c>
      <c r="J356" t="s">
        <v>365</v>
      </c>
      <c r="K356" t="s">
        <v>365</v>
      </c>
      <c r="L356" t="s">
        <v>1780</v>
      </c>
      <c r="M356" s="3" t="str">
        <f t="shared" si="83"/>
        <v>Corporate</v>
      </c>
      <c r="N356" t="s">
        <v>26</v>
      </c>
      <c r="O356" s="3" t="str">
        <f t="shared" si="84"/>
        <v>North</v>
      </c>
      <c r="P356" t="s">
        <v>153</v>
      </c>
      <c r="Q356" t="s">
        <v>154</v>
      </c>
      <c r="R356" t="s">
        <v>44</v>
      </c>
      <c r="S356" s="3" t="str">
        <f t="shared" si="85"/>
        <v>Furniture</v>
      </c>
      <c r="T356" t="s">
        <v>64</v>
      </c>
      <c r="U356" t="s">
        <v>1781</v>
      </c>
      <c r="V356" t="s">
        <v>66</v>
      </c>
      <c r="W356" s="3" t="str">
        <f t="shared" si="86"/>
        <v>Standard Class</v>
      </c>
      <c r="X356">
        <v>6</v>
      </c>
      <c r="Y356">
        <v>3346.78</v>
      </c>
      <c r="Z356">
        <v>-0.06</v>
      </c>
      <c r="AA356">
        <f t="shared" si="90"/>
        <v>-0.06</v>
      </c>
      <c r="AB356">
        <f t="shared" si="91"/>
        <v>21285.520800000002</v>
      </c>
      <c r="AC356">
        <v>20080.68</v>
      </c>
      <c r="AD356">
        <v>12908.84</v>
      </c>
      <c r="AE356">
        <v>7171.84</v>
      </c>
      <c r="AF356" t="s">
        <v>136</v>
      </c>
      <c r="AG356" t="s">
        <v>77</v>
      </c>
      <c r="AH356" t="str">
        <f t="shared" si="87"/>
        <v>Cancelled</v>
      </c>
      <c r="AI356" t="str">
        <f t="shared" si="88"/>
        <v>Invalid - Negative Discount</v>
      </c>
      <c r="AJ356">
        <f t="shared" si="89"/>
        <v>7171.84</v>
      </c>
      <c r="AK356" s="12">
        <f t="shared" si="92"/>
        <v>0.33693514325475182</v>
      </c>
      <c r="AL356">
        <f t="shared" si="93"/>
        <v>12</v>
      </c>
      <c r="AM356">
        <f t="shared" si="94"/>
        <v>2024</v>
      </c>
      <c r="AN356" t="str">
        <f t="shared" si="95"/>
        <v>Clean</v>
      </c>
    </row>
    <row r="357" spans="1:40">
      <c r="A357" t="s">
        <v>1782</v>
      </c>
      <c r="B357" s="3" t="s">
        <v>1783</v>
      </c>
      <c r="C357" s="10">
        <v>45424</v>
      </c>
      <c r="D357" s="3" t="s">
        <v>1784</v>
      </c>
      <c r="E357" s="10">
        <v>45421</v>
      </c>
      <c r="F357" s="6" t="str">
        <f t="shared" si="80"/>
        <v>Invalid Shipping Record</v>
      </c>
      <c r="G357" s="8">
        <f t="shared" si="81"/>
        <v>-3</v>
      </c>
      <c r="H357" s="8" t="str">
        <f t="shared" si="82"/>
        <v>Invalid Shipping Record</v>
      </c>
      <c r="I357" t="s">
        <v>1785</v>
      </c>
      <c r="J357" t="s">
        <v>141</v>
      </c>
      <c r="K357" t="s">
        <v>141</v>
      </c>
      <c r="L357" t="s">
        <v>107</v>
      </c>
      <c r="M357" s="3" t="str">
        <f t="shared" si="83"/>
        <v>Corporate</v>
      </c>
      <c r="N357" t="s">
        <v>72</v>
      </c>
      <c r="O357" s="3" t="str">
        <f t="shared" si="84"/>
        <v>West</v>
      </c>
      <c r="P357" t="s">
        <v>27</v>
      </c>
      <c r="Q357" t="s">
        <v>134</v>
      </c>
      <c r="R357" t="s">
        <v>44</v>
      </c>
      <c r="S357" s="3" t="str">
        <f t="shared" si="85"/>
        <v>Furniture</v>
      </c>
      <c r="T357" t="s">
        <v>45</v>
      </c>
      <c r="U357" t="s">
        <v>1786</v>
      </c>
      <c r="V357" t="s">
        <v>66</v>
      </c>
      <c r="W357" s="3" t="str">
        <f t="shared" si="86"/>
        <v>Standard Class</v>
      </c>
      <c r="X357">
        <v>5</v>
      </c>
      <c r="Y357">
        <v>3203.48</v>
      </c>
      <c r="Z357">
        <v>0</v>
      </c>
      <c r="AA357">
        <f t="shared" si="90"/>
        <v>0</v>
      </c>
      <c r="AB357">
        <f t="shared" si="91"/>
        <v>16017.4</v>
      </c>
      <c r="AC357">
        <v>16017.4</v>
      </c>
      <c r="AD357">
        <v>9557.7999999999993</v>
      </c>
      <c r="AE357">
        <v>6459.6</v>
      </c>
      <c r="AF357" t="s">
        <v>136</v>
      </c>
      <c r="AG357" t="s">
        <v>77</v>
      </c>
      <c r="AH357" t="str">
        <f t="shared" si="87"/>
        <v>Cancelled</v>
      </c>
      <c r="AI357" t="str">
        <f t="shared" si="88"/>
        <v>Valid</v>
      </c>
      <c r="AJ357">
        <f t="shared" si="89"/>
        <v>6459.6</v>
      </c>
      <c r="AK357" s="12">
        <f t="shared" si="92"/>
        <v>0.40328642601171227</v>
      </c>
      <c r="AL357">
        <f t="shared" si="93"/>
        <v>5</v>
      </c>
      <c r="AM357">
        <f t="shared" si="94"/>
        <v>2024</v>
      </c>
      <c r="AN357" t="str">
        <f t="shared" si="95"/>
        <v>Invalid</v>
      </c>
    </row>
    <row r="358" spans="1:40">
      <c r="A358" t="s">
        <v>1787</v>
      </c>
      <c r="B358" s="3" t="s">
        <v>1788</v>
      </c>
      <c r="C358" s="10">
        <v>45835</v>
      </c>
      <c r="D358" s="3" t="s">
        <v>1789</v>
      </c>
      <c r="E358" s="10">
        <v>45837</v>
      </c>
      <c r="F358" s="6" t="str">
        <f t="shared" si="80"/>
        <v>Valid</v>
      </c>
      <c r="G358" s="8">
        <f t="shared" si="81"/>
        <v>2</v>
      </c>
      <c r="H358" s="8" t="str">
        <f t="shared" si="82"/>
        <v>Valid</v>
      </c>
      <c r="I358" t="s">
        <v>1790</v>
      </c>
      <c r="J358" t="s">
        <v>179</v>
      </c>
      <c r="K358" t="s">
        <v>179</v>
      </c>
      <c r="L358" t="s">
        <v>114</v>
      </c>
      <c r="M358" s="3" t="str">
        <f t="shared" si="83"/>
        <v>Home Office</v>
      </c>
      <c r="N358" t="s">
        <v>61</v>
      </c>
      <c r="O358" s="3" t="str">
        <f t="shared" si="84"/>
        <v>South</v>
      </c>
      <c r="P358" t="s">
        <v>62</v>
      </c>
      <c r="Q358" t="s">
        <v>63</v>
      </c>
      <c r="R358" t="s">
        <v>44</v>
      </c>
      <c r="S358" s="3" t="str">
        <f t="shared" si="85"/>
        <v>Furniture</v>
      </c>
      <c r="T358" t="s">
        <v>75</v>
      </c>
      <c r="U358" t="s">
        <v>1791</v>
      </c>
      <c r="V358" t="s">
        <v>55</v>
      </c>
      <c r="W358" s="3" t="str">
        <f t="shared" si="86"/>
        <v>First Class</v>
      </c>
      <c r="X358">
        <v>5</v>
      </c>
      <c r="Y358">
        <v>621.70000000000005</v>
      </c>
      <c r="Z358">
        <v>0.2</v>
      </c>
      <c r="AA358">
        <f t="shared" si="90"/>
        <v>0.2</v>
      </c>
      <c r="AB358">
        <f t="shared" si="91"/>
        <v>2486.8000000000002</v>
      </c>
      <c r="AC358">
        <v>2486.8000000000002</v>
      </c>
      <c r="AD358">
        <v>2131.73</v>
      </c>
      <c r="AE358">
        <v>355.07</v>
      </c>
      <c r="AF358" t="s">
        <v>136</v>
      </c>
      <c r="AG358" t="s">
        <v>124</v>
      </c>
      <c r="AH358" t="str">
        <f t="shared" si="87"/>
        <v>Returned</v>
      </c>
      <c r="AI358" t="str">
        <f t="shared" si="88"/>
        <v>Valid</v>
      </c>
      <c r="AJ358">
        <f t="shared" si="89"/>
        <v>355.07000000000016</v>
      </c>
      <c r="AK358" s="12">
        <f t="shared" si="92"/>
        <v>0.1427818883705968</v>
      </c>
      <c r="AL358">
        <f t="shared" si="93"/>
        <v>6</v>
      </c>
      <c r="AM358">
        <f t="shared" si="94"/>
        <v>2025</v>
      </c>
      <c r="AN358" t="str">
        <f t="shared" si="95"/>
        <v>Clean</v>
      </c>
    </row>
    <row r="359" spans="1:40">
      <c r="A359" t="s">
        <v>1792</v>
      </c>
      <c r="B359" s="3" t="s">
        <v>195</v>
      </c>
      <c r="C359" s="10">
        <v>45678</v>
      </c>
      <c r="D359" s="3" t="s">
        <v>1793</v>
      </c>
      <c r="E359" s="10">
        <v>45686</v>
      </c>
      <c r="F359" s="6" t="str">
        <f t="shared" si="80"/>
        <v>Valid</v>
      </c>
      <c r="G359" s="8">
        <f t="shared" si="81"/>
        <v>8</v>
      </c>
      <c r="H359" s="8" t="str">
        <f t="shared" si="82"/>
        <v>Valid</v>
      </c>
      <c r="I359" t="s">
        <v>1794</v>
      </c>
      <c r="J359" t="s">
        <v>39</v>
      </c>
      <c r="K359" t="s">
        <v>39</v>
      </c>
      <c r="L359" t="s">
        <v>114</v>
      </c>
      <c r="M359" s="3" t="str">
        <f t="shared" si="83"/>
        <v>Home Office</v>
      </c>
      <c r="N359" t="s">
        <v>61</v>
      </c>
      <c r="O359" s="3" t="str">
        <f t="shared" si="84"/>
        <v>South</v>
      </c>
      <c r="P359" t="s">
        <v>99</v>
      </c>
      <c r="Q359" t="s">
        <v>100</v>
      </c>
      <c r="R359" t="s">
        <v>85</v>
      </c>
      <c r="S359" s="3" t="str">
        <f t="shared" si="85"/>
        <v>Technology</v>
      </c>
      <c r="T359" t="s">
        <v>381</v>
      </c>
      <c r="U359" t="s">
        <v>1795</v>
      </c>
      <c r="V359" t="s">
        <v>32</v>
      </c>
      <c r="W359" s="3" t="str">
        <f t="shared" si="86"/>
        <v>Second Class</v>
      </c>
      <c r="X359">
        <v>8</v>
      </c>
      <c r="Y359">
        <v>546.13</v>
      </c>
      <c r="Z359">
        <v>0</v>
      </c>
      <c r="AA359">
        <f t="shared" si="90"/>
        <v>0</v>
      </c>
      <c r="AB359">
        <f t="shared" si="91"/>
        <v>4369.04</v>
      </c>
      <c r="AC359">
        <v>4369.04</v>
      </c>
      <c r="AD359">
        <v>3716.88</v>
      </c>
      <c r="AE359">
        <v>652.16</v>
      </c>
      <c r="AF359" t="s">
        <v>33</v>
      </c>
      <c r="AG359" t="s">
        <v>77</v>
      </c>
      <c r="AH359" t="str">
        <f t="shared" si="87"/>
        <v>Cancelled</v>
      </c>
      <c r="AI359" t="str">
        <f t="shared" si="88"/>
        <v>Valid</v>
      </c>
      <c r="AJ359">
        <f t="shared" si="89"/>
        <v>652.15999999999985</v>
      </c>
      <c r="AK359" s="12">
        <f t="shared" si="92"/>
        <v>0.14926848918755603</v>
      </c>
      <c r="AL359">
        <f t="shared" si="93"/>
        <v>1</v>
      </c>
      <c r="AM359">
        <f t="shared" si="94"/>
        <v>2025</v>
      </c>
      <c r="AN359" t="str">
        <f t="shared" si="95"/>
        <v>Clean</v>
      </c>
    </row>
    <row r="360" spans="1:40">
      <c r="A360" t="s">
        <v>1796</v>
      </c>
      <c r="B360" s="3" t="s">
        <v>1797</v>
      </c>
      <c r="C360" s="10">
        <v>45878</v>
      </c>
      <c r="D360" s="3" t="s">
        <v>1798</v>
      </c>
      <c r="E360" s="10">
        <v>45876</v>
      </c>
      <c r="F360" s="6" t="str">
        <f t="shared" si="80"/>
        <v>Invalid Shipping Record</v>
      </c>
      <c r="G360" s="8">
        <f t="shared" si="81"/>
        <v>-2</v>
      </c>
      <c r="H360" s="8" t="str">
        <f t="shared" si="82"/>
        <v>Invalid Shipping Record</v>
      </c>
      <c r="I360" t="s">
        <v>1799</v>
      </c>
      <c r="J360" t="s">
        <v>82</v>
      </c>
      <c r="K360" t="s">
        <v>82</v>
      </c>
      <c r="L360" t="s">
        <v>114</v>
      </c>
      <c r="M360" s="3" t="str">
        <f t="shared" si="83"/>
        <v>Home Office</v>
      </c>
      <c r="N360" t="s">
        <v>72</v>
      </c>
      <c r="O360" s="3" t="str">
        <f t="shared" si="84"/>
        <v>West</v>
      </c>
      <c r="P360" t="s">
        <v>234</v>
      </c>
      <c r="Q360" t="s">
        <v>235</v>
      </c>
      <c r="R360" t="s">
        <v>44</v>
      </c>
      <c r="S360" s="3" t="str">
        <f t="shared" si="85"/>
        <v>Furniture</v>
      </c>
      <c r="T360" t="s">
        <v>203</v>
      </c>
      <c r="U360" t="s">
        <v>1800</v>
      </c>
      <c r="V360" t="s">
        <v>32</v>
      </c>
      <c r="W360" s="3" t="str">
        <f t="shared" si="86"/>
        <v>Second Class</v>
      </c>
      <c r="X360">
        <v>5</v>
      </c>
      <c r="Y360">
        <v>1253.92</v>
      </c>
      <c r="Z360">
        <v>0.05</v>
      </c>
      <c r="AA360">
        <f t="shared" si="90"/>
        <v>0.05</v>
      </c>
      <c r="AB360">
        <f t="shared" si="91"/>
        <v>5956.12</v>
      </c>
      <c r="AC360">
        <v>5956.12</v>
      </c>
      <c r="AD360">
        <v>4379.18</v>
      </c>
      <c r="AE360">
        <v>1576.94</v>
      </c>
      <c r="AF360" t="s">
        <v>136</v>
      </c>
      <c r="AG360" t="s">
        <v>124</v>
      </c>
      <c r="AH360" t="str">
        <f t="shared" si="87"/>
        <v>Returned</v>
      </c>
      <c r="AI360" t="str">
        <f t="shared" si="88"/>
        <v>Valid</v>
      </c>
      <c r="AJ360">
        <f t="shared" si="89"/>
        <v>1576.9399999999996</v>
      </c>
      <c r="AK360" s="12">
        <f t="shared" si="92"/>
        <v>0.26475960860425907</v>
      </c>
      <c r="AL360">
        <f t="shared" si="93"/>
        <v>8</v>
      </c>
      <c r="AM360">
        <f t="shared" si="94"/>
        <v>2025</v>
      </c>
      <c r="AN360" t="str">
        <f t="shared" si="95"/>
        <v>Invalid</v>
      </c>
    </row>
    <row r="361" spans="1:40">
      <c r="A361" t="s">
        <v>1801</v>
      </c>
      <c r="B361" s="3" t="s">
        <v>1625</v>
      </c>
      <c r="C361" s="10">
        <v>45525</v>
      </c>
      <c r="D361" s="3" t="s">
        <v>1802</v>
      </c>
      <c r="E361" s="10">
        <v>45526</v>
      </c>
      <c r="F361" s="6" t="str">
        <f t="shared" si="80"/>
        <v>Valid</v>
      </c>
      <c r="G361" s="8">
        <f t="shared" si="81"/>
        <v>1</v>
      </c>
      <c r="H361" s="8" t="str">
        <f t="shared" si="82"/>
        <v>Valid</v>
      </c>
      <c r="I361" t="s">
        <v>1803</v>
      </c>
      <c r="J361" t="s">
        <v>52</v>
      </c>
      <c r="K361" t="s">
        <v>52</v>
      </c>
      <c r="L361" t="s">
        <v>25</v>
      </c>
      <c r="M361" s="3" t="str">
        <f t="shared" si="83"/>
        <v>Consumer</v>
      </c>
      <c r="N361" t="s">
        <v>61</v>
      </c>
      <c r="O361" s="3" t="str">
        <f t="shared" si="84"/>
        <v>South</v>
      </c>
      <c r="P361" t="s">
        <v>338</v>
      </c>
      <c r="Q361" t="s">
        <v>339</v>
      </c>
      <c r="R361" t="s">
        <v>85</v>
      </c>
      <c r="S361" s="3" t="str">
        <f t="shared" si="85"/>
        <v>Technology</v>
      </c>
      <c r="T361" t="s">
        <v>222</v>
      </c>
      <c r="U361" t="s">
        <v>1804</v>
      </c>
      <c r="V361" t="s">
        <v>47</v>
      </c>
      <c r="W361" s="3" t="str">
        <f t="shared" si="86"/>
        <v>Same Day</v>
      </c>
      <c r="X361">
        <v>9</v>
      </c>
      <c r="Y361">
        <v>616.96</v>
      </c>
      <c r="Z361">
        <v>0.1</v>
      </c>
      <c r="AA361">
        <f t="shared" si="90"/>
        <v>0.1</v>
      </c>
      <c r="AB361">
        <f t="shared" si="91"/>
        <v>4997.3760000000002</v>
      </c>
      <c r="AC361">
        <v>4997.38</v>
      </c>
      <c r="AD361">
        <v>2971.39</v>
      </c>
      <c r="AE361">
        <v>2025.99</v>
      </c>
      <c r="AF361" t="s">
        <v>33</v>
      </c>
      <c r="AG361" t="s">
        <v>34</v>
      </c>
      <c r="AH361" t="str">
        <f t="shared" si="87"/>
        <v>Completed</v>
      </c>
      <c r="AI361" t="str">
        <f t="shared" si="88"/>
        <v>Valid</v>
      </c>
      <c r="AJ361">
        <f t="shared" si="89"/>
        <v>2025.9900000000002</v>
      </c>
      <c r="AK361" s="12">
        <f t="shared" si="92"/>
        <v>0.40541075956662059</v>
      </c>
      <c r="AL361">
        <f t="shared" si="93"/>
        <v>8</v>
      </c>
      <c r="AM361">
        <f t="shared" si="94"/>
        <v>2024</v>
      </c>
      <c r="AN361" t="str">
        <f t="shared" si="95"/>
        <v>Clean</v>
      </c>
    </row>
    <row r="362" spans="1:40">
      <c r="A362" t="s">
        <v>1805</v>
      </c>
      <c r="B362" s="3" t="s">
        <v>1806</v>
      </c>
      <c r="C362" s="10">
        <v>45460</v>
      </c>
      <c r="D362" s="3" t="s">
        <v>1807</v>
      </c>
      <c r="E362" s="10">
        <v>45463</v>
      </c>
      <c r="F362" s="6" t="str">
        <f t="shared" si="80"/>
        <v>Valid</v>
      </c>
      <c r="G362" s="8">
        <f t="shared" si="81"/>
        <v>3</v>
      </c>
      <c r="H362" s="8" t="str">
        <f t="shared" si="82"/>
        <v>Valid</v>
      </c>
      <c r="I362" t="s">
        <v>1808</v>
      </c>
      <c r="J362" t="s">
        <v>167</v>
      </c>
      <c r="K362" t="s">
        <v>167</v>
      </c>
      <c r="L362" t="s">
        <v>40</v>
      </c>
      <c r="M362" s="3" t="str">
        <f t="shared" si="83"/>
        <v>Small Business</v>
      </c>
      <c r="N362" t="s">
        <v>72</v>
      </c>
      <c r="O362" s="3" t="str">
        <f t="shared" si="84"/>
        <v>West</v>
      </c>
      <c r="P362" t="s">
        <v>234</v>
      </c>
      <c r="Q362" t="s">
        <v>235</v>
      </c>
      <c r="R362" t="s">
        <v>44</v>
      </c>
      <c r="S362" s="3" t="str">
        <f t="shared" si="85"/>
        <v>Furniture</v>
      </c>
      <c r="T362" t="s">
        <v>64</v>
      </c>
      <c r="U362" t="s">
        <v>1809</v>
      </c>
      <c r="V362" t="s">
        <v>66</v>
      </c>
      <c r="W362" s="3" t="str">
        <f t="shared" si="86"/>
        <v>Standard Class</v>
      </c>
      <c r="X362">
        <v>7</v>
      </c>
      <c r="Y362">
        <v>3155.25</v>
      </c>
      <c r="Z362">
        <v>0.2</v>
      </c>
      <c r="AA362">
        <f t="shared" si="90"/>
        <v>0.2</v>
      </c>
      <c r="AB362">
        <f t="shared" si="91"/>
        <v>17669.400000000001</v>
      </c>
      <c r="AC362">
        <v>17669.400000000001</v>
      </c>
      <c r="AD362">
        <v>13718.77</v>
      </c>
      <c r="AE362">
        <v>3950.63</v>
      </c>
      <c r="AF362" t="s">
        <v>123</v>
      </c>
      <c r="AG362" t="s">
        <v>77</v>
      </c>
      <c r="AH362" t="str">
        <f t="shared" si="87"/>
        <v>Cancelled</v>
      </c>
      <c r="AI362" t="str">
        <f t="shared" si="88"/>
        <v>Valid</v>
      </c>
      <c r="AJ362">
        <f t="shared" si="89"/>
        <v>3950.630000000001</v>
      </c>
      <c r="AK362" s="12">
        <f t="shared" si="92"/>
        <v>0.2235859734908939</v>
      </c>
      <c r="AL362">
        <f t="shared" si="93"/>
        <v>6</v>
      </c>
      <c r="AM362">
        <f t="shared" si="94"/>
        <v>2024</v>
      </c>
      <c r="AN362" t="str">
        <f t="shared" si="95"/>
        <v>Clean</v>
      </c>
    </row>
    <row r="363" spans="1:40">
      <c r="A363" t="s">
        <v>1810</v>
      </c>
      <c r="B363" s="3" t="s">
        <v>1156</v>
      </c>
      <c r="C363" s="10">
        <v>45748</v>
      </c>
      <c r="D363" s="3" t="s">
        <v>1811</v>
      </c>
      <c r="E363" s="10">
        <v>45749</v>
      </c>
      <c r="F363" s="6" t="str">
        <f t="shared" si="80"/>
        <v>Valid</v>
      </c>
      <c r="G363" s="8">
        <f t="shared" si="81"/>
        <v>1</v>
      </c>
      <c r="H363" s="8" t="str">
        <f t="shared" si="82"/>
        <v>Valid</v>
      </c>
      <c r="I363" t="s">
        <v>1812</v>
      </c>
      <c r="J363" t="s">
        <v>179</v>
      </c>
      <c r="K363" t="s">
        <v>179</v>
      </c>
      <c r="L363" t="s">
        <v>107</v>
      </c>
      <c r="M363" s="3" t="str">
        <f t="shared" si="83"/>
        <v>Corporate</v>
      </c>
      <c r="N363" t="s">
        <v>41</v>
      </c>
      <c r="O363" s="3" t="str">
        <f t="shared" si="84"/>
        <v>East</v>
      </c>
      <c r="P363" t="s">
        <v>42</v>
      </c>
      <c r="Q363" t="s">
        <v>43</v>
      </c>
      <c r="R363" t="s">
        <v>44</v>
      </c>
      <c r="S363" s="3" t="str">
        <f t="shared" si="85"/>
        <v>Furniture</v>
      </c>
      <c r="T363" t="s">
        <v>75</v>
      </c>
      <c r="U363" t="s">
        <v>1813</v>
      </c>
      <c r="V363" t="s">
        <v>32</v>
      </c>
      <c r="W363" s="3" t="str">
        <f t="shared" si="86"/>
        <v>Second Class</v>
      </c>
      <c r="X363">
        <v>9</v>
      </c>
      <c r="Y363">
        <v>4165.58</v>
      </c>
      <c r="Z363">
        <v>0.05</v>
      </c>
      <c r="AA363">
        <f t="shared" si="90"/>
        <v>0.05</v>
      </c>
      <c r="AB363">
        <f t="shared" si="91"/>
        <v>35615.709000000003</v>
      </c>
      <c r="AC363">
        <v>35615.71</v>
      </c>
      <c r="AD363">
        <v>20389.71</v>
      </c>
      <c r="AE363">
        <v>15226</v>
      </c>
      <c r="AF363" t="s">
        <v>136</v>
      </c>
      <c r="AG363" t="s">
        <v>124</v>
      </c>
      <c r="AH363" t="str">
        <f t="shared" si="87"/>
        <v>Returned</v>
      </c>
      <c r="AI363" t="str">
        <f t="shared" si="88"/>
        <v>Valid</v>
      </c>
      <c r="AJ363">
        <f t="shared" si="89"/>
        <v>15226</v>
      </c>
      <c r="AK363" s="12">
        <f t="shared" si="92"/>
        <v>0.42750798531063916</v>
      </c>
      <c r="AL363">
        <f t="shared" si="93"/>
        <v>4</v>
      </c>
      <c r="AM363">
        <f t="shared" si="94"/>
        <v>2025</v>
      </c>
      <c r="AN363" t="str">
        <f t="shared" si="95"/>
        <v>Clean</v>
      </c>
    </row>
    <row r="364" spans="1:40">
      <c r="A364" t="s">
        <v>1814</v>
      </c>
      <c r="B364" s="3" t="s">
        <v>1815</v>
      </c>
      <c r="C364" s="10">
        <v>45527</v>
      </c>
      <c r="D364" s="3" t="s">
        <v>1816</v>
      </c>
      <c r="E364" s="10">
        <v>45529</v>
      </c>
      <c r="F364" s="6" t="str">
        <f t="shared" si="80"/>
        <v>Valid</v>
      </c>
      <c r="G364" s="8">
        <f t="shared" si="81"/>
        <v>2</v>
      </c>
      <c r="H364" s="8" t="str">
        <f t="shared" si="82"/>
        <v>Valid</v>
      </c>
      <c r="I364" t="s">
        <v>1817</v>
      </c>
      <c r="J364" t="s">
        <v>82</v>
      </c>
      <c r="K364" t="s">
        <v>82</v>
      </c>
      <c r="L364" t="s">
        <v>25</v>
      </c>
      <c r="M364" s="3" t="str">
        <f t="shared" si="83"/>
        <v>Consumer</v>
      </c>
      <c r="N364" t="s">
        <v>72</v>
      </c>
      <c r="O364" s="3" t="str">
        <f t="shared" si="84"/>
        <v>West</v>
      </c>
      <c r="P364" t="s">
        <v>248</v>
      </c>
      <c r="Q364" t="s">
        <v>249</v>
      </c>
      <c r="R364" t="s">
        <v>85</v>
      </c>
      <c r="S364" s="3" t="str">
        <f t="shared" si="85"/>
        <v>Technology</v>
      </c>
      <c r="T364" t="s">
        <v>381</v>
      </c>
      <c r="U364" t="s">
        <v>1818</v>
      </c>
      <c r="V364" t="s">
        <v>47</v>
      </c>
      <c r="W364" s="3" t="str">
        <f t="shared" si="86"/>
        <v>Same Day</v>
      </c>
      <c r="X364">
        <v>4</v>
      </c>
      <c r="Y364">
        <v>491.16</v>
      </c>
      <c r="Z364">
        <v>0.05</v>
      </c>
      <c r="AA364">
        <f t="shared" si="90"/>
        <v>0.05</v>
      </c>
      <c r="AB364">
        <f t="shared" si="91"/>
        <v>1866.4079999999999</v>
      </c>
      <c r="AC364">
        <v>1866.41</v>
      </c>
      <c r="AD364">
        <v>1576.49</v>
      </c>
      <c r="AE364">
        <v>289.92</v>
      </c>
      <c r="AF364" t="s">
        <v>33</v>
      </c>
      <c r="AG364" t="s">
        <v>34</v>
      </c>
      <c r="AH364" t="str">
        <f t="shared" si="87"/>
        <v>Completed</v>
      </c>
      <c r="AI364" t="str">
        <f t="shared" si="88"/>
        <v>Valid</v>
      </c>
      <c r="AJ364">
        <f t="shared" si="89"/>
        <v>289.92000000000007</v>
      </c>
      <c r="AK364" s="12">
        <f t="shared" si="92"/>
        <v>0.15533581081949932</v>
      </c>
      <c r="AL364">
        <f t="shared" si="93"/>
        <v>8</v>
      </c>
      <c r="AM364">
        <f t="shared" si="94"/>
        <v>2024</v>
      </c>
      <c r="AN364" t="str">
        <f t="shared" si="95"/>
        <v>Clean</v>
      </c>
    </row>
    <row r="365" spans="1:40">
      <c r="A365" t="s">
        <v>1819</v>
      </c>
      <c r="B365" s="3" t="s">
        <v>1820</v>
      </c>
      <c r="C365" s="10">
        <v>45845</v>
      </c>
      <c r="D365" s="3" t="s">
        <v>1821</v>
      </c>
      <c r="E365" s="10">
        <v>45850</v>
      </c>
      <c r="F365" s="6" t="str">
        <f t="shared" si="80"/>
        <v>Valid</v>
      </c>
      <c r="G365" s="8">
        <f t="shared" si="81"/>
        <v>5</v>
      </c>
      <c r="H365" s="8" t="str">
        <f t="shared" si="82"/>
        <v>Valid</v>
      </c>
      <c r="I365" t="s">
        <v>1822</v>
      </c>
      <c r="J365" t="s">
        <v>209</v>
      </c>
      <c r="K365" t="s">
        <v>209</v>
      </c>
      <c r="L365" t="s">
        <v>107</v>
      </c>
      <c r="M365" s="3" t="str">
        <f t="shared" si="83"/>
        <v>Corporate</v>
      </c>
      <c r="N365" t="s">
        <v>41</v>
      </c>
      <c r="O365" s="3" t="str">
        <f t="shared" si="84"/>
        <v>East</v>
      </c>
      <c r="P365" t="s">
        <v>120</v>
      </c>
      <c r="Q365" t="s">
        <v>121</v>
      </c>
      <c r="R365" t="s">
        <v>44</v>
      </c>
      <c r="S365" s="3" t="str">
        <f t="shared" si="85"/>
        <v>Furniture</v>
      </c>
      <c r="T365" t="s">
        <v>45</v>
      </c>
      <c r="U365" t="s">
        <v>1823</v>
      </c>
      <c r="V365" t="s">
        <v>32</v>
      </c>
      <c r="W365" s="3" t="str">
        <f t="shared" si="86"/>
        <v>Second Class</v>
      </c>
      <c r="X365">
        <v>5</v>
      </c>
      <c r="Y365">
        <v>1831.37</v>
      </c>
      <c r="Z365">
        <v>0.25</v>
      </c>
      <c r="AA365">
        <f t="shared" si="90"/>
        <v>0.25</v>
      </c>
      <c r="AB365">
        <f t="shared" si="91"/>
        <v>6867.6374999999989</v>
      </c>
      <c r="AC365">
        <v>6867.64</v>
      </c>
      <c r="AD365">
        <v>5205.3599999999997</v>
      </c>
      <c r="AE365">
        <v>1662.28</v>
      </c>
      <c r="AF365" t="s">
        <v>33</v>
      </c>
      <c r="AG365" t="s">
        <v>34</v>
      </c>
      <c r="AH365" t="str">
        <f t="shared" si="87"/>
        <v>Completed</v>
      </c>
      <c r="AI365" t="str">
        <f t="shared" si="88"/>
        <v>Valid</v>
      </c>
      <c r="AJ365">
        <f t="shared" si="89"/>
        <v>1662.2800000000007</v>
      </c>
      <c r="AK365" s="12">
        <f t="shared" si="92"/>
        <v>0.24204539042720308</v>
      </c>
      <c r="AL365">
        <f t="shared" si="93"/>
        <v>7</v>
      </c>
      <c r="AM365">
        <f t="shared" si="94"/>
        <v>2025</v>
      </c>
      <c r="AN365" t="str">
        <f t="shared" si="95"/>
        <v>Clean</v>
      </c>
    </row>
    <row r="366" spans="1:40">
      <c r="A366" t="s">
        <v>1824</v>
      </c>
      <c r="B366" s="3" t="s">
        <v>1825</v>
      </c>
      <c r="C366" s="10">
        <v>45737</v>
      </c>
      <c r="D366" s="3" t="s">
        <v>1826</v>
      </c>
      <c r="E366" s="10">
        <v>45740</v>
      </c>
      <c r="F366" s="6" t="str">
        <f t="shared" si="80"/>
        <v>Valid</v>
      </c>
      <c r="G366" s="8">
        <f t="shared" si="81"/>
        <v>3</v>
      </c>
      <c r="H366" s="8" t="str">
        <f t="shared" si="82"/>
        <v>Valid</v>
      </c>
      <c r="I366" t="s">
        <v>1827</v>
      </c>
      <c r="J366" t="s">
        <v>161</v>
      </c>
      <c r="K366" t="s">
        <v>161</v>
      </c>
      <c r="L366" t="s">
        <v>40</v>
      </c>
      <c r="M366" s="3" t="str">
        <f t="shared" si="83"/>
        <v>Small Business</v>
      </c>
      <c r="N366" t="s">
        <v>61</v>
      </c>
      <c r="O366" s="3" t="str">
        <f t="shared" si="84"/>
        <v>South</v>
      </c>
      <c r="P366" t="s">
        <v>99</v>
      </c>
      <c r="Q366" t="s">
        <v>100</v>
      </c>
      <c r="R366" t="s">
        <v>44</v>
      </c>
      <c r="S366" s="3" t="str">
        <f t="shared" si="85"/>
        <v>Furniture</v>
      </c>
      <c r="T366" t="s">
        <v>75</v>
      </c>
      <c r="U366" t="s">
        <v>1828</v>
      </c>
      <c r="V366" t="s">
        <v>32</v>
      </c>
      <c r="W366" s="3" t="str">
        <f t="shared" si="86"/>
        <v>Second Class</v>
      </c>
      <c r="X366">
        <v>5</v>
      </c>
      <c r="Y366">
        <v>1239.1500000000001</v>
      </c>
      <c r="Z366">
        <v>0</v>
      </c>
      <c r="AA366">
        <f t="shared" si="90"/>
        <v>0</v>
      </c>
      <c r="AB366">
        <f t="shared" si="91"/>
        <v>6195.75</v>
      </c>
      <c r="AC366">
        <v>6195.75</v>
      </c>
      <c r="AD366">
        <v>3967.02</v>
      </c>
      <c r="AE366">
        <v>2228.73</v>
      </c>
      <c r="AF366" t="s">
        <v>33</v>
      </c>
      <c r="AG366" t="s">
        <v>34</v>
      </c>
      <c r="AH366" t="str">
        <f t="shared" si="87"/>
        <v>Completed</v>
      </c>
      <c r="AI366" t="str">
        <f t="shared" si="88"/>
        <v>Valid</v>
      </c>
      <c r="AJ366">
        <f t="shared" si="89"/>
        <v>2228.73</v>
      </c>
      <c r="AK366" s="12">
        <f t="shared" si="92"/>
        <v>0.35971916232901585</v>
      </c>
      <c r="AL366">
        <f t="shared" si="93"/>
        <v>3</v>
      </c>
      <c r="AM366">
        <f t="shared" si="94"/>
        <v>2025</v>
      </c>
      <c r="AN366" t="str">
        <f t="shared" si="95"/>
        <v>Clean</v>
      </c>
    </row>
    <row r="367" spans="1:40">
      <c r="A367" t="s">
        <v>1829</v>
      </c>
      <c r="B367" s="3" t="s">
        <v>1830</v>
      </c>
      <c r="C367" s="10">
        <v>45458</v>
      </c>
      <c r="D367" s="3" t="s">
        <v>1831</v>
      </c>
      <c r="E367" s="10">
        <v>45464</v>
      </c>
      <c r="F367" s="6" t="str">
        <f t="shared" si="80"/>
        <v>Valid</v>
      </c>
      <c r="G367" s="8">
        <f t="shared" si="81"/>
        <v>6</v>
      </c>
      <c r="H367" s="8" t="str">
        <f t="shared" si="82"/>
        <v>Valid</v>
      </c>
      <c r="I367" t="s">
        <v>1832</v>
      </c>
      <c r="J367" t="s">
        <v>106</v>
      </c>
      <c r="K367" t="s">
        <v>106</v>
      </c>
      <c r="L367" t="s">
        <v>107</v>
      </c>
      <c r="M367" s="3" t="str">
        <f t="shared" si="83"/>
        <v>Corporate</v>
      </c>
      <c r="N367" t="s">
        <v>72</v>
      </c>
      <c r="O367" s="3" t="str">
        <f t="shared" si="84"/>
        <v>West</v>
      </c>
      <c r="P367" t="s">
        <v>248</v>
      </c>
      <c r="Q367" t="s">
        <v>249</v>
      </c>
      <c r="R367" t="s">
        <v>85</v>
      </c>
      <c r="S367" s="3" t="str">
        <f t="shared" si="85"/>
        <v>Technology</v>
      </c>
      <c r="T367" t="s">
        <v>86</v>
      </c>
      <c r="U367" t="s">
        <v>1833</v>
      </c>
      <c r="V367" t="s">
        <v>55</v>
      </c>
      <c r="W367" s="3" t="str">
        <f t="shared" si="86"/>
        <v>First Class</v>
      </c>
      <c r="X367">
        <v>8</v>
      </c>
      <c r="Y367">
        <v>1706.4</v>
      </c>
      <c r="AA367">
        <f t="shared" si="90"/>
        <v>0</v>
      </c>
      <c r="AB367">
        <f t="shared" si="91"/>
        <v>13651.2</v>
      </c>
      <c r="AC367">
        <v>12968.64</v>
      </c>
      <c r="AD367">
        <v>10119.61</v>
      </c>
      <c r="AE367">
        <v>2849.03</v>
      </c>
      <c r="AF367" t="s">
        <v>33</v>
      </c>
      <c r="AG367" t="s">
        <v>34</v>
      </c>
      <c r="AH367" t="str">
        <f t="shared" si="87"/>
        <v>Completed</v>
      </c>
      <c r="AI367" t="str">
        <f t="shared" si="88"/>
        <v>Valid</v>
      </c>
      <c r="AJ367">
        <f t="shared" si="89"/>
        <v>2849.0299999999988</v>
      </c>
      <c r="AK367" s="12">
        <f t="shared" si="92"/>
        <v>0.20870179910923572</v>
      </c>
      <c r="AL367">
        <f t="shared" si="93"/>
        <v>6</v>
      </c>
      <c r="AM367">
        <f t="shared" si="94"/>
        <v>2024</v>
      </c>
      <c r="AN367" t="str">
        <f t="shared" si="95"/>
        <v>Clean</v>
      </c>
    </row>
    <row r="368" spans="1:40">
      <c r="A368" t="s">
        <v>1834</v>
      </c>
      <c r="B368" s="3" t="s">
        <v>1835</v>
      </c>
      <c r="C368" s="10">
        <v>45673</v>
      </c>
      <c r="D368" s="3" t="s">
        <v>1836</v>
      </c>
      <c r="E368" s="10">
        <v>45679</v>
      </c>
      <c r="F368" s="6" t="str">
        <f t="shared" si="80"/>
        <v>Valid</v>
      </c>
      <c r="G368" s="8">
        <f t="shared" si="81"/>
        <v>6</v>
      </c>
      <c r="H368" s="8" t="str">
        <f t="shared" si="82"/>
        <v>Valid</v>
      </c>
      <c r="I368" t="s">
        <v>1837</v>
      </c>
      <c r="J368" t="s">
        <v>167</v>
      </c>
      <c r="K368" t="s">
        <v>167</v>
      </c>
      <c r="L368" t="s">
        <v>107</v>
      </c>
      <c r="M368" s="3" t="str">
        <f t="shared" si="83"/>
        <v>Corporate</v>
      </c>
      <c r="N368" t="s">
        <v>26</v>
      </c>
      <c r="O368" s="3" t="str">
        <f t="shared" si="84"/>
        <v>North</v>
      </c>
      <c r="P368" t="s">
        <v>27</v>
      </c>
      <c r="Q368" t="s">
        <v>28</v>
      </c>
      <c r="R368" t="s">
        <v>44</v>
      </c>
      <c r="S368" s="3" t="str">
        <f t="shared" si="85"/>
        <v>Furniture</v>
      </c>
      <c r="T368" t="s">
        <v>45</v>
      </c>
      <c r="U368" t="s">
        <v>1838</v>
      </c>
      <c r="V368" t="s">
        <v>47</v>
      </c>
      <c r="W368" s="3" t="str">
        <f t="shared" si="86"/>
        <v>Same Day</v>
      </c>
      <c r="X368">
        <v>2</v>
      </c>
      <c r="Y368">
        <v>4418.28</v>
      </c>
      <c r="Z368">
        <v>0</v>
      </c>
      <c r="AA368">
        <f t="shared" si="90"/>
        <v>0</v>
      </c>
      <c r="AB368">
        <f t="shared" si="91"/>
        <v>8836.56</v>
      </c>
      <c r="AC368">
        <v>8836.56</v>
      </c>
      <c r="AD368">
        <v>5867.75</v>
      </c>
      <c r="AE368">
        <v>2968.81</v>
      </c>
      <c r="AF368" t="s">
        <v>33</v>
      </c>
      <c r="AG368" t="s">
        <v>34</v>
      </c>
      <c r="AH368" t="str">
        <f t="shared" si="87"/>
        <v>Completed</v>
      </c>
      <c r="AI368" t="str">
        <f t="shared" si="88"/>
        <v>Valid</v>
      </c>
      <c r="AJ368">
        <f t="shared" si="89"/>
        <v>2968.8099999999995</v>
      </c>
      <c r="AK368" s="12">
        <f t="shared" si="92"/>
        <v>0.33596897435201023</v>
      </c>
      <c r="AL368">
        <f t="shared" si="93"/>
        <v>1</v>
      </c>
      <c r="AM368">
        <f t="shared" si="94"/>
        <v>2025</v>
      </c>
      <c r="AN368" t="str">
        <f t="shared" si="95"/>
        <v>Clean</v>
      </c>
    </row>
    <row r="369" spans="1:40">
      <c r="A369" t="s">
        <v>1839</v>
      </c>
      <c r="B369" s="3" t="s">
        <v>977</v>
      </c>
      <c r="C369" s="10">
        <v>45366</v>
      </c>
      <c r="D369" s="3" t="s">
        <v>1840</v>
      </c>
      <c r="E369" s="10">
        <v>45367</v>
      </c>
      <c r="F369" s="6" t="str">
        <f t="shared" si="80"/>
        <v>Valid</v>
      </c>
      <c r="G369" s="8">
        <f t="shared" si="81"/>
        <v>1</v>
      </c>
      <c r="H369" s="8" t="str">
        <f t="shared" si="82"/>
        <v>Valid</v>
      </c>
      <c r="I369" t="s">
        <v>1841</v>
      </c>
      <c r="J369" t="s">
        <v>179</v>
      </c>
      <c r="K369" t="s">
        <v>179</v>
      </c>
      <c r="L369" t="s">
        <v>25</v>
      </c>
      <c r="M369" s="3" t="str">
        <f t="shared" si="83"/>
        <v>Consumer</v>
      </c>
      <c r="N369" t="s">
        <v>26</v>
      </c>
      <c r="O369" s="3" t="str">
        <f t="shared" si="84"/>
        <v>North</v>
      </c>
      <c r="P369" t="s">
        <v>505</v>
      </c>
      <c r="Q369" t="s">
        <v>506</v>
      </c>
      <c r="R369" t="s">
        <v>29</v>
      </c>
      <c r="S369" s="3" t="str">
        <f t="shared" si="85"/>
        <v>Office Supplies</v>
      </c>
      <c r="T369" t="s">
        <v>53</v>
      </c>
      <c r="U369" t="s">
        <v>1842</v>
      </c>
      <c r="V369" t="s">
        <v>66</v>
      </c>
      <c r="W369" s="3" t="str">
        <f t="shared" si="86"/>
        <v>Standard Class</v>
      </c>
      <c r="X369">
        <v>6</v>
      </c>
      <c r="Y369">
        <v>3815.09</v>
      </c>
      <c r="Z369">
        <v>0.15</v>
      </c>
      <c r="AA369">
        <f t="shared" si="90"/>
        <v>0.15</v>
      </c>
      <c r="AB369">
        <f t="shared" si="91"/>
        <v>19456.958999999999</v>
      </c>
      <c r="AC369">
        <v>19456.96</v>
      </c>
      <c r="AD369">
        <v>14520.06</v>
      </c>
      <c r="AE369">
        <v>4936.8999999999996</v>
      </c>
      <c r="AF369" t="s">
        <v>199</v>
      </c>
      <c r="AG369" t="s">
        <v>77</v>
      </c>
      <c r="AH369" t="str">
        <f t="shared" si="87"/>
        <v>Cancelled</v>
      </c>
      <c r="AI369" t="str">
        <f t="shared" si="88"/>
        <v>Valid</v>
      </c>
      <c r="AJ369">
        <f t="shared" si="89"/>
        <v>4936.8999999999996</v>
      </c>
      <c r="AK369" s="12">
        <f t="shared" si="92"/>
        <v>0.25373440936993286</v>
      </c>
      <c r="AL369">
        <f t="shared" si="93"/>
        <v>3</v>
      </c>
      <c r="AM369">
        <f t="shared" si="94"/>
        <v>2024</v>
      </c>
      <c r="AN369" t="str">
        <f t="shared" si="95"/>
        <v>Clean</v>
      </c>
    </row>
    <row r="370" spans="1:40">
      <c r="A370" t="s">
        <v>1843</v>
      </c>
      <c r="B370" s="3" t="s">
        <v>1271</v>
      </c>
      <c r="C370" s="10">
        <v>45844</v>
      </c>
      <c r="D370" s="3" t="s">
        <v>1271</v>
      </c>
      <c r="E370" s="10">
        <v>45844</v>
      </c>
      <c r="F370" s="6" t="str">
        <f t="shared" si="80"/>
        <v>Valid</v>
      </c>
      <c r="G370" s="8">
        <f t="shared" si="81"/>
        <v>0</v>
      </c>
      <c r="H370" s="8" t="str">
        <f t="shared" si="82"/>
        <v>Valid</v>
      </c>
      <c r="I370" t="s">
        <v>1844</v>
      </c>
      <c r="J370" t="s">
        <v>161</v>
      </c>
      <c r="K370" t="s">
        <v>161</v>
      </c>
      <c r="L370" t="s">
        <v>114</v>
      </c>
      <c r="M370" s="3" t="str">
        <f t="shared" si="83"/>
        <v>Home Office</v>
      </c>
      <c r="N370" t="s">
        <v>26</v>
      </c>
      <c r="O370" s="3" t="str">
        <f t="shared" si="84"/>
        <v>North</v>
      </c>
      <c r="P370" t="s">
        <v>27</v>
      </c>
      <c r="Q370" t="s">
        <v>28</v>
      </c>
      <c r="R370" t="s">
        <v>85</v>
      </c>
      <c r="S370" s="3" t="str">
        <f t="shared" si="85"/>
        <v>Technology</v>
      </c>
      <c r="T370" t="s">
        <v>86</v>
      </c>
      <c r="U370" t="s">
        <v>1845</v>
      </c>
      <c r="V370" t="s">
        <v>47</v>
      </c>
      <c r="W370" s="3" t="str">
        <f t="shared" si="86"/>
        <v>Same Day</v>
      </c>
      <c r="X370">
        <v>9</v>
      </c>
      <c r="Y370">
        <v>243.19</v>
      </c>
      <c r="Z370">
        <v>0.05</v>
      </c>
      <c r="AA370">
        <f t="shared" si="90"/>
        <v>0.05</v>
      </c>
      <c r="AB370">
        <f t="shared" si="91"/>
        <v>2079.2745</v>
      </c>
      <c r="AC370">
        <v>2079.27</v>
      </c>
      <c r="AD370">
        <v>1512.17</v>
      </c>
      <c r="AE370">
        <v>567.1</v>
      </c>
      <c r="AF370" t="s">
        <v>123</v>
      </c>
      <c r="AG370" t="s">
        <v>124</v>
      </c>
      <c r="AH370" t="str">
        <f t="shared" si="87"/>
        <v>Returned</v>
      </c>
      <c r="AI370" t="str">
        <f t="shared" si="88"/>
        <v>Valid</v>
      </c>
      <c r="AJ370">
        <f t="shared" si="89"/>
        <v>567.09999999999991</v>
      </c>
      <c r="AK370" s="12">
        <f t="shared" si="92"/>
        <v>0.27273936173410479</v>
      </c>
      <c r="AL370">
        <f t="shared" si="93"/>
        <v>7</v>
      </c>
      <c r="AM370">
        <f t="shared" si="94"/>
        <v>2025</v>
      </c>
      <c r="AN370" t="str">
        <f t="shared" si="95"/>
        <v>Clean</v>
      </c>
    </row>
    <row r="371" spans="1:40">
      <c r="A371" t="s">
        <v>1846</v>
      </c>
      <c r="B371" s="3" t="s">
        <v>1530</v>
      </c>
      <c r="C371" s="10">
        <v>45680</v>
      </c>
      <c r="D371" s="3" t="s">
        <v>190</v>
      </c>
      <c r="E371" s="10">
        <v>45687</v>
      </c>
      <c r="F371" s="6" t="str">
        <f t="shared" si="80"/>
        <v>Valid</v>
      </c>
      <c r="G371" s="8">
        <f t="shared" si="81"/>
        <v>7</v>
      </c>
      <c r="H371" s="8" t="str">
        <f t="shared" si="82"/>
        <v>Valid</v>
      </c>
      <c r="I371" t="s">
        <v>1847</v>
      </c>
      <c r="J371" t="s">
        <v>141</v>
      </c>
      <c r="K371" t="s">
        <v>141</v>
      </c>
      <c r="L371" t="s">
        <v>25</v>
      </c>
      <c r="M371" s="3" t="str">
        <f t="shared" si="83"/>
        <v>Consumer</v>
      </c>
      <c r="N371" t="s">
        <v>26</v>
      </c>
      <c r="O371" s="3" t="str">
        <f t="shared" si="84"/>
        <v>North</v>
      </c>
      <c r="P371" t="s">
        <v>505</v>
      </c>
      <c r="Q371" t="s">
        <v>506</v>
      </c>
      <c r="R371" t="s">
        <v>29</v>
      </c>
      <c r="S371" s="3" t="str">
        <f t="shared" si="85"/>
        <v>Office Supplies</v>
      </c>
      <c r="T371" t="s">
        <v>108</v>
      </c>
      <c r="U371" t="s">
        <v>1848</v>
      </c>
      <c r="V371" t="s">
        <v>66</v>
      </c>
      <c r="W371" s="3" t="str">
        <f t="shared" si="86"/>
        <v>Standard Class</v>
      </c>
      <c r="X371">
        <v>9</v>
      </c>
      <c r="Y371">
        <v>1169.3699999999999</v>
      </c>
      <c r="Z371">
        <v>0.15</v>
      </c>
      <c r="AA371">
        <f t="shared" si="90"/>
        <v>0.15</v>
      </c>
      <c r="AB371">
        <f t="shared" si="91"/>
        <v>8945.6804999999986</v>
      </c>
      <c r="AC371">
        <v>8945.68</v>
      </c>
      <c r="AD371">
        <v>6740.35</v>
      </c>
      <c r="AE371">
        <v>2205.33</v>
      </c>
      <c r="AF371" t="s">
        <v>33</v>
      </c>
      <c r="AG371" t="s">
        <v>34</v>
      </c>
      <c r="AH371" t="str">
        <f t="shared" si="87"/>
        <v>Completed</v>
      </c>
      <c r="AI371" t="str">
        <f t="shared" si="88"/>
        <v>Valid</v>
      </c>
      <c r="AJ371">
        <f t="shared" si="89"/>
        <v>2205.33</v>
      </c>
      <c r="AK371" s="12">
        <f t="shared" si="92"/>
        <v>0.2465245656828455</v>
      </c>
      <c r="AL371">
        <f t="shared" si="93"/>
        <v>1</v>
      </c>
      <c r="AM371">
        <f t="shared" si="94"/>
        <v>2025</v>
      </c>
      <c r="AN371" t="str">
        <f t="shared" si="95"/>
        <v>Clean</v>
      </c>
    </row>
    <row r="372" spans="1:40">
      <c r="A372" t="s">
        <v>1849</v>
      </c>
      <c r="B372" s="3" t="s">
        <v>1850</v>
      </c>
      <c r="C372" s="10">
        <v>45519</v>
      </c>
      <c r="D372" s="3" t="s">
        <v>1625</v>
      </c>
      <c r="E372" s="10">
        <v>45525</v>
      </c>
      <c r="F372" s="6" t="str">
        <f t="shared" si="80"/>
        <v>Valid</v>
      </c>
      <c r="G372" s="8">
        <f t="shared" si="81"/>
        <v>6</v>
      </c>
      <c r="H372" s="8" t="str">
        <f t="shared" si="82"/>
        <v>Valid</v>
      </c>
      <c r="I372" t="s">
        <v>1851</v>
      </c>
      <c r="J372" t="s">
        <v>71</v>
      </c>
      <c r="K372" t="s">
        <v>71</v>
      </c>
      <c r="L372" t="s">
        <v>40</v>
      </c>
      <c r="M372" s="3" t="str">
        <f t="shared" si="83"/>
        <v>Small Business</v>
      </c>
      <c r="N372" t="s">
        <v>72</v>
      </c>
      <c r="O372" s="3" t="str">
        <f t="shared" si="84"/>
        <v>West</v>
      </c>
      <c r="P372" t="s">
        <v>27</v>
      </c>
      <c r="Q372" t="s">
        <v>134</v>
      </c>
      <c r="R372" t="s">
        <v>85</v>
      </c>
      <c r="S372" s="3" t="str">
        <f t="shared" si="85"/>
        <v>Technology</v>
      </c>
      <c r="T372" t="s">
        <v>93</v>
      </c>
      <c r="U372" t="s">
        <v>1852</v>
      </c>
      <c r="V372" t="s">
        <v>55</v>
      </c>
      <c r="W372" s="3" t="str">
        <f t="shared" si="86"/>
        <v>First Class</v>
      </c>
      <c r="X372">
        <v>7</v>
      </c>
      <c r="Y372">
        <v>2333.81</v>
      </c>
      <c r="Z372">
        <v>0.2</v>
      </c>
      <c r="AA372">
        <f t="shared" si="90"/>
        <v>0.2</v>
      </c>
      <c r="AB372">
        <f t="shared" si="91"/>
        <v>13069.336000000001</v>
      </c>
      <c r="AC372">
        <v>13069.34</v>
      </c>
      <c r="AD372">
        <v>8768.59</v>
      </c>
      <c r="AE372">
        <v>4300.75</v>
      </c>
      <c r="AF372" t="s">
        <v>33</v>
      </c>
      <c r="AG372" t="s">
        <v>34</v>
      </c>
      <c r="AH372" t="str">
        <f t="shared" si="87"/>
        <v>Completed</v>
      </c>
      <c r="AI372" t="str">
        <f t="shared" si="88"/>
        <v>Valid</v>
      </c>
      <c r="AJ372">
        <f t="shared" si="89"/>
        <v>4300.75</v>
      </c>
      <c r="AK372" s="12">
        <f t="shared" si="92"/>
        <v>0.32907180594331648</v>
      </c>
      <c r="AL372">
        <f t="shared" si="93"/>
        <v>8</v>
      </c>
      <c r="AM372">
        <f t="shared" si="94"/>
        <v>2024</v>
      </c>
      <c r="AN372" t="str">
        <f t="shared" si="95"/>
        <v>Clean</v>
      </c>
    </row>
    <row r="373" spans="1:40">
      <c r="A373" t="s">
        <v>1853</v>
      </c>
      <c r="B373" s="3" t="s">
        <v>1057</v>
      </c>
      <c r="C373" s="10">
        <v>45313</v>
      </c>
      <c r="D373" s="3" t="s">
        <v>1854</v>
      </c>
      <c r="E373" s="10">
        <v>45315</v>
      </c>
      <c r="F373" s="6" t="str">
        <f t="shared" si="80"/>
        <v>Valid</v>
      </c>
      <c r="G373" s="8">
        <f t="shared" si="81"/>
        <v>2</v>
      </c>
      <c r="H373" s="8" t="str">
        <f t="shared" si="82"/>
        <v>Valid</v>
      </c>
      <c r="I373" t="s">
        <v>1855</v>
      </c>
      <c r="J373" t="s">
        <v>209</v>
      </c>
      <c r="K373" t="s">
        <v>209</v>
      </c>
      <c r="L373" t="s">
        <v>114</v>
      </c>
      <c r="M373" s="3" t="str">
        <f t="shared" si="83"/>
        <v>Home Office</v>
      </c>
      <c r="N373" t="s">
        <v>72</v>
      </c>
      <c r="O373" s="3" t="str">
        <f t="shared" si="84"/>
        <v>West</v>
      </c>
      <c r="P373" t="s">
        <v>73</v>
      </c>
      <c r="Q373" t="s">
        <v>74</v>
      </c>
      <c r="R373" t="s">
        <v>29</v>
      </c>
      <c r="S373" s="3" t="str">
        <f t="shared" si="85"/>
        <v>Office Supplies</v>
      </c>
      <c r="T373" t="s">
        <v>53</v>
      </c>
      <c r="U373" t="s">
        <v>1856</v>
      </c>
      <c r="V373" t="s">
        <v>66</v>
      </c>
      <c r="W373" s="3" t="str">
        <f t="shared" si="86"/>
        <v>Standard Class</v>
      </c>
      <c r="X373">
        <v>6</v>
      </c>
      <c r="Y373">
        <v>1026.06</v>
      </c>
      <c r="AA373">
        <f t="shared" si="90"/>
        <v>0</v>
      </c>
      <c r="AB373">
        <f t="shared" si="91"/>
        <v>6156.36</v>
      </c>
      <c r="AC373">
        <v>4617.2700000000004</v>
      </c>
      <c r="AD373">
        <v>2981.94</v>
      </c>
      <c r="AE373">
        <v>1635.33</v>
      </c>
      <c r="AF373" t="s">
        <v>123</v>
      </c>
      <c r="AG373" t="s">
        <v>77</v>
      </c>
      <c r="AH373" t="str">
        <f t="shared" si="87"/>
        <v>Cancelled</v>
      </c>
      <c r="AI373" t="str">
        <f t="shared" si="88"/>
        <v>Valid</v>
      </c>
      <c r="AJ373">
        <f t="shared" si="89"/>
        <v>1635.3300000000004</v>
      </c>
      <c r="AK373" s="12">
        <f t="shared" si="92"/>
        <v>0.26563261407714955</v>
      </c>
      <c r="AL373">
        <f t="shared" si="93"/>
        <v>1</v>
      </c>
      <c r="AM373">
        <f t="shared" si="94"/>
        <v>2024</v>
      </c>
      <c r="AN373" t="str">
        <f t="shared" si="95"/>
        <v>Clean</v>
      </c>
    </row>
    <row r="374" spans="1:40">
      <c r="A374" t="s">
        <v>1857</v>
      </c>
      <c r="B374" s="3" t="s">
        <v>1858</v>
      </c>
      <c r="C374" s="10">
        <v>45885</v>
      </c>
      <c r="D374" s="3" t="s">
        <v>920</v>
      </c>
      <c r="E374" s="10">
        <v>45887</v>
      </c>
      <c r="F374" s="6" t="str">
        <f t="shared" si="80"/>
        <v>Valid</v>
      </c>
      <c r="G374" s="8">
        <f t="shared" si="81"/>
        <v>2</v>
      </c>
      <c r="H374" s="8" t="str">
        <f t="shared" si="82"/>
        <v>Valid</v>
      </c>
      <c r="I374" t="s">
        <v>969</v>
      </c>
      <c r="J374" t="s">
        <v>365</v>
      </c>
      <c r="K374" t="s">
        <v>365</v>
      </c>
      <c r="L374" t="s">
        <v>25</v>
      </c>
      <c r="M374" s="3" t="str">
        <f t="shared" si="83"/>
        <v>Consumer</v>
      </c>
      <c r="N374" t="s">
        <v>41</v>
      </c>
      <c r="O374" s="3" t="str">
        <f t="shared" si="84"/>
        <v>East</v>
      </c>
      <c r="P374" t="s">
        <v>310</v>
      </c>
      <c r="Q374" t="s">
        <v>311</v>
      </c>
      <c r="R374" t="s">
        <v>44</v>
      </c>
      <c r="S374" s="3" t="str">
        <f t="shared" si="85"/>
        <v>Furniture</v>
      </c>
      <c r="T374" t="s">
        <v>75</v>
      </c>
      <c r="U374" t="s">
        <v>1859</v>
      </c>
      <c r="V374" t="s">
        <v>47</v>
      </c>
      <c r="W374" s="3" t="str">
        <f t="shared" si="86"/>
        <v>Same Day</v>
      </c>
      <c r="X374">
        <v>5</v>
      </c>
      <c r="Y374">
        <v>1530.36</v>
      </c>
      <c r="Z374">
        <v>0</v>
      </c>
      <c r="AA374">
        <f t="shared" si="90"/>
        <v>0</v>
      </c>
      <c r="AB374">
        <f t="shared" si="91"/>
        <v>7651.7999999999993</v>
      </c>
      <c r="AC374">
        <v>7651.8</v>
      </c>
      <c r="AD374">
        <v>5171.78</v>
      </c>
      <c r="AE374">
        <v>2480.02</v>
      </c>
      <c r="AF374" t="s">
        <v>33</v>
      </c>
      <c r="AG374" t="s">
        <v>34</v>
      </c>
      <c r="AH374" t="str">
        <f t="shared" si="87"/>
        <v>Completed</v>
      </c>
      <c r="AI374" t="str">
        <f t="shared" si="88"/>
        <v>Valid</v>
      </c>
      <c r="AJ374">
        <f t="shared" si="89"/>
        <v>2480.0200000000004</v>
      </c>
      <c r="AK374" s="12">
        <f t="shared" si="92"/>
        <v>0.3241093598891765</v>
      </c>
      <c r="AL374">
        <f t="shared" si="93"/>
        <v>8</v>
      </c>
      <c r="AM374">
        <f t="shared" si="94"/>
        <v>2025</v>
      </c>
      <c r="AN374" t="str">
        <f t="shared" si="95"/>
        <v>Clean</v>
      </c>
    </row>
    <row r="375" spans="1:40">
      <c r="A375" t="s">
        <v>1860</v>
      </c>
      <c r="B375" s="3" t="s">
        <v>1861</v>
      </c>
      <c r="C375" s="10">
        <v>45760</v>
      </c>
      <c r="D375" s="3" t="s">
        <v>1861</v>
      </c>
      <c r="E375" s="10">
        <v>45760</v>
      </c>
      <c r="F375" s="6" t="str">
        <f t="shared" si="80"/>
        <v>Valid</v>
      </c>
      <c r="G375" s="8">
        <f t="shared" si="81"/>
        <v>0</v>
      </c>
      <c r="H375" s="8" t="str">
        <f t="shared" si="82"/>
        <v>Valid</v>
      </c>
      <c r="I375" t="s">
        <v>1862</v>
      </c>
      <c r="J375" t="s">
        <v>167</v>
      </c>
      <c r="K375" t="s">
        <v>167</v>
      </c>
      <c r="L375" t="s">
        <v>40</v>
      </c>
      <c r="M375" s="3" t="str">
        <f t="shared" si="83"/>
        <v>Small Business</v>
      </c>
      <c r="N375" t="s">
        <v>26</v>
      </c>
      <c r="O375" s="3" t="str">
        <f t="shared" si="84"/>
        <v>North</v>
      </c>
      <c r="P375" t="s">
        <v>173</v>
      </c>
      <c r="Q375" t="s">
        <v>174</v>
      </c>
      <c r="R375" t="s">
        <v>29</v>
      </c>
      <c r="S375" s="3" t="str">
        <f t="shared" si="85"/>
        <v>Office Supplies</v>
      </c>
      <c r="T375" t="s">
        <v>155</v>
      </c>
      <c r="U375" t="s">
        <v>1863</v>
      </c>
      <c r="V375" t="s">
        <v>32</v>
      </c>
      <c r="W375" s="3" t="str">
        <f t="shared" si="86"/>
        <v>Second Class</v>
      </c>
      <c r="X375">
        <v>9</v>
      </c>
      <c r="Y375">
        <v>1118.68</v>
      </c>
      <c r="Z375">
        <v>0</v>
      </c>
      <c r="AA375">
        <f t="shared" si="90"/>
        <v>0</v>
      </c>
      <c r="AB375">
        <f t="shared" si="91"/>
        <v>10068.120000000001</v>
      </c>
      <c r="AC375">
        <v>10068.120000000001</v>
      </c>
      <c r="AD375">
        <v>8595.3700000000008</v>
      </c>
      <c r="AE375">
        <v>1472.75</v>
      </c>
      <c r="AF375" t="s">
        <v>33</v>
      </c>
      <c r="AG375" t="s">
        <v>34</v>
      </c>
      <c r="AH375" t="str">
        <f t="shared" si="87"/>
        <v>Completed</v>
      </c>
      <c r="AI375" t="str">
        <f t="shared" si="88"/>
        <v>Valid</v>
      </c>
      <c r="AJ375">
        <f t="shared" si="89"/>
        <v>1472.75</v>
      </c>
      <c r="AK375" s="12">
        <f t="shared" si="92"/>
        <v>0.14627855051389932</v>
      </c>
      <c r="AL375">
        <f t="shared" si="93"/>
        <v>4</v>
      </c>
      <c r="AM375">
        <f t="shared" si="94"/>
        <v>2025</v>
      </c>
      <c r="AN375" t="str">
        <f t="shared" si="95"/>
        <v>Clean</v>
      </c>
    </row>
    <row r="376" spans="1:40">
      <c r="A376" t="s">
        <v>1864</v>
      </c>
      <c r="B376" s="3" t="s">
        <v>1865</v>
      </c>
      <c r="C376" s="10">
        <v>45715</v>
      </c>
      <c r="D376" s="3" t="s">
        <v>1866</v>
      </c>
      <c r="E376" s="10">
        <v>45716</v>
      </c>
      <c r="F376" s="6" t="str">
        <f t="shared" si="80"/>
        <v>Valid</v>
      </c>
      <c r="G376" s="8">
        <f t="shared" si="81"/>
        <v>1</v>
      </c>
      <c r="H376" s="8" t="str">
        <f t="shared" si="82"/>
        <v>Valid</v>
      </c>
      <c r="I376" t="s">
        <v>1867</v>
      </c>
      <c r="J376" t="s">
        <v>106</v>
      </c>
      <c r="K376" t="s">
        <v>106</v>
      </c>
      <c r="L376" t="s">
        <v>40</v>
      </c>
      <c r="M376" s="3" t="str">
        <f t="shared" si="83"/>
        <v>Small Business</v>
      </c>
      <c r="N376" t="s">
        <v>26</v>
      </c>
      <c r="O376" s="3" t="str">
        <f t="shared" si="84"/>
        <v>North</v>
      </c>
      <c r="P376" t="s">
        <v>173</v>
      </c>
      <c r="Q376" t="s">
        <v>174</v>
      </c>
      <c r="R376" t="s">
        <v>29</v>
      </c>
      <c r="S376" s="3" t="str">
        <f t="shared" si="85"/>
        <v>Office Supplies</v>
      </c>
      <c r="T376" t="s">
        <v>108</v>
      </c>
      <c r="U376" t="s">
        <v>1868</v>
      </c>
      <c r="V376" t="s">
        <v>66</v>
      </c>
      <c r="W376" s="3" t="str">
        <f t="shared" si="86"/>
        <v>Standard Class</v>
      </c>
      <c r="X376">
        <v>6</v>
      </c>
      <c r="Y376">
        <v>2393.25</v>
      </c>
      <c r="Z376">
        <v>0</v>
      </c>
      <c r="AA376">
        <f t="shared" si="90"/>
        <v>0</v>
      </c>
      <c r="AB376">
        <f t="shared" si="91"/>
        <v>14359.5</v>
      </c>
      <c r="AC376">
        <v>14359.5</v>
      </c>
      <c r="AD376">
        <v>8117.71</v>
      </c>
      <c r="AE376">
        <v>6241.79</v>
      </c>
      <c r="AF376" t="s">
        <v>33</v>
      </c>
      <c r="AG376" t="s">
        <v>34</v>
      </c>
      <c r="AH376" t="str">
        <f t="shared" si="87"/>
        <v>Completed</v>
      </c>
      <c r="AI376" t="str">
        <f t="shared" si="88"/>
        <v>Valid</v>
      </c>
      <c r="AJ376">
        <f t="shared" si="89"/>
        <v>6241.79</v>
      </c>
      <c r="AK376" s="12">
        <f t="shared" si="92"/>
        <v>0.43468017688638183</v>
      </c>
      <c r="AL376">
        <f t="shared" si="93"/>
        <v>2</v>
      </c>
      <c r="AM376">
        <f t="shared" si="94"/>
        <v>2025</v>
      </c>
      <c r="AN376" t="str">
        <f t="shared" si="95"/>
        <v>Clean</v>
      </c>
    </row>
    <row r="377" spans="1:40">
      <c r="A377" t="s">
        <v>1869</v>
      </c>
      <c r="B377" s="3" t="s">
        <v>1870</v>
      </c>
      <c r="C377" s="10">
        <v>45657</v>
      </c>
      <c r="D377" s="3" t="s">
        <v>1871</v>
      </c>
      <c r="E377" s="10">
        <v>45661</v>
      </c>
      <c r="F377" s="6" t="str">
        <f t="shared" si="80"/>
        <v>Valid</v>
      </c>
      <c r="G377" s="8">
        <f t="shared" si="81"/>
        <v>4</v>
      </c>
      <c r="H377" s="8" t="str">
        <f t="shared" si="82"/>
        <v>Valid</v>
      </c>
      <c r="I377" t="s">
        <v>1872</v>
      </c>
      <c r="J377" t="s">
        <v>82</v>
      </c>
      <c r="K377" t="s">
        <v>82</v>
      </c>
      <c r="L377" t="s">
        <v>25</v>
      </c>
      <c r="M377" s="3" t="str">
        <f t="shared" si="83"/>
        <v>Consumer</v>
      </c>
      <c r="N377" t="s">
        <v>26</v>
      </c>
      <c r="O377" s="3" t="str">
        <f t="shared" si="84"/>
        <v>North</v>
      </c>
      <c r="P377" t="s">
        <v>505</v>
      </c>
      <c r="Q377" t="s">
        <v>506</v>
      </c>
      <c r="R377" t="s">
        <v>44</v>
      </c>
      <c r="S377" s="3" t="str">
        <f t="shared" si="85"/>
        <v>Furniture</v>
      </c>
      <c r="T377" t="s">
        <v>75</v>
      </c>
      <c r="U377" t="s">
        <v>1873</v>
      </c>
      <c r="V377" t="s">
        <v>47</v>
      </c>
      <c r="W377" s="3" t="str">
        <f t="shared" si="86"/>
        <v>Same Day</v>
      </c>
      <c r="X377">
        <v>3</v>
      </c>
      <c r="Y377">
        <v>1166.6099999999999</v>
      </c>
      <c r="Z377">
        <v>0.25</v>
      </c>
      <c r="AA377">
        <f t="shared" si="90"/>
        <v>0.25</v>
      </c>
      <c r="AB377">
        <f t="shared" si="91"/>
        <v>2624.8724999999999</v>
      </c>
      <c r="AC377">
        <v>2624.87</v>
      </c>
      <c r="AD377">
        <v>2253.88</v>
      </c>
      <c r="AE377">
        <v>370.99</v>
      </c>
      <c r="AF377" t="s">
        <v>33</v>
      </c>
      <c r="AG377" t="s">
        <v>34</v>
      </c>
      <c r="AH377" t="str">
        <f t="shared" si="87"/>
        <v>Completed</v>
      </c>
      <c r="AI377" t="str">
        <f t="shared" si="88"/>
        <v>Valid</v>
      </c>
      <c r="AJ377">
        <f t="shared" si="89"/>
        <v>370.98999999999978</v>
      </c>
      <c r="AK377" s="12">
        <f t="shared" si="92"/>
        <v>0.14133638871983298</v>
      </c>
      <c r="AL377">
        <f t="shared" si="93"/>
        <v>12</v>
      </c>
      <c r="AM377">
        <f t="shared" si="94"/>
        <v>2024</v>
      </c>
      <c r="AN377" t="str">
        <f t="shared" si="95"/>
        <v>Clean</v>
      </c>
    </row>
    <row r="378" spans="1:40">
      <c r="A378" t="s">
        <v>1874</v>
      </c>
      <c r="B378" s="3" t="s">
        <v>1875</v>
      </c>
      <c r="C378" s="10">
        <v>45655</v>
      </c>
      <c r="D378" s="3" t="s">
        <v>1778</v>
      </c>
      <c r="E378" s="10">
        <v>45657</v>
      </c>
      <c r="F378" s="6" t="str">
        <f t="shared" si="80"/>
        <v>Valid</v>
      </c>
      <c r="G378" s="8">
        <f t="shared" si="81"/>
        <v>2</v>
      </c>
      <c r="H378" s="8" t="str">
        <f t="shared" si="82"/>
        <v>Valid</v>
      </c>
      <c r="I378" t="s">
        <v>1876</v>
      </c>
      <c r="J378" t="s">
        <v>52</v>
      </c>
      <c r="K378" t="s">
        <v>52</v>
      </c>
      <c r="L378" t="s">
        <v>40</v>
      </c>
      <c r="M378" s="3" t="str">
        <f t="shared" si="83"/>
        <v>Small Business</v>
      </c>
      <c r="N378" t="s">
        <v>41</v>
      </c>
      <c r="O378" s="3" t="str">
        <f t="shared" si="84"/>
        <v>East</v>
      </c>
      <c r="P378" t="s">
        <v>185</v>
      </c>
      <c r="Q378" t="s">
        <v>186</v>
      </c>
      <c r="R378" t="s">
        <v>44</v>
      </c>
      <c r="S378" s="3" t="str">
        <f t="shared" si="85"/>
        <v>Furniture</v>
      </c>
      <c r="T378" t="s">
        <v>75</v>
      </c>
      <c r="U378" t="s">
        <v>1877</v>
      </c>
      <c r="V378" t="s">
        <v>55</v>
      </c>
      <c r="W378" s="3" t="str">
        <f t="shared" si="86"/>
        <v>First Class</v>
      </c>
      <c r="X378">
        <v>6</v>
      </c>
      <c r="Y378">
        <v>1844.78</v>
      </c>
      <c r="Z378">
        <v>0.2</v>
      </c>
      <c r="AA378">
        <f t="shared" si="90"/>
        <v>0.2</v>
      </c>
      <c r="AB378">
        <f t="shared" si="91"/>
        <v>8854.9440000000013</v>
      </c>
      <c r="AC378">
        <v>8854.94</v>
      </c>
      <c r="AD378">
        <v>7433.95</v>
      </c>
      <c r="AE378">
        <v>1420.99</v>
      </c>
      <c r="AF378" t="s">
        <v>33</v>
      </c>
      <c r="AG378" t="s">
        <v>34</v>
      </c>
      <c r="AH378" t="str">
        <f t="shared" si="87"/>
        <v>Completed</v>
      </c>
      <c r="AI378" t="str">
        <f t="shared" si="88"/>
        <v>Valid</v>
      </c>
      <c r="AJ378">
        <f t="shared" si="89"/>
        <v>1420.9900000000007</v>
      </c>
      <c r="AK378" s="12">
        <f t="shared" si="92"/>
        <v>0.1604741938514801</v>
      </c>
      <c r="AL378">
        <f t="shared" si="93"/>
        <v>12</v>
      </c>
      <c r="AM378">
        <f t="shared" si="94"/>
        <v>2024</v>
      </c>
      <c r="AN378" t="str">
        <f t="shared" si="95"/>
        <v>Clean</v>
      </c>
    </row>
    <row r="379" spans="1:40">
      <c r="A379" t="s">
        <v>1878</v>
      </c>
      <c r="B379" s="3" t="s">
        <v>1520</v>
      </c>
      <c r="C379" s="10">
        <v>45801</v>
      </c>
      <c r="D379" s="3" t="s">
        <v>1879</v>
      </c>
      <c r="E379" s="10">
        <v>45807</v>
      </c>
      <c r="F379" s="6" t="str">
        <f t="shared" si="80"/>
        <v>Valid</v>
      </c>
      <c r="G379" s="8">
        <f t="shared" si="81"/>
        <v>6</v>
      </c>
      <c r="H379" s="8" t="str">
        <f t="shared" si="82"/>
        <v>Valid</v>
      </c>
      <c r="I379" t="s">
        <v>1880</v>
      </c>
      <c r="J379" t="s">
        <v>365</v>
      </c>
      <c r="K379" t="s">
        <v>365</v>
      </c>
      <c r="L379" t="s">
        <v>40</v>
      </c>
      <c r="M379" s="3" t="str">
        <f t="shared" si="83"/>
        <v>Small Business</v>
      </c>
      <c r="N379" t="s">
        <v>41</v>
      </c>
      <c r="O379" s="3" t="str">
        <f t="shared" si="84"/>
        <v>East</v>
      </c>
      <c r="P379" t="s">
        <v>42</v>
      </c>
      <c r="Q379" t="s">
        <v>43</v>
      </c>
      <c r="R379" t="s">
        <v>29</v>
      </c>
      <c r="S379" s="3" t="str">
        <f t="shared" si="85"/>
        <v>Office Supplies</v>
      </c>
      <c r="T379" t="s">
        <v>1881</v>
      </c>
      <c r="U379" t="s">
        <v>1882</v>
      </c>
      <c r="V379" t="s">
        <v>47</v>
      </c>
      <c r="W379" s="3" t="str">
        <f t="shared" si="86"/>
        <v>Same Day</v>
      </c>
      <c r="X379">
        <v>1</v>
      </c>
      <c r="Y379">
        <v>2564.7399999999998</v>
      </c>
      <c r="Z379">
        <v>0</v>
      </c>
      <c r="AA379">
        <f t="shared" si="90"/>
        <v>0</v>
      </c>
      <c r="AB379">
        <f t="shared" si="91"/>
        <v>2564.7399999999998</v>
      </c>
      <c r="AC379">
        <v>2564.7399999999998</v>
      </c>
      <c r="AD379">
        <v>1754.58</v>
      </c>
      <c r="AE379">
        <v>810.16</v>
      </c>
      <c r="AF379" t="s">
        <v>33</v>
      </c>
      <c r="AG379" t="s">
        <v>34</v>
      </c>
      <c r="AH379" t="str">
        <f t="shared" si="87"/>
        <v>Completed</v>
      </c>
      <c r="AI379" t="str">
        <f t="shared" si="88"/>
        <v>Valid</v>
      </c>
      <c r="AJ379">
        <f t="shared" si="89"/>
        <v>810.15999999999985</v>
      </c>
      <c r="AK379" s="12">
        <f t="shared" si="92"/>
        <v>0.31588387126960232</v>
      </c>
      <c r="AL379">
        <f t="shared" si="93"/>
        <v>5</v>
      </c>
      <c r="AM379">
        <f t="shared" si="94"/>
        <v>2025</v>
      </c>
      <c r="AN379" t="str">
        <f t="shared" si="95"/>
        <v>Clean</v>
      </c>
    </row>
    <row r="380" spans="1:40">
      <c r="A380" t="s">
        <v>1883</v>
      </c>
      <c r="B380" s="3" t="s">
        <v>1884</v>
      </c>
      <c r="C380" s="10">
        <v>45799</v>
      </c>
      <c r="D380" s="3" t="s">
        <v>1884</v>
      </c>
      <c r="E380" s="10">
        <v>45799</v>
      </c>
      <c r="F380" s="6" t="str">
        <f t="shared" si="80"/>
        <v>Valid</v>
      </c>
      <c r="G380" s="8">
        <f t="shared" si="81"/>
        <v>0</v>
      </c>
      <c r="H380" s="8" t="str">
        <f t="shared" si="82"/>
        <v>Valid</v>
      </c>
      <c r="I380" t="s">
        <v>1885</v>
      </c>
      <c r="J380" t="s">
        <v>39</v>
      </c>
      <c r="K380" t="s">
        <v>39</v>
      </c>
      <c r="L380" t="s">
        <v>25</v>
      </c>
      <c r="M380" s="3" t="str">
        <f t="shared" si="83"/>
        <v>Consumer</v>
      </c>
      <c r="N380" t="s">
        <v>72</v>
      </c>
      <c r="O380" s="3" t="str">
        <f t="shared" si="84"/>
        <v>West</v>
      </c>
      <c r="P380" t="s">
        <v>248</v>
      </c>
      <c r="Q380" t="s">
        <v>249</v>
      </c>
      <c r="R380" t="s">
        <v>85</v>
      </c>
      <c r="S380" s="3" t="str">
        <f t="shared" si="85"/>
        <v>Technology</v>
      </c>
      <c r="T380" t="s">
        <v>86</v>
      </c>
      <c r="U380" t="s">
        <v>1886</v>
      </c>
      <c r="V380" t="s">
        <v>66</v>
      </c>
      <c r="W380" s="3" t="str">
        <f t="shared" si="86"/>
        <v>Standard Class</v>
      </c>
      <c r="X380">
        <v>2</v>
      </c>
      <c r="Y380">
        <v>3910.61</v>
      </c>
      <c r="Z380">
        <v>0</v>
      </c>
      <c r="AA380">
        <f t="shared" si="90"/>
        <v>0</v>
      </c>
      <c r="AB380">
        <f t="shared" si="91"/>
        <v>7821.22</v>
      </c>
      <c r="AC380">
        <v>7821.22</v>
      </c>
      <c r="AD380">
        <v>4994.46</v>
      </c>
      <c r="AE380">
        <v>2826.76</v>
      </c>
      <c r="AF380" t="s">
        <v>33</v>
      </c>
      <c r="AG380" t="s">
        <v>34</v>
      </c>
      <c r="AH380" t="str">
        <f t="shared" si="87"/>
        <v>Completed</v>
      </c>
      <c r="AI380" t="str">
        <f t="shared" si="88"/>
        <v>Valid</v>
      </c>
      <c r="AJ380">
        <f t="shared" si="89"/>
        <v>2826.76</v>
      </c>
      <c r="AK380" s="12">
        <f t="shared" si="92"/>
        <v>0.36142187535959863</v>
      </c>
      <c r="AL380">
        <f t="shared" si="93"/>
        <v>5</v>
      </c>
      <c r="AM380">
        <f t="shared" si="94"/>
        <v>2025</v>
      </c>
      <c r="AN380" t="str">
        <f t="shared" si="95"/>
        <v>Clean</v>
      </c>
    </row>
    <row r="381" spans="1:40">
      <c r="A381" t="s">
        <v>1887</v>
      </c>
      <c r="B381" s="3" t="s">
        <v>1888</v>
      </c>
      <c r="C381" s="10">
        <v>45554</v>
      </c>
      <c r="D381" s="3" t="s">
        <v>1889</v>
      </c>
      <c r="E381" s="10">
        <v>45558</v>
      </c>
      <c r="F381" s="6" t="str">
        <f t="shared" si="80"/>
        <v>Valid</v>
      </c>
      <c r="G381" s="8">
        <f t="shared" si="81"/>
        <v>4</v>
      </c>
      <c r="H381" s="8" t="str">
        <f t="shared" si="82"/>
        <v>Valid</v>
      </c>
      <c r="I381" t="s">
        <v>1890</v>
      </c>
      <c r="J381" t="s">
        <v>39</v>
      </c>
      <c r="K381" t="s">
        <v>39</v>
      </c>
      <c r="L381" t="s">
        <v>40</v>
      </c>
      <c r="M381" s="3" t="str">
        <f t="shared" si="83"/>
        <v>Small Business</v>
      </c>
      <c r="N381" t="s">
        <v>61</v>
      </c>
      <c r="O381" s="3" t="str">
        <f t="shared" si="84"/>
        <v>South</v>
      </c>
      <c r="P381" t="s">
        <v>241</v>
      </c>
      <c r="Q381" t="s">
        <v>242</v>
      </c>
      <c r="R381" t="s">
        <v>29</v>
      </c>
      <c r="S381" s="3" t="str">
        <f t="shared" si="85"/>
        <v>Office Supplies</v>
      </c>
      <c r="T381" t="s">
        <v>30</v>
      </c>
      <c r="U381" t="s">
        <v>1891</v>
      </c>
      <c r="V381" t="s">
        <v>66</v>
      </c>
      <c r="W381" s="3" t="str">
        <f t="shared" si="86"/>
        <v>Standard Class</v>
      </c>
      <c r="X381">
        <v>7</v>
      </c>
      <c r="Y381">
        <v>1136.68</v>
      </c>
      <c r="AA381">
        <f t="shared" si="90"/>
        <v>0</v>
      </c>
      <c r="AB381">
        <f t="shared" si="91"/>
        <v>7956.76</v>
      </c>
      <c r="AC381">
        <v>7956.76</v>
      </c>
      <c r="AD381">
        <v>4799.54</v>
      </c>
      <c r="AE381">
        <v>3157.22</v>
      </c>
      <c r="AF381" t="s">
        <v>33</v>
      </c>
      <c r="AG381" t="s">
        <v>34</v>
      </c>
      <c r="AH381" t="str">
        <f t="shared" si="87"/>
        <v>Completed</v>
      </c>
      <c r="AI381" t="str">
        <f t="shared" si="88"/>
        <v>Valid</v>
      </c>
      <c r="AJ381">
        <f t="shared" si="89"/>
        <v>3157.2200000000003</v>
      </c>
      <c r="AK381" s="12">
        <f t="shared" si="92"/>
        <v>0.39679718880549369</v>
      </c>
      <c r="AL381">
        <f t="shared" si="93"/>
        <v>9</v>
      </c>
      <c r="AM381">
        <f t="shared" si="94"/>
        <v>2024</v>
      </c>
      <c r="AN381" t="str">
        <f t="shared" si="95"/>
        <v>Clean</v>
      </c>
    </row>
    <row r="382" spans="1:40">
      <c r="A382" t="s">
        <v>1892</v>
      </c>
      <c r="B382" s="3" t="s">
        <v>1893</v>
      </c>
      <c r="C382" s="10">
        <v>45389</v>
      </c>
      <c r="D382" s="3" t="s">
        <v>1419</v>
      </c>
      <c r="E382" s="10">
        <v>45396</v>
      </c>
      <c r="F382" s="6" t="str">
        <f t="shared" si="80"/>
        <v>Valid</v>
      </c>
      <c r="G382" s="8">
        <f t="shared" si="81"/>
        <v>7</v>
      </c>
      <c r="H382" s="8" t="str">
        <f t="shared" si="82"/>
        <v>Valid</v>
      </c>
      <c r="I382" t="s">
        <v>1894</v>
      </c>
      <c r="J382" t="s">
        <v>82</v>
      </c>
      <c r="K382" t="s">
        <v>82</v>
      </c>
      <c r="L382" t="s">
        <v>25</v>
      </c>
      <c r="M382" s="3" t="str">
        <f t="shared" si="83"/>
        <v>Consumer</v>
      </c>
      <c r="N382" t="s">
        <v>72</v>
      </c>
      <c r="O382" s="3" t="str">
        <f t="shared" si="84"/>
        <v>West</v>
      </c>
      <c r="P382" t="s">
        <v>73</v>
      </c>
      <c r="Q382" t="s">
        <v>74</v>
      </c>
      <c r="R382" t="s">
        <v>44</v>
      </c>
      <c r="S382" s="3" t="str">
        <f t="shared" si="85"/>
        <v>Furniture</v>
      </c>
      <c r="T382" t="s">
        <v>203</v>
      </c>
      <c r="U382" t="s">
        <v>1895</v>
      </c>
      <c r="V382" t="s">
        <v>47</v>
      </c>
      <c r="W382" s="3" t="str">
        <f t="shared" si="86"/>
        <v>Same Day</v>
      </c>
      <c r="X382">
        <v>5</v>
      </c>
      <c r="Y382">
        <v>2235.85</v>
      </c>
      <c r="Z382">
        <v>0.25</v>
      </c>
      <c r="AA382">
        <f t="shared" si="90"/>
        <v>0.25</v>
      </c>
      <c r="AB382">
        <f t="shared" si="91"/>
        <v>8384.4375</v>
      </c>
      <c r="AC382">
        <v>8384.44</v>
      </c>
      <c r="AD382">
        <v>4765.96</v>
      </c>
      <c r="AE382">
        <v>3618.48</v>
      </c>
      <c r="AF382" t="s">
        <v>33</v>
      </c>
      <c r="AG382" t="s">
        <v>124</v>
      </c>
      <c r="AH382" t="str">
        <f t="shared" si="87"/>
        <v>Returned</v>
      </c>
      <c r="AI382" t="str">
        <f t="shared" si="88"/>
        <v>Valid</v>
      </c>
      <c r="AJ382">
        <f t="shared" si="89"/>
        <v>3618.4800000000005</v>
      </c>
      <c r="AK382" s="12">
        <f t="shared" si="92"/>
        <v>0.43157099089831613</v>
      </c>
      <c r="AL382">
        <f t="shared" si="93"/>
        <v>4</v>
      </c>
      <c r="AM382">
        <f t="shared" si="94"/>
        <v>2024</v>
      </c>
      <c r="AN382" t="str">
        <f t="shared" si="95"/>
        <v>Clean</v>
      </c>
    </row>
    <row r="383" spans="1:40">
      <c r="A383" t="s">
        <v>1896</v>
      </c>
      <c r="B383" s="3" t="s">
        <v>1897</v>
      </c>
      <c r="C383" s="10">
        <v>45919</v>
      </c>
      <c r="D383" s="3" t="s">
        <v>1898</v>
      </c>
      <c r="E383" s="10">
        <v>45923</v>
      </c>
      <c r="F383" s="6" t="str">
        <f t="shared" si="80"/>
        <v>Valid</v>
      </c>
      <c r="G383" s="8">
        <f t="shared" si="81"/>
        <v>4</v>
      </c>
      <c r="H383" s="8" t="str">
        <f t="shared" si="82"/>
        <v>Valid</v>
      </c>
      <c r="I383" t="s">
        <v>1899</v>
      </c>
      <c r="J383" t="s">
        <v>60</v>
      </c>
      <c r="K383" t="s">
        <v>60</v>
      </c>
      <c r="L383" t="s">
        <v>1900</v>
      </c>
      <c r="M383" s="3" t="str">
        <f t="shared" si="83"/>
        <v>Home Office</v>
      </c>
      <c r="N383" t="s">
        <v>26</v>
      </c>
      <c r="O383" s="3" t="str">
        <f t="shared" si="84"/>
        <v>North</v>
      </c>
      <c r="P383" t="s">
        <v>505</v>
      </c>
      <c r="Q383" t="s">
        <v>506</v>
      </c>
      <c r="R383" t="s">
        <v>29</v>
      </c>
      <c r="S383" s="3" t="str">
        <f t="shared" si="85"/>
        <v>Office Supplies</v>
      </c>
      <c r="T383" t="s">
        <v>197</v>
      </c>
      <c r="U383" t="s">
        <v>1901</v>
      </c>
      <c r="V383" t="s">
        <v>66</v>
      </c>
      <c r="W383" s="3" t="str">
        <f t="shared" si="86"/>
        <v>Standard Class</v>
      </c>
      <c r="X383">
        <v>4</v>
      </c>
      <c r="Y383">
        <v>4387.1499999999996</v>
      </c>
      <c r="Z383">
        <v>0.05</v>
      </c>
      <c r="AA383">
        <f t="shared" si="90"/>
        <v>0.05</v>
      </c>
      <c r="AB383">
        <f t="shared" si="91"/>
        <v>16671.169999999998</v>
      </c>
      <c r="AC383">
        <v>16671.169999999998</v>
      </c>
      <c r="AD383">
        <v>10833.19</v>
      </c>
      <c r="AE383">
        <v>5837.98</v>
      </c>
      <c r="AF383" t="s">
        <v>199</v>
      </c>
      <c r="AG383" t="s">
        <v>77</v>
      </c>
      <c r="AH383" t="str">
        <f t="shared" si="87"/>
        <v>Cancelled</v>
      </c>
      <c r="AI383" t="str">
        <f t="shared" si="88"/>
        <v>Valid</v>
      </c>
      <c r="AJ383">
        <f t="shared" si="89"/>
        <v>5837.9799999999977</v>
      </c>
      <c r="AK383" s="12">
        <f t="shared" si="92"/>
        <v>0.35018418023450054</v>
      </c>
      <c r="AL383">
        <f t="shared" si="93"/>
        <v>9</v>
      </c>
      <c r="AM383">
        <f t="shared" si="94"/>
        <v>2025</v>
      </c>
      <c r="AN383" t="str">
        <f t="shared" si="95"/>
        <v>Clean</v>
      </c>
    </row>
    <row r="384" spans="1:40">
      <c r="A384" t="s">
        <v>1902</v>
      </c>
      <c r="B384" s="3" t="s">
        <v>1903</v>
      </c>
      <c r="C384" s="10">
        <v>45720</v>
      </c>
      <c r="D384" s="3" t="s">
        <v>554</v>
      </c>
      <c r="E384" s="10">
        <v>45724</v>
      </c>
      <c r="F384" s="6" t="str">
        <f t="shared" si="80"/>
        <v>Valid</v>
      </c>
      <c r="G384" s="8">
        <f t="shared" si="81"/>
        <v>4</v>
      </c>
      <c r="H384" s="8" t="str">
        <f t="shared" si="82"/>
        <v>Valid</v>
      </c>
      <c r="I384" t="s">
        <v>202</v>
      </c>
      <c r="J384" t="s">
        <v>60</v>
      </c>
      <c r="K384" t="s">
        <v>60</v>
      </c>
      <c r="L384" t="s">
        <v>40</v>
      </c>
      <c r="M384" s="3" t="str">
        <f t="shared" si="83"/>
        <v>Small Business</v>
      </c>
      <c r="N384" t="s">
        <v>41</v>
      </c>
      <c r="O384" s="3" t="str">
        <f t="shared" si="84"/>
        <v>East</v>
      </c>
      <c r="P384" t="s">
        <v>185</v>
      </c>
      <c r="Q384" t="s">
        <v>186</v>
      </c>
      <c r="R384" t="s">
        <v>1904</v>
      </c>
      <c r="S384" s="3" t="str">
        <f t="shared" si="85"/>
        <v>Technology</v>
      </c>
      <c r="T384" t="s">
        <v>222</v>
      </c>
      <c r="U384" t="s">
        <v>1905</v>
      </c>
      <c r="V384" t="s">
        <v>55</v>
      </c>
      <c r="W384" s="3" t="str">
        <f t="shared" si="86"/>
        <v>First Class</v>
      </c>
      <c r="X384">
        <v>3</v>
      </c>
      <c r="Y384">
        <v>4361.8500000000004</v>
      </c>
      <c r="Z384">
        <v>0.2</v>
      </c>
      <c r="AA384">
        <f t="shared" si="90"/>
        <v>0.2</v>
      </c>
      <c r="AB384">
        <f t="shared" si="91"/>
        <v>10468.440000000002</v>
      </c>
      <c r="AC384">
        <v>10468.44</v>
      </c>
      <c r="AD384">
        <v>8399.8700000000008</v>
      </c>
      <c r="AE384">
        <v>2068.5700000000002</v>
      </c>
      <c r="AF384" t="s">
        <v>33</v>
      </c>
      <c r="AG384" t="s">
        <v>34</v>
      </c>
      <c r="AH384" t="str">
        <f t="shared" si="87"/>
        <v>Completed</v>
      </c>
      <c r="AI384" t="str">
        <f t="shared" si="88"/>
        <v>Valid</v>
      </c>
      <c r="AJ384">
        <f t="shared" si="89"/>
        <v>2068.5699999999997</v>
      </c>
      <c r="AK384" s="12">
        <f t="shared" si="92"/>
        <v>0.19760059760575591</v>
      </c>
      <c r="AL384">
        <f t="shared" si="93"/>
        <v>3</v>
      </c>
      <c r="AM384">
        <f t="shared" si="94"/>
        <v>2025</v>
      </c>
      <c r="AN384" t="str">
        <f t="shared" si="95"/>
        <v>Clean</v>
      </c>
    </row>
    <row r="385" spans="1:40">
      <c r="A385" t="s">
        <v>1906</v>
      </c>
      <c r="B385" s="3" t="s">
        <v>1516</v>
      </c>
      <c r="C385" s="10">
        <v>45836</v>
      </c>
      <c r="D385" s="3" t="s">
        <v>1074</v>
      </c>
      <c r="E385" s="10">
        <v>45843</v>
      </c>
      <c r="F385" s="6" t="str">
        <f t="shared" si="80"/>
        <v>Valid</v>
      </c>
      <c r="G385" s="8">
        <f t="shared" si="81"/>
        <v>7</v>
      </c>
      <c r="H385" s="8" t="str">
        <f t="shared" si="82"/>
        <v>Valid</v>
      </c>
      <c r="I385" t="s">
        <v>1907</v>
      </c>
      <c r="J385" t="s">
        <v>82</v>
      </c>
      <c r="K385" t="s">
        <v>82</v>
      </c>
      <c r="L385" t="s">
        <v>107</v>
      </c>
      <c r="M385" s="3" t="str">
        <f t="shared" si="83"/>
        <v>Corporate</v>
      </c>
      <c r="N385" t="s">
        <v>41</v>
      </c>
      <c r="O385" s="3" t="str">
        <f t="shared" si="84"/>
        <v>East</v>
      </c>
      <c r="P385" t="s">
        <v>120</v>
      </c>
      <c r="Q385" t="s">
        <v>121</v>
      </c>
      <c r="R385" t="s">
        <v>29</v>
      </c>
      <c r="S385" s="3" t="str">
        <f t="shared" si="85"/>
        <v>Office Supplies</v>
      </c>
      <c r="T385" t="s">
        <v>53</v>
      </c>
      <c r="U385" t="s">
        <v>1908</v>
      </c>
      <c r="V385" t="s">
        <v>55</v>
      </c>
      <c r="W385" s="3" t="str">
        <f t="shared" si="86"/>
        <v>First Class</v>
      </c>
      <c r="X385">
        <v>2</v>
      </c>
      <c r="Y385">
        <v>2242.75</v>
      </c>
      <c r="Z385">
        <v>0</v>
      </c>
      <c r="AA385">
        <f t="shared" si="90"/>
        <v>0</v>
      </c>
      <c r="AB385">
        <f t="shared" si="91"/>
        <v>4485.5</v>
      </c>
      <c r="AC385">
        <v>4485.5</v>
      </c>
      <c r="AD385">
        <v>3131.86</v>
      </c>
      <c r="AE385">
        <v>1353.64</v>
      </c>
      <c r="AF385" t="s">
        <v>33</v>
      </c>
      <c r="AG385" t="s">
        <v>77</v>
      </c>
      <c r="AH385" t="str">
        <f t="shared" si="87"/>
        <v>Cancelled</v>
      </c>
      <c r="AI385" t="str">
        <f t="shared" si="88"/>
        <v>Valid</v>
      </c>
      <c r="AJ385">
        <f t="shared" si="89"/>
        <v>1353.6399999999999</v>
      </c>
      <c r="AK385" s="12">
        <f t="shared" si="92"/>
        <v>0.30178129528480657</v>
      </c>
      <c r="AL385">
        <f t="shared" si="93"/>
        <v>6</v>
      </c>
      <c r="AM385">
        <f t="shared" si="94"/>
        <v>2025</v>
      </c>
      <c r="AN385" t="str">
        <f t="shared" si="95"/>
        <v>Clean</v>
      </c>
    </row>
    <row r="386" spans="1:40">
      <c r="A386" t="s">
        <v>1909</v>
      </c>
      <c r="B386" s="3" t="s">
        <v>1910</v>
      </c>
      <c r="C386" s="10">
        <v>45366</v>
      </c>
      <c r="D386" s="3" t="s">
        <v>1911</v>
      </c>
      <c r="E386" s="10">
        <v>45371</v>
      </c>
      <c r="F386" s="6" t="str">
        <f t="shared" ref="F386:F449" si="96">IF(E386&lt;C386,"Invalid Shipping Record","Valid")</f>
        <v>Valid</v>
      </c>
      <c r="G386" s="8">
        <f t="shared" ref="G386:G449" si="97">E386-C386</f>
        <v>5</v>
      </c>
      <c r="H386" s="8" t="str">
        <f t="shared" ref="H386:H449" si="98">IF(OR(C386="",E386=""),"Missing Date",IF(OR(NOT(ISNUMBER(C386)),NOT(ISNUMBER(E386))),"Invalid Date",IF(E386&lt;C386,"Invalid Shipping Record","Valid")))</f>
        <v>Valid</v>
      </c>
      <c r="I386" t="s">
        <v>1912</v>
      </c>
      <c r="J386" t="s">
        <v>179</v>
      </c>
      <c r="K386" t="s">
        <v>179</v>
      </c>
      <c r="L386" t="s">
        <v>25</v>
      </c>
      <c r="M386" s="3" t="str">
        <f t="shared" ref="M386:M449" si="99">PROPER(TRIM(L386))</f>
        <v>Consumer</v>
      </c>
      <c r="N386" t="s">
        <v>41</v>
      </c>
      <c r="O386" s="3" t="str">
        <f t="shared" ref="O386:O449" si="100">IF(TRIM(N386)="","Unknown",PROPER(TRIM(N386)))</f>
        <v>East</v>
      </c>
      <c r="P386" t="s">
        <v>310</v>
      </c>
      <c r="Q386" t="s">
        <v>311</v>
      </c>
      <c r="R386" t="s">
        <v>85</v>
      </c>
      <c r="S386" s="3" t="str">
        <f t="shared" ref="S386:S449" si="101">PROPER(TRIM(R386))</f>
        <v>Technology</v>
      </c>
      <c r="T386" t="s">
        <v>93</v>
      </c>
      <c r="U386" t="s">
        <v>1913</v>
      </c>
      <c r="V386" t="s">
        <v>66</v>
      </c>
      <c r="W386" s="3" t="str">
        <f t="shared" ref="W386:W449" si="102">IF(TRIM(V386)="","Unknown",PROPER(TRIM(V386)))</f>
        <v>Standard Class</v>
      </c>
      <c r="X386">
        <v>2</v>
      </c>
      <c r="Y386">
        <v>1881.4</v>
      </c>
      <c r="Z386">
        <v>0.25</v>
      </c>
      <c r="AA386">
        <f t="shared" si="90"/>
        <v>0.25</v>
      </c>
      <c r="AB386">
        <f t="shared" si="91"/>
        <v>2822.1000000000004</v>
      </c>
      <c r="AC386">
        <v>2822.1</v>
      </c>
      <c r="AD386">
        <v>1624.57</v>
      </c>
      <c r="AE386">
        <v>1197.53</v>
      </c>
      <c r="AF386" t="s">
        <v>33</v>
      </c>
      <c r="AG386" t="s">
        <v>124</v>
      </c>
      <c r="AH386" t="str">
        <f t="shared" ref="AH386:AH449" si="103">PROPER(TRIM(AG386))</f>
        <v>Returned</v>
      </c>
      <c r="AI386" t="str">
        <f t="shared" ref="AI386:AI449" si="104">IF(Z386&lt;0,"Invalid - Negative Discount",IF(Z386&gt;1,"Invalid - Discount Above Range","Valid"))</f>
        <v>Valid</v>
      </c>
      <c r="AJ386">
        <f t="shared" ref="AJ386:AJ449" si="105">AC386-AD386</f>
        <v>1197.53</v>
      </c>
      <c r="AK386" s="12">
        <f t="shared" si="92"/>
        <v>0.42434003047376062</v>
      </c>
      <c r="AL386">
        <f t="shared" si="93"/>
        <v>3</v>
      </c>
      <c r="AM386">
        <f t="shared" si="94"/>
        <v>2024</v>
      </c>
      <c r="AN386" t="str">
        <f t="shared" si="95"/>
        <v>Clean</v>
      </c>
    </row>
    <row r="387" spans="1:40">
      <c r="A387" t="s">
        <v>1914</v>
      </c>
      <c r="B387" s="3" t="s">
        <v>995</v>
      </c>
      <c r="C387" s="10">
        <v>45832</v>
      </c>
      <c r="D387" s="3" t="s">
        <v>1915</v>
      </c>
      <c r="E387" s="10">
        <v>45838</v>
      </c>
      <c r="F387" s="6" t="str">
        <f t="shared" si="96"/>
        <v>Valid</v>
      </c>
      <c r="G387" s="8">
        <f t="shared" si="97"/>
        <v>6</v>
      </c>
      <c r="H387" s="8" t="str">
        <f t="shared" si="98"/>
        <v>Valid</v>
      </c>
      <c r="I387" t="s">
        <v>1916</v>
      </c>
      <c r="J387" t="s">
        <v>60</v>
      </c>
      <c r="K387" t="s">
        <v>60</v>
      </c>
      <c r="L387" t="s">
        <v>25</v>
      </c>
      <c r="M387" s="3" t="str">
        <f t="shared" si="99"/>
        <v>Consumer</v>
      </c>
      <c r="N387" t="s">
        <v>26</v>
      </c>
      <c r="O387" s="3" t="str">
        <f t="shared" si="100"/>
        <v>North</v>
      </c>
      <c r="P387" t="s">
        <v>322</v>
      </c>
      <c r="Q387" t="s">
        <v>323</v>
      </c>
      <c r="R387" t="s">
        <v>29</v>
      </c>
      <c r="S387" s="3" t="str">
        <f t="shared" si="101"/>
        <v>Office Supplies</v>
      </c>
      <c r="T387" t="s">
        <v>108</v>
      </c>
      <c r="U387" t="s">
        <v>1917</v>
      </c>
      <c r="V387" t="s">
        <v>66</v>
      </c>
      <c r="W387" s="3" t="str">
        <f t="shared" si="102"/>
        <v>Standard Class</v>
      </c>
      <c r="X387">
        <v>6</v>
      </c>
      <c r="Y387">
        <v>365.76</v>
      </c>
      <c r="Z387">
        <v>0.1</v>
      </c>
      <c r="AA387">
        <f t="shared" ref="AA387:AA450" si="106">IF(Z387="",0,Z387)</f>
        <v>0.1</v>
      </c>
      <c r="AB387">
        <f t="shared" ref="AB387:AB450" si="107">X387*Y387*(1-Z387)</f>
        <v>1975.104</v>
      </c>
      <c r="AC387">
        <v>1975.1</v>
      </c>
      <c r="AD387">
        <v>1115.3499999999999</v>
      </c>
      <c r="AE387">
        <v>859.75</v>
      </c>
      <c r="AF387" t="s">
        <v>33</v>
      </c>
      <c r="AG387" t="s">
        <v>34</v>
      </c>
      <c r="AH387" t="str">
        <f t="shared" si="103"/>
        <v>Completed</v>
      </c>
      <c r="AI387" t="str">
        <f t="shared" si="104"/>
        <v>Valid</v>
      </c>
      <c r="AJ387">
        <f t="shared" si="105"/>
        <v>859.75</v>
      </c>
      <c r="AK387" s="12">
        <f t="shared" ref="AK387:AK450" si="108">IF(AB387=0,"",AJ387/AB387)</f>
        <v>0.43529353391011305</v>
      </c>
      <c r="AL387">
        <f t="shared" ref="AL387:AL450" si="109">MONTH(C387)</f>
        <v>6</v>
      </c>
      <c r="AM387">
        <f t="shared" ref="AM387:AM450" si="110">YEAR(C387)</f>
        <v>2025</v>
      </c>
      <c r="AN387" t="str">
        <f t="shared" ref="AN387:AN450" si="111">IF(H387="Invalid Shipping Record","Invalid","Clean")</f>
        <v>Clean</v>
      </c>
    </row>
    <row r="388" spans="1:40">
      <c r="A388" t="s">
        <v>1918</v>
      </c>
      <c r="B388" s="3" t="s">
        <v>1396</v>
      </c>
      <c r="C388" s="10">
        <v>45700</v>
      </c>
      <c r="D388" s="3" t="s">
        <v>1919</v>
      </c>
      <c r="E388" s="10">
        <v>45702</v>
      </c>
      <c r="F388" s="6" t="str">
        <f t="shared" si="96"/>
        <v>Valid</v>
      </c>
      <c r="G388" s="8">
        <f t="shared" si="97"/>
        <v>2</v>
      </c>
      <c r="H388" s="8" t="str">
        <f t="shared" si="98"/>
        <v>Valid</v>
      </c>
      <c r="I388" t="s">
        <v>1920</v>
      </c>
      <c r="J388" t="s">
        <v>167</v>
      </c>
      <c r="K388" t="s">
        <v>167</v>
      </c>
      <c r="L388" t="s">
        <v>25</v>
      </c>
      <c r="M388" s="3" t="str">
        <f t="shared" si="99"/>
        <v>Consumer</v>
      </c>
      <c r="N388" t="s">
        <v>72</v>
      </c>
      <c r="O388" s="3" t="str">
        <f t="shared" si="100"/>
        <v>West</v>
      </c>
      <c r="P388" t="s">
        <v>73</v>
      </c>
      <c r="Q388" t="s">
        <v>74</v>
      </c>
      <c r="R388" t="s">
        <v>44</v>
      </c>
      <c r="S388" s="3" t="str">
        <f t="shared" si="101"/>
        <v>Furniture</v>
      </c>
      <c r="T388" t="s">
        <v>64</v>
      </c>
      <c r="U388" t="s">
        <v>1921</v>
      </c>
      <c r="V388" t="s">
        <v>32</v>
      </c>
      <c r="W388" s="3" t="str">
        <f t="shared" si="102"/>
        <v>Second Class</v>
      </c>
      <c r="X388">
        <v>8</v>
      </c>
      <c r="Y388">
        <v>2786.66</v>
      </c>
      <c r="Z388">
        <v>0.1</v>
      </c>
      <c r="AA388">
        <f t="shared" si="106"/>
        <v>0.1</v>
      </c>
      <c r="AB388">
        <f t="shared" si="107"/>
        <v>20063.952000000001</v>
      </c>
      <c r="AC388">
        <v>20063.95</v>
      </c>
      <c r="AD388">
        <v>14363.38</v>
      </c>
      <c r="AE388">
        <v>5700.57</v>
      </c>
      <c r="AF388" t="s">
        <v>33</v>
      </c>
      <c r="AG388" t="s">
        <v>34</v>
      </c>
      <c r="AH388" t="str">
        <f t="shared" si="103"/>
        <v>Completed</v>
      </c>
      <c r="AI388" t="str">
        <f t="shared" si="104"/>
        <v>Valid</v>
      </c>
      <c r="AJ388">
        <f t="shared" si="105"/>
        <v>5700.5700000000015</v>
      </c>
      <c r="AK388" s="12">
        <f t="shared" si="108"/>
        <v>0.28411999789473186</v>
      </c>
      <c r="AL388">
        <f t="shared" si="109"/>
        <v>2</v>
      </c>
      <c r="AM388">
        <f t="shared" si="110"/>
        <v>2025</v>
      </c>
      <c r="AN388" t="str">
        <f t="shared" si="111"/>
        <v>Clean</v>
      </c>
    </row>
    <row r="389" spans="1:40">
      <c r="A389" t="s">
        <v>1922</v>
      </c>
      <c r="B389" s="3" t="s">
        <v>943</v>
      </c>
      <c r="C389" s="10">
        <v>45879</v>
      </c>
      <c r="D389" s="3" t="s">
        <v>1117</v>
      </c>
      <c r="E389" s="10">
        <v>45882</v>
      </c>
      <c r="F389" s="6" t="str">
        <f t="shared" si="96"/>
        <v>Valid</v>
      </c>
      <c r="G389" s="8">
        <f t="shared" si="97"/>
        <v>3</v>
      </c>
      <c r="H389" s="8" t="str">
        <f t="shared" si="98"/>
        <v>Valid</v>
      </c>
      <c r="I389" t="s">
        <v>1923</v>
      </c>
      <c r="J389" t="s">
        <v>141</v>
      </c>
      <c r="K389" t="s">
        <v>141</v>
      </c>
      <c r="L389" t="s">
        <v>40</v>
      </c>
      <c r="M389" s="3" t="str">
        <f t="shared" si="99"/>
        <v>Small Business</v>
      </c>
      <c r="N389" t="s">
        <v>72</v>
      </c>
      <c r="O389" s="3" t="str">
        <f t="shared" si="100"/>
        <v>West</v>
      </c>
      <c r="P389" t="s">
        <v>83</v>
      </c>
      <c r="Q389" t="s">
        <v>84</v>
      </c>
      <c r="R389" t="s">
        <v>44</v>
      </c>
      <c r="S389" s="3" t="str">
        <f t="shared" si="101"/>
        <v>Furniture</v>
      </c>
      <c r="T389" t="s">
        <v>75</v>
      </c>
      <c r="U389" t="s">
        <v>1924</v>
      </c>
      <c r="V389" t="s">
        <v>66</v>
      </c>
      <c r="W389" s="3" t="str">
        <f t="shared" si="102"/>
        <v>Standard Class</v>
      </c>
      <c r="X389">
        <v>5</v>
      </c>
      <c r="Y389">
        <v>352.86</v>
      </c>
      <c r="Z389">
        <v>0</v>
      </c>
      <c r="AA389">
        <f t="shared" si="106"/>
        <v>0</v>
      </c>
      <c r="AB389">
        <f t="shared" si="107"/>
        <v>1764.3000000000002</v>
      </c>
      <c r="AC389">
        <v>1764.3</v>
      </c>
      <c r="AD389">
        <v>1332.49</v>
      </c>
      <c r="AE389">
        <v>431.81</v>
      </c>
      <c r="AF389" t="s">
        <v>136</v>
      </c>
      <c r="AG389" t="s">
        <v>77</v>
      </c>
      <c r="AH389" t="str">
        <f t="shared" si="103"/>
        <v>Cancelled</v>
      </c>
      <c r="AI389" t="str">
        <f t="shared" si="104"/>
        <v>Valid</v>
      </c>
      <c r="AJ389">
        <f t="shared" si="105"/>
        <v>431.80999999999995</v>
      </c>
      <c r="AK389" s="12">
        <f t="shared" si="108"/>
        <v>0.24474862551720222</v>
      </c>
      <c r="AL389">
        <f t="shared" si="109"/>
        <v>8</v>
      </c>
      <c r="AM389">
        <f t="shared" si="110"/>
        <v>2025</v>
      </c>
      <c r="AN389" t="str">
        <f t="shared" si="111"/>
        <v>Clean</v>
      </c>
    </row>
    <row r="390" spans="1:40">
      <c r="A390" t="s">
        <v>1925</v>
      </c>
      <c r="B390" s="3" t="s">
        <v>1926</v>
      </c>
      <c r="C390" s="10">
        <v>45425</v>
      </c>
      <c r="D390" s="3" t="s">
        <v>1927</v>
      </c>
      <c r="E390" s="10">
        <v>45430</v>
      </c>
      <c r="F390" s="6" t="str">
        <f t="shared" si="96"/>
        <v>Valid</v>
      </c>
      <c r="G390" s="8">
        <f t="shared" si="97"/>
        <v>5</v>
      </c>
      <c r="H390" s="8" t="str">
        <f t="shared" si="98"/>
        <v>Valid</v>
      </c>
      <c r="I390" t="s">
        <v>1928</v>
      </c>
      <c r="J390" t="s">
        <v>52</v>
      </c>
      <c r="K390" t="s">
        <v>52</v>
      </c>
      <c r="L390" t="s">
        <v>40</v>
      </c>
      <c r="M390" s="3" t="str">
        <f t="shared" si="99"/>
        <v>Small Business</v>
      </c>
      <c r="N390" t="s">
        <v>72</v>
      </c>
      <c r="O390" s="3" t="str">
        <f t="shared" si="100"/>
        <v>West</v>
      </c>
      <c r="P390" t="s">
        <v>234</v>
      </c>
      <c r="Q390" t="s">
        <v>235</v>
      </c>
      <c r="R390" t="s">
        <v>44</v>
      </c>
      <c r="S390" s="3" t="str">
        <f t="shared" si="101"/>
        <v>Furniture</v>
      </c>
      <c r="T390" t="s">
        <v>75</v>
      </c>
      <c r="U390" t="s">
        <v>1929</v>
      </c>
      <c r="V390" t="s">
        <v>66</v>
      </c>
      <c r="W390" s="3" t="str">
        <f t="shared" si="102"/>
        <v>Standard Class</v>
      </c>
      <c r="X390">
        <v>3</v>
      </c>
      <c r="Y390">
        <v>3128.59</v>
      </c>
      <c r="Z390">
        <v>0</v>
      </c>
      <c r="AA390">
        <f t="shared" si="106"/>
        <v>0</v>
      </c>
      <c r="AB390">
        <f t="shared" si="107"/>
        <v>9385.77</v>
      </c>
      <c r="AC390">
        <v>9385.77</v>
      </c>
      <c r="AD390">
        <v>6872.44</v>
      </c>
      <c r="AE390">
        <v>2783.66</v>
      </c>
      <c r="AF390" t="s">
        <v>33</v>
      </c>
      <c r="AG390" t="s">
        <v>34</v>
      </c>
      <c r="AH390" t="str">
        <f t="shared" si="103"/>
        <v>Completed</v>
      </c>
      <c r="AI390" t="str">
        <f t="shared" si="104"/>
        <v>Valid</v>
      </c>
      <c r="AJ390">
        <f t="shared" si="105"/>
        <v>2513.3300000000008</v>
      </c>
      <c r="AK390" s="12">
        <f t="shared" si="108"/>
        <v>0.26778090662779941</v>
      </c>
      <c r="AL390">
        <f t="shared" si="109"/>
        <v>5</v>
      </c>
      <c r="AM390">
        <f t="shared" si="110"/>
        <v>2024</v>
      </c>
      <c r="AN390" t="str">
        <f t="shared" si="111"/>
        <v>Clean</v>
      </c>
    </row>
    <row r="391" spans="1:40">
      <c r="A391" t="s">
        <v>1930</v>
      </c>
      <c r="B391" s="3" t="s">
        <v>1931</v>
      </c>
      <c r="C391" s="10">
        <v>45387</v>
      </c>
      <c r="D391" s="3" t="s">
        <v>348</v>
      </c>
      <c r="E391" s="10">
        <v>45395</v>
      </c>
      <c r="F391" s="6" t="str">
        <f t="shared" si="96"/>
        <v>Valid</v>
      </c>
      <c r="G391" s="8">
        <f t="shared" si="97"/>
        <v>8</v>
      </c>
      <c r="H391" s="8" t="str">
        <f t="shared" si="98"/>
        <v>Valid</v>
      </c>
      <c r="I391" t="s">
        <v>1932</v>
      </c>
      <c r="J391" t="s">
        <v>209</v>
      </c>
      <c r="K391" t="s">
        <v>209</v>
      </c>
      <c r="L391" t="s">
        <v>107</v>
      </c>
      <c r="M391" s="3" t="str">
        <f t="shared" si="99"/>
        <v>Corporate</v>
      </c>
      <c r="N391" t="s">
        <v>72</v>
      </c>
      <c r="O391" s="3" t="str">
        <f t="shared" si="100"/>
        <v>West</v>
      </c>
      <c r="P391" t="s">
        <v>234</v>
      </c>
      <c r="Q391" t="s">
        <v>235</v>
      </c>
      <c r="R391" t="s">
        <v>85</v>
      </c>
      <c r="S391" s="3" t="str">
        <f t="shared" si="101"/>
        <v>Technology</v>
      </c>
      <c r="T391" t="s">
        <v>381</v>
      </c>
      <c r="U391" t="s">
        <v>1933</v>
      </c>
      <c r="V391" t="s">
        <v>32</v>
      </c>
      <c r="W391" s="3" t="str">
        <f t="shared" si="102"/>
        <v>Second Class</v>
      </c>
      <c r="X391">
        <v>5</v>
      </c>
      <c r="Y391">
        <v>1937.54</v>
      </c>
      <c r="Z391">
        <v>0.2</v>
      </c>
      <c r="AA391">
        <f t="shared" si="106"/>
        <v>0.2</v>
      </c>
      <c r="AB391">
        <f t="shared" si="107"/>
        <v>7750.1600000000008</v>
      </c>
      <c r="AC391">
        <v>7750.16</v>
      </c>
      <c r="AD391">
        <v>5434.3</v>
      </c>
      <c r="AE391">
        <v>2315.86</v>
      </c>
      <c r="AF391" t="s">
        <v>136</v>
      </c>
      <c r="AG391" t="s">
        <v>77</v>
      </c>
      <c r="AH391" t="str">
        <f t="shared" si="103"/>
        <v>Cancelled</v>
      </c>
      <c r="AI391" t="str">
        <f t="shared" si="104"/>
        <v>Valid</v>
      </c>
      <c r="AJ391">
        <f t="shared" si="105"/>
        <v>2315.8599999999997</v>
      </c>
      <c r="AK391" s="12">
        <f t="shared" si="108"/>
        <v>0.29881447608823553</v>
      </c>
      <c r="AL391">
        <f t="shared" si="109"/>
        <v>4</v>
      </c>
      <c r="AM391">
        <f t="shared" si="110"/>
        <v>2024</v>
      </c>
      <c r="AN391" t="str">
        <f t="shared" si="111"/>
        <v>Clean</v>
      </c>
    </row>
    <row r="392" spans="1:40">
      <c r="A392" t="s">
        <v>1934</v>
      </c>
      <c r="B392" s="3" t="s">
        <v>1935</v>
      </c>
      <c r="C392" s="10">
        <v>45602</v>
      </c>
      <c r="D392" s="3" t="s">
        <v>483</v>
      </c>
      <c r="E392" s="10">
        <v>45607</v>
      </c>
      <c r="F392" s="6" t="str">
        <f t="shared" si="96"/>
        <v>Valid</v>
      </c>
      <c r="G392" s="8">
        <f t="shared" si="97"/>
        <v>5</v>
      </c>
      <c r="H392" s="8" t="str">
        <f t="shared" si="98"/>
        <v>Valid</v>
      </c>
      <c r="I392" t="s">
        <v>1936</v>
      </c>
      <c r="J392" t="s">
        <v>52</v>
      </c>
      <c r="K392" t="s">
        <v>52</v>
      </c>
      <c r="L392" t="s">
        <v>25</v>
      </c>
      <c r="M392" s="3" t="str">
        <f t="shared" si="99"/>
        <v>Consumer</v>
      </c>
      <c r="N392" t="s">
        <v>72</v>
      </c>
      <c r="O392" s="3" t="str">
        <f t="shared" si="100"/>
        <v>West</v>
      </c>
      <c r="P392" t="s">
        <v>234</v>
      </c>
      <c r="Q392" t="s">
        <v>235</v>
      </c>
      <c r="R392" t="s">
        <v>44</v>
      </c>
      <c r="S392" s="3" t="str">
        <f t="shared" si="101"/>
        <v>Furniture</v>
      </c>
      <c r="T392" t="s">
        <v>64</v>
      </c>
      <c r="U392" t="s">
        <v>1937</v>
      </c>
      <c r="V392" t="s">
        <v>66</v>
      </c>
      <c r="W392" s="3" t="str">
        <f t="shared" si="102"/>
        <v>Standard Class</v>
      </c>
      <c r="X392">
        <v>4</v>
      </c>
      <c r="Y392">
        <v>1917.26</v>
      </c>
      <c r="Z392">
        <v>0.2</v>
      </c>
      <c r="AA392">
        <f t="shared" si="106"/>
        <v>0.2</v>
      </c>
      <c r="AB392">
        <f t="shared" si="107"/>
        <v>6135.232</v>
      </c>
      <c r="AC392">
        <v>6135.23</v>
      </c>
      <c r="AD392">
        <v>3439.79</v>
      </c>
      <c r="AE392">
        <v>2695.44</v>
      </c>
      <c r="AF392" t="s">
        <v>33</v>
      </c>
      <c r="AG392" t="s">
        <v>34</v>
      </c>
      <c r="AH392" t="str">
        <f t="shared" si="103"/>
        <v>Completed</v>
      </c>
      <c r="AI392" t="str">
        <f t="shared" si="104"/>
        <v>Valid</v>
      </c>
      <c r="AJ392">
        <f t="shared" si="105"/>
        <v>2695.4399999999996</v>
      </c>
      <c r="AK392" s="12">
        <f t="shared" si="108"/>
        <v>0.43933790930807498</v>
      </c>
      <c r="AL392">
        <f t="shared" si="109"/>
        <v>11</v>
      </c>
      <c r="AM392">
        <f t="shared" si="110"/>
        <v>2024</v>
      </c>
      <c r="AN392" t="str">
        <f t="shared" si="111"/>
        <v>Clean</v>
      </c>
    </row>
    <row r="393" spans="1:40">
      <c r="A393" t="s">
        <v>1938</v>
      </c>
      <c r="B393" s="3" t="s">
        <v>1919</v>
      </c>
      <c r="C393" s="10">
        <v>45702</v>
      </c>
      <c r="D393" s="3" t="s">
        <v>1939</v>
      </c>
      <c r="E393" s="10">
        <v>45702</v>
      </c>
      <c r="F393" s="6" t="str">
        <f t="shared" si="96"/>
        <v>Valid</v>
      </c>
      <c r="G393" s="8">
        <f t="shared" si="97"/>
        <v>0</v>
      </c>
      <c r="H393" s="8" t="str">
        <f t="shared" si="98"/>
        <v>Valid</v>
      </c>
      <c r="I393" t="s">
        <v>1940</v>
      </c>
      <c r="J393" t="s">
        <v>209</v>
      </c>
      <c r="K393" t="s">
        <v>209</v>
      </c>
      <c r="L393" t="s">
        <v>25</v>
      </c>
      <c r="M393" s="3" t="str">
        <f t="shared" si="99"/>
        <v>Consumer</v>
      </c>
      <c r="N393" t="s">
        <v>61</v>
      </c>
      <c r="O393" s="3" t="str">
        <f t="shared" si="100"/>
        <v>South</v>
      </c>
      <c r="P393" t="s">
        <v>228</v>
      </c>
      <c r="Q393" t="s">
        <v>229</v>
      </c>
      <c r="R393" t="s">
        <v>29</v>
      </c>
      <c r="S393" s="3" t="str">
        <f t="shared" si="101"/>
        <v>Office Supplies</v>
      </c>
      <c r="T393" t="s">
        <v>155</v>
      </c>
      <c r="U393" t="s">
        <v>1941</v>
      </c>
      <c r="V393" t="s">
        <v>55</v>
      </c>
      <c r="W393" s="3" t="str">
        <f t="shared" si="102"/>
        <v>First Class</v>
      </c>
      <c r="X393">
        <v>1</v>
      </c>
      <c r="Y393">
        <v>714.43</v>
      </c>
      <c r="Z393">
        <v>0</v>
      </c>
      <c r="AA393">
        <f t="shared" si="106"/>
        <v>0</v>
      </c>
      <c r="AB393">
        <f t="shared" si="107"/>
        <v>714.43</v>
      </c>
      <c r="AC393">
        <v>714.43</v>
      </c>
      <c r="AD393">
        <v>565.44000000000005</v>
      </c>
      <c r="AE393">
        <v>148.99</v>
      </c>
      <c r="AF393" t="s">
        <v>33</v>
      </c>
      <c r="AG393" t="s">
        <v>34</v>
      </c>
      <c r="AH393" t="str">
        <f t="shared" si="103"/>
        <v>Completed</v>
      </c>
      <c r="AI393" t="str">
        <f t="shared" si="104"/>
        <v>Valid</v>
      </c>
      <c r="AJ393">
        <f t="shared" si="105"/>
        <v>148.9899999999999</v>
      </c>
      <c r="AK393" s="12">
        <f t="shared" si="108"/>
        <v>0.20854387413742412</v>
      </c>
      <c r="AL393">
        <f t="shared" si="109"/>
        <v>2</v>
      </c>
      <c r="AM393">
        <f t="shared" si="110"/>
        <v>2025</v>
      </c>
      <c r="AN393" t="str">
        <f t="shared" si="111"/>
        <v>Clean</v>
      </c>
    </row>
    <row r="394" spans="1:40">
      <c r="A394" t="s">
        <v>1942</v>
      </c>
      <c r="B394" s="3" t="s">
        <v>1943</v>
      </c>
      <c r="C394" s="10">
        <v>45341</v>
      </c>
      <c r="D394" s="3" t="s">
        <v>1944</v>
      </c>
      <c r="E394" s="10">
        <v>45344</v>
      </c>
      <c r="F394" s="6" t="str">
        <f t="shared" si="96"/>
        <v>Valid</v>
      </c>
      <c r="G394" s="8">
        <f t="shared" si="97"/>
        <v>3</v>
      </c>
      <c r="H394" s="8" t="str">
        <f t="shared" si="98"/>
        <v>Valid</v>
      </c>
      <c r="I394" t="s">
        <v>1945</v>
      </c>
      <c r="J394" t="s">
        <v>106</v>
      </c>
      <c r="K394" t="s">
        <v>106</v>
      </c>
      <c r="L394" t="s">
        <v>40</v>
      </c>
      <c r="M394" s="3" t="str">
        <f t="shared" si="99"/>
        <v>Small Business</v>
      </c>
      <c r="N394" t="s">
        <v>61</v>
      </c>
      <c r="O394" s="3" t="str">
        <f t="shared" si="100"/>
        <v>South</v>
      </c>
      <c r="P394" t="s">
        <v>241</v>
      </c>
      <c r="Q394" t="s">
        <v>242</v>
      </c>
      <c r="R394" t="s">
        <v>44</v>
      </c>
      <c r="S394" s="3" t="str">
        <f t="shared" si="101"/>
        <v>Furniture</v>
      </c>
      <c r="T394" t="s">
        <v>64</v>
      </c>
      <c r="U394" t="s">
        <v>1946</v>
      </c>
      <c r="V394" t="s">
        <v>47</v>
      </c>
      <c r="W394" s="3" t="str">
        <f t="shared" si="102"/>
        <v>Same Day</v>
      </c>
      <c r="X394">
        <v>9</v>
      </c>
      <c r="Y394">
        <v>4053.01</v>
      </c>
      <c r="Z394">
        <v>0</v>
      </c>
      <c r="AA394">
        <f t="shared" si="106"/>
        <v>0</v>
      </c>
      <c r="AB394">
        <f t="shared" si="107"/>
        <v>36477.090000000004</v>
      </c>
      <c r="AC394">
        <v>36477.089999999997</v>
      </c>
      <c r="AD394">
        <v>24525.48</v>
      </c>
      <c r="AE394">
        <v>11951.61</v>
      </c>
      <c r="AF394" t="s">
        <v>33</v>
      </c>
      <c r="AG394" t="s">
        <v>34</v>
      </c>
      <c r="AH394" t="str">
        <f t="shared" si="103"/>
        <v>Completed</v>
      </c>
      <c r="AI394" t="str">
        <f t="shared" si="104"/>
        <v>Valid</v>
      </c>
      <c r="AJ394">
        <f t="shared" si="105"/>
        <v>11951.609999999997</v>
      </c>
      <c r="AK394" s="12">
        <f t="shared" si="108"/>
        <v>0.32764702447481409</v>
      </c>
      <c r="AL394">
        <f t="shared" si="109"/>
        <v>2</v>
      </c>
      <c r="AM394">
        <f t="shared" si="110"/>
        <v>2024</v>
      </c>
      <c r="AN394" t="str">
        <f t="shared" si="111"/>
        <v>Clean</v>
      </c>
    </row>
    <row r="395" spans="1:40">
      <c r="A395" t="s">
        <v>1947</v>
      </c>
      <c r="B395" s="3" t="s">
        <v>1948</v>
      </c>
      <c r="C395" s="10">
        <v>45527</v>
      </c>
      <c r="D395" s="3" t="s">
        <v>1949</v>
      </c>
      <c r="E395" s="10">
        <v>45533</v>
      </c>
      <c r="F395" s="6" t="str">
        <f t="shared" si="96"/>
        <v>Valid</v>
      </c>
      <c r="G395" s="8">
        <f t="shared" si="97"/>
        <v>6</v>
      </c>
      <c r="H395" s="8" t="str">
        <f t="shared" si="98"/>
        <v>Valid</v>
      </c>
      <c r="I395" t="s">
        <v>1950</v>
      </c>
      <c r="J395" t="s">
        <v>39</v>
      </c>
      <c r="K395" t="s">
        <v>39</v>
      </c>
      <c r="L395" t="s">
        <v>107</v>
      </c>
      <c r="M395" s="3" t="str">
        <f t="shared" si="99"/>
        <v>Corporate</v>
      </c>
      <c r="N395" t="s">
        <v>26</v>
      </c>
      <c r="O395" s="3" t="str">
        <f t="shared" si="100"/>
        <v>North</v>
      </c>
      <c r="P395" t="s">
        <v>173</v>
      </c>
      <c r="Q395" t="s">
        <v>174</v>
      </c>
      <c r="R395" t="s">
        <v>29</v>
      </c>
      <c r="S395" s="3" t="str">
        <f t="shared" si="101"/>
        <v>Office Supplies</v>
      </c>
      <c r="T395" t="s">
        <v>108</v>
      </c>
      <c r="U395" t="s">
        <v>1951</v>
      </c>
      <c r="V395" t="s">
        <v>47</v>
      </c>
      <c r="W395" s="3" t="str">
        <f t="shared" si="102"/>
        <v>Same Day</v>
      </c>
      <c r="X395">
        <v>2</v>
      </c>
      <c r="Y395">
        <v>1936.91</v>
      </c>
      <c r="Z395">
        <v>0.05</v>
      </c>
      <c r="AA395">
        <f t="shared" si="106"/>
        <v>0.05</v>
      </c>
      <c r="AB395">
        <f t="shared" si="107"/>
        <v>3680.1289999999999</v>
      </c>
      <c r="AC395">
        <v>3680.13</v>
      </c>
      <c r="AD395">
        <v>2967.46</v>
      </c>
      <c r="AE395">
        <v>712.67</v>
      </c>
      <c r="AF395" t="s">
        <v>33</v>
      </c>
      <c r="AG395" t="s">
        <v>34</v>
      </c>
      <c r="AH395" t="str">
        <f t="shared" si="103"/>
        <v>Completed</v>
      </c>
      <c r="AI395" t="str">
        <f t="shared" si="104"/>
        <v>Valid</v>
      </c>
      <c r="AJ395">
        <f t="shared" si="105"/>
        <v>712.67000000000007</v>
      </c>
      <c r="AK395" s="12">
        <f t="shared" si="108"/>
        <v>0.19365353768848867</v>
      </c>
      <c r="AL395">
        <f t="shared" si="109"/>
        <v>8</v>
      </c>
      <c r="AM395">
        <f t="shared" si="110"/>
        <v>2024</v>
      </c>
      <c r="AN395" t="str">
        <f t="shared" si="111"/>
        <v>Clean</v>
      </c>
    </row>
    <row r="396" spans="1:40">
      <c r="A396" t="s">
        <v>1952</v>
      </c>
      <c r="B396" s="3" t="s">
        <v>1953</v>
      </c>
      <c r="C396" s="10">
        <v>45385</v>
      </c>
      <c r="D396" s="3" t="s">
        <v>1954</v>
      </c>
      <c r="E396" s="10">
        <v>45386</v>
      </c>
      <c r="F396" s="6" t="str">
        <f t="shared" si="96"/>
        <v>Valid</v>
      </c>
      <c r="G396" s="8">
        <f t="shared" si="97"/>
        <v>1</v>
      </c>
      <c r="H396" s="8" t="str">
        <f t="shared" si="98"/>
        <v>Valid</v>
      </c>
      <c r="I396" t="s">
        <v>1955</v>
      </c>
      <c r="J396" t="s">
        <v>365</v>
      </c>
      <c r="K396" t="s">
        <v>365</v>
      </c>
      <c r="L396" t="s">
        <v>25</v>
      </c>
      <c r="M396" s="3" t="str">
        <f t="shared" si="99"/>
        <v>Consumer</v>
      </c>
      <c r="N396" t="s">
        <v>72</v>
      </c>
      <c r="O396" s="3" t="str">
        <f t="shared" si="100"/>
        <v>West</v>
      </c>
      <c r="P396" t="s">
        <v>73</v>
      </c>
      <c r="Q396" t="s">
        <v>74</v>
      </c>
      <c r="R396" t="s">
        <v>44</v>
      </c>
      <c r="S396" s="3" t="str">
        <f t="shared" si="101"/>
        <v>Furniture</v>
      </c>
      <c r="T396" t="s">
        <v>64</v>
      </c>
      <c r="U396" t="s">
        <v>1956</v>
      </c>
      <c r="V396" t="s">
        <v>55</v>
      </c>
      <c r="W396" s="3" t="str">
        <f t="shared" si="102"/>
        <v>First Class</v>
      </c>
      <c r="X396">
        <v>7</v>
      </c>
      <c r="Y396">
        <v>3945.21</v>
      </c>
      <c r="Z396">
        <v>0</v>
      </c>
      <c r="AA396">
        <f t="shared" si="106"/>
        <v>0</v>
      </c>
      <c r="AB396">
        <f t="shared" si="107"/>
        <v>27616.47</v>
      </c>
      <c r="AC396">
        <v>27616.47</v>
      </c>
      <c r="AD396">
        <v>21225.26</v>
      </c>
      <c r="AE396">
        <v>6391.21</v>
      </c>
      <c r="AF396" t="s">
        <v>33</v>
      </c>
      <c r="AG396" t="s">
        <v>34</v>
      </c>
      <c r="AH396" t="str">
        <f t="shared" si="103"/>
        <v>Completed</v>
      </c>
      <c r="AI396" t="str">
        <f t="shared" si="104"/>
        <v>Valid</v>
      </c>
      <c r="AJ396">
        <f t="shared" si="105"/>
        <v>6391.2100000000028</v>
      </c>
      <c r="AK396" s="12">
        <f t="shared" si="108"/>
        <v>0.23142747787823725</v>
      </c>
      <c r="AL396">
        <f t="shared" si="109"/>
        <v>4</v>
      </c>
      <c r="AM396">
        <f t="shared" si="110"/>
        <v>2024</v>
      </c>
      <c r="AN396" t="str">
        <f t="shared" si="111"/>
        <v>Clean</v>
      </c>
    </row>
    <row r="397" spans="1:40">
      <c r="A397" t="s">
        <v>1957</v>
      </c>
      <c r="B397" s="3" t="s">
        <v>1066</v>
      </c>
      <c r="C397" s="10">
        <v>45449</v>
      </c>
      <c r="D397" s="3" t="s">
        <v>1753</v>
      </c>
      <c r="E397" s="10">
        <v>45450</v>
      </c>
      <c r="F397" s="6" t="str">
        <f t="shared" si="96"/>
        <v>Valid</v>
      </c>
      <c r="G397" s="8">
        <f t="shared" si="97"/>
        <v>1</v>
      </c>
      <c r="H397" s="8" t="str">
        <f t="shared" si="98"/>
        <v>Valid</v>
      </c>
      <c r="I397" t="s">
        <v>1958</v>
      </c>
      <c r="J397" t="s">
        <v>147</v>
      </c>
      <c r="K397" t="s">
        <v>147</v>
      </c>
      <c r="L397" t="s">
        <v>114</v>
      </c>
      <c r="M397" s="3" t="str">
        <f t="shared" si="99"/>
        <v>Home Office</v>
      </c>
      <c r="N397" t="s">
        <v>61</v>
      </c>
      <c r="O397" s="3" t="str">
        <f t="shared" si="100"/>
        <v>South</v>
      </c>
      <c r="P397" t="s">
        <v>338</v>
      </c>
      <c r="Q397" t="s">
        <v>339</v>
      </c>
      <c r="R397" t="s">
        <v>44</v>
      </c>
      <c r="S397" s="3" t="str">
        <f t="shared" si="101"/>
        <v>Furniture</v>
      </c>
      <c r="T397" t="s">
        <v>45</v>
      </c>
      <c r="U397" t="s">
        <v>1959</v>
      </c>
      <c r="V397" t="s">
        <v>47</v>
      </c>
      <c r="W397" s="3" t="str">
        <f t="shared" si="102"/>
        <v>Same Day</v>
      </c>
      <c r="X397">
        <v>7</v>
      </c>
      <c r="Y397">
        <v>861.91</v>
      </c>
      <c r="Z397">
        <v>0.05</v>
      </c>
      <c r="AA397">
        <f t="shared" si="106"/>
        <v>0.05</v>
      </c>
      <c r="AB397">
        <f t="shared" si="107"/>
        <v>5731.7014999999992</v>
      </c>
      <c r="AC397">
        <v>5731.7</v>
      </c>
      <c r="AD397">
        <v>4115.5600000000004</v>
      </c>
      <c r="AE397">
        <v>1616.14</v>
      </c>
      <c r="AF397" t="s">
        <v>33</v>
      </c>
      <c r="AG397" t="s">
        <v>34</v>
      </c>
      <c r="AH397" t="str">
        <f t="shared" si="103"/>
        <v>Completed</v>
      </c>
      <c r="AI397" t="str">
        <f t="shared" si="104"/>
        <v>Valid</v>
      </c>
      <c r="AJ397">
        <f t="shared" si="105"/>
        <v>1616.1399999999994</v>
      </c>
      <c r="AK397" s="12">
        <f t="shared" si="108"/>
        <v>0.28196513722844774</v>
      </c>
      <c r="AL397">
        <f t="shared" si="109"/>
        <v>6</v>
      </c>
      <c r="AM397">
        <f t="shared" si="110"/>
        <v>2024</v>
      </c>
      <c r="AN397" t="str">
        <f t="shared" si="111"/>
        <v>Clean</v>
      </c>
    </row>
    <row r="398" spans="1:40">
      <c r="A398" t="s">
        <v>1960</v>
      </c>
      <c r="B398" s="3" t="s">
        <v>1961</v>
      </c>
      <c r="C398" s="10">
        <v>45761</v>
      </c>
      <c r="D398" s="3" t="s">
        <v>1962</v>
      </c>
      <c r="E398" s="10">
        <v>45769</v>
      </c>
      <c r="F398" s="6" t="str">
        <f t="shared" si="96"/>
        <v>Valid</v>
      </c>
      <c r="G398" s="8">
        <f t="shared" si="97"/>
        <v>8</v>
      </c>
      <c r="H398" s="8" t="str">
        <f t="shared" si="98"/>
        <v>Valid</v>
      </c>
      <c r="I398" t="s">
        <v>1963</v>
      </c>
      <c r="J398" t="s">
        <v>106</v>
      </c>
      <c r="K398" t="s">
        <v>106</v>
      </c>
      <c r="L398" t="s">
        <v>40</v>
      </c>
      <c r="M398" s="3" t="str">
        <f t="shared" si="99"/>
        <v>Small Business</v>
      </c>
      <c r="N398" t="s">
        <v>61</v>
      </c>
      <c r="O398" s="3" t="str">
        <f t="shared" si="100"/>
        <v>South</v>
      </c>
      <c r="P398" t="s">
        <v>228</v>
      </c>
      <c r="Q398" t="s">
        <v>229</v>
      </c>
      <c r="R398" t="s">
        <v>85</v>
      </c>
      <c r="S398" s="3" t="str">
        <f t="shared" si="101"/>
        <v>Technology</v>
      </c>
      <c r="T398" t="s">
        <v>381</v>
      </c>
      <c r="U398" t="s">
        <v>1964</v>
      </c>
      <c r="V398" t="s">
        <v>66</v>
      </c>
      <c r="W398" s="3" t="str">
        <f t="shared" si="102"/>
        <v>Standard Class</v>
      </c>
      <c r="X398">
        <v>2</v>
      </c>
      <c r="Y398">
        <v>638.73</v>
      </c>
      <c r="Z398">
        <v>0.05</v>
      </c>
      <c r="AA398">
        <f t="shared" si="106"/>
        <v>0.05</v>
      </c>
      <c r="AB398">
        <f t="shared" si="107"/>
        <v>1213.587</v>
      </c>
      <c r="AC398">
        <v>1213.5899999999999</v>
      </c>
      <c r="AD398">
        <v>956.22</v>
      </c>
      <c r="AE398">
        <v>257.37</v>
      </c>
      <c r="AF398" t="s">
        <v>33</v>
      </c>
      <c r="AG398" t="s">
        <v>34</v>
      </c>
      <c r="AH398" t="str">
        <f t="shared" si="103"/>
        <v>Completed</v>
      </c>
      <c r="AI398" t="str">
        <f t="shared" si="104"/>
        <v>Valid</v>
      </c>
      <c r="AJ398">
        <f t="shared" si="105"/>
        <v>257.36999999999989</v>
      </c>
      <c r="AK398" s="12">
        <f t="shared" si="108"/>
        <v>0.21207379446220162</v>
      </c>
      <c r="AL398">
        <f t="shared" si="109"/>
        <v>4</v>
      </c>
      <c r="AM398">
        <f t="shared" si="110"/>
        <v>2025</v>
      </c>
      <c r="AN398" t="str">
        <f t="shared" si="111"/>
        <v>Clean</v>
      </c>
    </row>
    <row r="399" spans="1:40">
      <c r="A399" t="s">
        <v>1965</v>
      </c>
      <c r="B399" s="3" t="s">
        <v>1966</v>
      </c>
      <c r="C399" s="10">
        <v>45817</v>
      </c>
      <c r="D399" s="3" t="s">
        <v>1967</v>
      </c>
      <c r="E399" s="10">
        <v>45818</v>
      </c>
      <c r="F399" s="6" t="str">
        <f t="shared" si="96"/>
        <v>Valid</v>
      </c>
      <c r="G399" s="8">
        <f t="shared" si="97"/>
        <v>1</v>
      </c>
      <c r="H399" s="8" t="str">
        <f t="shared" si="98"/>
        <v>Valid</v>
      </c>
      <c r="I399" t="s">
        <v>1968</v>
      </c>
      <c r="J399" t="s">
        <v>167</v>
      </c>
      <c r="K399" t="s">
        <v>167</v>
      </c>
      <c r="L399" t="s">
        <v>40</v>
      </c>
      <c r="M399" s="3" t="str">
        <f t="shared" si="99"/>
        <v>Small Business</v>
      </c>
      <c r="N399" t="s">
        <v>26</v>
      </c>
      <c r="O399" s="3" t="str">
        <f t="shared" si="100"/>
        <v>North</v>
      </c>
      <c r="P399" t="s">
        <v>173</v>
      </c>
      <c r="Q399" t="s">
        <v>174</v>
      </c>
      <c r="R399" t="s">
        <v>44</v>
      </c>
      <c r="S399" s="3" t="str">
        <f t="shared" si="101"/>
        <v>Furniture</v>
      </c>
      <c r="T399" t="s">
        <v>45</v>
      </c>
      <c r="U399" t="s">
        <v>1969</v>
      </c>
      <c r="V399" t="s">
        <v>32</v>
      </c>
      <c r="W399" s="3" t="str">
        <f t="shared" si="102"/>
        <v>Second Class</v>
      </c>
      <c r="X399">
        <v>2</v>
      </c>
      <c r="Y399">
        <v>1731.88</v>
      </c>
      <c r="Z399">
        <v>0</v>
      </c>
      <c r="AA399">
        <f t="shared" si="106"/>
        <v>0</v>
      </c>
      <c r="AB399">
        <f t="shared" si="107"/>
        <v>3463.76</v>
      </c>
      <c r="AC399">
        <v>3463.76</v>
      </c>
      <c r="AD399">
        <v>2143.7399999999998</v>
      </c>
      <c r="AE399">
        <v>1320.02</v>
      </c>
      <c r="AF399" t="s">
        <v>33</v>
      </c>
      <c r="AG399" t="s">
        <v>34</v>
      </c>
      <c r="AH399" t="str">
        <f t="shared" si="103"/>
        <v>Completed</v>
      </c>
      <c r="AI399" t="str">
        <f t="shared" si="104"/>
        <v>Valid</v>
      </c>
      <c r="AJ399">
        <f t="shared" si="105"/>
        <v>1320.0200000000004</v>
      </c>
      <c r="AK399" s="12">
        <f t="shared" si="108"/>
        <v>0.38109453310852959</v>
      </c>
      <c r="AL399">
        <f t="shared" si="109"/>
        <v>6</v>
      </c>
      <c r="AM399">
        <f t="shared" si="110"/>
        <v>2025</v>
      </c>
      <c r="AN399" t="str">
        <f t="shared" si="111"/>
        <v>Clean</v>
      </c>
    </row>
    <row r="400" spans="1:40">
      <c r="A400" t="s">
        <v>1970</v>
      </c>
      <c r="B400" s="3" t="s">
        <v>1971</v>
      </c>
      <c r="C400" s="10">
        <v>45492</v>
      </c>
      <c r="D400" s="3" t="s">
        <v>1972</v>
      </c>
      <c r="E400" s="10">
        <v>45499</v>
      </c>
      <c r="F400" s="6" t="str">
        <f t="shared" si="96"/>
        <v>Valid</v>
      </c>
      <c r="G400" s="8">
        <f t="shared" si="97"/>
        <v>7</v>
      </c>
      <c r="H400" s="8" t="str">
        <f t="shared" si="98"/>
        <v>Valid</v>
      </c>
      <c r="I400" t="s">
        <v>1973</v>
      </c>
      <c r="J400" t="s">
        <v>82</v>
      </c>
      <c r="K400" t="s">
        <v>82</v>
      </c>
      <c r="L400" t="s">
        <v>107</v>
      </c>
      <c r="M400" s="3" t="str">
        <f t="shared" si="99"/>
        <v>Corporate</v>
      </c>
      <c r="N400" t="s">
        <v>26</v>
      </c>
      <c r="O400" s="3" t="str">
        <f t="shared" si="100"/>
        <v>North</v>
      </c>
      <c r="P400" t="s">
        <v>153</v>
      </c>
      <c r="Q400" t="s">
        <v>154</v>
      </c>
      <c r="R400" t="s">
        <v>85</v>
      </c>
      <c r="S400" s="3" t="str">
        <f t="shared" si="101"/>
        <v>Technology</v>
      </c>
      <c r="T400" t="s">
        <v>381</v>
      </c>
      <c r="U400" t="s">
        <v>1974</v>
      </c>
      <c r="V400" t="s">
        <v>47</v>
      </c>
      <c r="W400" s="3" t="str">
        <f t="shared" si="102"/>
        <v>Same Day</v>
      </c>
      <c r="X400">
        <v>2</v>
      </c>
      <c r="Y400">
        <v>1263.6500000000001</v>
      </c>
      <c r="Z400">
        <v>0.2</v>
      </c>
      <c r="AA400">
        <f t="shared" si="106"/>
        <v>0.2</v>
      </c>
      <c r="AB400">
        <f t="shared" si="107"/>
        <v>2021.8400000000001</v>
      </c>
      <c r="AC400">
        <v>2021.84</v>
      </c>
      <c r="AD400">
        <v>1355.22</v>
      </c>
      <c r="AE400">
        <v>666.62</v>
      </c>
      <c r="AF400" t="s">
        <v>33</v>
      </c>
      <c r="AG400" t="s">
        <v>34</v>
      </c>
      <c r="AH400" t="str">
        <f t="shared" si="103"/>
        <v>Completed</v>
      </c>
      <c r="AI400" t="str">
        <f t="shared" si="104"/>
        <v>Valid</v>
      </c>
      <c r="AJ400">
        <f t="shared" si="105"/>
        <v>666.61999999999989</v>
      </c>
      <c r="AK400" s="12">
        <f t="shared" si="108"/>
        <v>0.32970957147944441</v>
      </c>
      <c r="AL400">
        <f t="shared" si="109"/>
        <v>7</v>
      </c>
      <c r="AM400">
        <f t="shared" si="110"/>
        <v>2024</v>
      </c>
      <c r="AN400" t="str">
        <f t="shared" si="111"/>
        <v>Clean</v>
      </c>
    </row>
    <row r="401" spans="1:40">
      <c r="A401" t="s">
        <v>1975</v>
      </c>
      <c r="B401" s="3" t="s">
        <v>1976</v>
      </c>
      <c r="C401" s="10">
        <v>45771</v>
      </c>
      <c r="D401" s="3" t="s">
        <v>1977</v>
      </c>
      <c r="E401" s="10">
        <v>45776</v>
      </c>
      <c r="F401" s="6" t="str">
        <f t="shared" si="96"/>
        <v>Valid</v>
      </c>
      <c r="G401" s="8">
        <f t="shared" si="97"/>
        <v>5</v>
      </c>
      <c r="H401" s="8" t="str">
        <f t="shared" si="98"/>
        <v>Valid</v>
      </c>
      <c r="I401" t="s">
        <v>1978</v>
      </c>
      <c r="J401" t="s">
        <v>209</v>
      </c>
      <c r="K401" t="s">
        <v>209</v>
      </c>
      <c r="L401" t="s">
        <v>40</v>
      </c>
      <c r="M401" s="3" t="str">
        <f t="shared" si="99"/>
        <v>Small Business</v>
      </c>
      <c r="N401" t="s">
        <v>61</v>
      </c>
      <c r="O401" s="3" t="str">
        <f t="shared" si="100"/>
        <v>South</v>
      </c>
      <c r="P401" t="s">
        <v>99</v>
      </c>
      <c r="Q401" t="s">
        <v>100</v>
      </c>
      <c r="R401" t="s">
        <v>29</v>
      </c>
      <c r="S401" s="3" t="str">
        <f t="shared" si="101"/>
        <v>Office Supplies</v>
      </c>
      <c r="T401" t="s">
        <v>30</v>
      </c>
      <c r="U401" t="s">
        <v>1979</v>
      </c>
      <c r="V401" t="s">
        <v>47</v>
      </c>
      <c r="W401" s="3" t="str">
        <f t="shared" si="102"/>
        <v>Same Day</v>
      </c>
      <c r="X401">
        <v>1</v>
      </c>
      <c r="Y401">
        <v>4358.5</v>
      </c>
      <c r="Z401">
        <v>0.25</v>
      </c>
      <c r="AA401">
        <f t="shared" si="106"/>
        <v>0.25</v>
      </c>
      <c r="AB401">
        <f t="shared" si="107"/>
        <v>3268.875</v>
      </c>
      <c r="AC401">
        <v>3268.88</v>
      </c>
      <c r="AD401">
        <v>1993.74</v>
      </c>
      <c r="AE401">
        <v>1275.1400000000001</v>
      </c>
      <c r="AF401" t="s">
        <v>33</v>
      </c>
      <c r="AG401" t="s">
        <v>34</v>
      </c>
      <c r="AH401" t="str">
        <f t="shared" si="103"/>
        <v>Completed</v>
      </c>
      <c r="AI401" t="str">
        <f t="shared" si="104"/>
        <v>Valid</v>
      </c>
      <c r="AJ401">
        <f t="shared" si="105"/>
        <v>1275.1400000000001</v>
      </c>
      <c r="AK401" s="12">
        <f t="shared" si="108"/>
        <v>0.39008527398569848</v>
      </c>
      <c r="AL401">
        <f t="shared" si="109"/>
        <v>4</v>
      </c>
      <c r="AM401">
        <f t="shared" si="110"/>
        <v>2025</v>
      </c>
      <c r="AN401" t="str">
        <f t="shared" si="111"/>
        <v>Clean</v>
      </c>
    </row>
    <row r="402" spans="1:40">
      <c r="A402" t="s">
        <v>1980</v>
      </c>
      <c r="B402" s="3" t="s">
        <v>1981</v>
      </c>
      <c r="C402" s="10">
        <v>45814</v>
      </c>
      <c r="D402" s="3" t="s">
        <v>1982</v>
      </c>
      <c r="E402" s="10">
        <v>45819</v>
      </c>
      <c r="F402" s="6" t="str">
        <f t="shared" si="96"/>
        <v>Valid</v>
      </c>
      <c r="G402" s="8">
        <f t="shared" si="97"/>
        <v>5</v>
      </c>
      <c r="H402" s="8" t="str">
        <f t="shared" si="98"/>
        <v>Valid</v>
      </c>
      <c r="I402" t="s">
        <v>1983</v>
      </c>
      <c r="J402" t="s">
        <v>167</v>
      </c>
      <c r="K402" t="s">
        <v>167</v>
      </c>
      <c r="L402" t="s">
        <v>40</v>
      </c>
      <c r="M402" s="3" t="str">
        <f t="shared" si="99"/>
        <v>Small Business</v>
      </c>
      <c r="N402" t="s">
        <v>26</v>
      </c>
      <c r="O402" s="3" t="str">
        <f t="shared" si="100"/>
        <v>North</v>
      </c>
      <c r="P402" t="s">
        <v>173</v>
      </c>
      <c r="Q402" t="s">
        <v>174</v>
      </c>
      <c r="R402" t="s">
        <v>29</v>
      </c>
      <c r="S402" s="3" t="str">
        <f t="shared" si="101"/>
        <v>Office Supplies</v>
      </c>
      <c r="T402" t="s">
        <v>30</v>
      </c>
      <c r="U402" t="s">
        <v>1984</v>
      </c>
      <c r="V402" t="s">
        <v>47</v>
      </c>
      <c r="W402" s="3" t="str">
        <f t="shared" si="102"/>
        <v>Same Day</v>
      </c>
      <c r="X402">
        <v>7</v>
      </c>
      <c r="Y402">
        <v>878.09</v>
      </c>
      <c r="Z402">
        <v>-0.1</v>
      </c>
      <c r="AA402">
        <f t="shared" si="106"/>
        <v>-0.1</v>
      </c>
      <c r="AB402">
        <f t="shared" si="107"/>
        <v>6761.2930000000006</v>
      </c>
      <c r="AC402">
        <v>5839.3</v>
      </c>
      <c r="AD402">
        <v>4877.38</v>
      </c>
      <c r="AE402">
        <v>961.92</v>
      </c>
      <c r="AF402" t="s">
        <v>33</v>
      </c>
      <c r="AG402" t="s">
        <v>34</v>
      </c>
      <c r="AH402" t="str">
        <f t="shared" si="103"/>
        <v>Completed</v>
      </c>
      <c r="AI402" t="str">
        <f t="shared" si="104"/>
        <v>Invalid - Negative Discount</v>
      </c>
      <c r="AJ402">
        <f t="shared" si="105"/>
        <v>961.92000000000007</v>
      </c>
      <c r="AK402" s="12">
        <f t="shared" si="108"/>
        <v>0.14226864595277855</v>
      </c>
      <c r="AL402">
        <f t="shared" si="109"/>
        <v>6</v>
      </c>
      <c r="AM402">
        <f t="shared" si="110"/>
        <v>2025</v>
      </c>
      <c r="AN402" t="str">
        <f t="shared" si="111"/>
        <v>Clean</v>
      </c>
    </row>
    <row r="403" spans="1:40">
      <c r="A403" t="s">
        <v>1985</v>
      </c>
      <c r="B403" s="3" t="s">
        <v>1986</v>
      </c>
      <c r="C403" s="10">
        <v>45725</v>
      </c>
      <c r="D403" s="3" t="s">
        <v>1987</v>
      </c>
      <c r="E403" s="10">
        <v>45732</v>
      </c>
      <c r="F403" s="6" t="str">
        <f t="shared" si="96"/>
        <v>Valid</v>
      </c>
      <c r="G403" s="8">
        <f t="shared" si="97"/>
        <v>7</v>
      </c>
      <c r="H403" s="8" t="str">
        <f t="shared" si="98"/>
        <v>Valid</v>
      </c>
      <c r="I403" t="s">
        <v>1988</v>
      </c>
      <c r="J403" t="s">
        <v>60</v>
      </c>
      <c r="K403" t="s">
        <v>60</v>
      </c>
      <c r="L403" t="s">
        <v>40</v>
      </c>
      <c r="M403" s="3" t="str">
        <f t="shared" si="99"/>
        <v>Small Business</v>
      </c>
      <c r="N403" t="s">
        <v>41</v>
      </c>
      <c r="O403" s="3" t="str">
        <f t="shared" si="100"/>
        <v>East</v>
      </c>
      <c r="P403" t="s">
        <v>310</v>
      </c>
      <c r="Q403" t="s">
        <v>311</v>
      </c>
      <c r="R403" t="s">
        <v>44</v>
      </c>
      <c r="S403" s="3" t="str">
        <f t="shared" si="101"/>
        <v>Furniture</v>
      </c>
      <c r="T403" t="s">
        <v>45</v>
      </c>
      <c r="U403" t="s">
        <v>1989</v>
      </c>
      <c r="V403" t="s">
        <v>47</v>
      </c>
      <c r="W403" s="3" t="str">
        <f t="shared" si="102"/>
        <v>Same Day</v>
      </c>
      <c r="X403">
        <v>3</v>
      </c>
      <c r="Y403">
        <v>2625.85</v>
      </c>
      <c r="Z403">
        <v>0</v>
      </c>
      <c r="AA403">
        <f t="shared" si="106"/>
        <v>0</v>
      </c>
      <c r="AB403">
        <f t="shared" si="107"/>
        <v>7877.5499999999993</v>
      </c>
      <c r="AC403">
        <v>7877.55</v>
      </c>
      <c r="AD403">
        <v>5562.77</v>
      </c>
      <c r="AE403">
        <v>2314.7800000000002</v>
      </c>
      <c r="AF403" t="s">
        <v>33</v>
      </c>
      <c r="AG403" t="s">
        <v>34</v>
      </c>
      <c r="AH403" t="str">
        <f t="shared" si="103"/>
        <v>Completed</v>
      </c>
      <c r="AI403" t="str">
        <f t="shared" si="104"/>
        <v>Valid</v>
      </c>
      <c r="AJ403">
        <f t="shared" si="105"/>
        <v>2314.7799999999997</v>
      </c>
      <c r="AK403" s="12">
        <f t="shared" si="108"/>
        <v>0.29384516759652429</v>
      </c>
      <c r="AL403">
        <f t="shared" si="109"/>
        <v>3</v>
      </c>
      <c r="AM403">
        <f t="shared" si="110"/>
        <v>2025</v>
      </c>
      <c r="AN403" t="str">
        <f t="shared" si="111"/>
        <v>Clean</v>
      </c>
    </row>
    <row r="404" spans="1:40">
      <c r="A404" t="s">
        <v>1990</v>
      </c>
      <c r="B404" s="3" t="s">
        <v>1991</v>
      </c>
      <c r="C404" s="10">
        <v>45373</v>
      </c>
      <c r="D404" s="3" t="s">
        <v>1992</v>
      </c>
      <c r="E404" s="10">
        <v>45373</v>
      </c>
      <c r="F404" s="6" t="str">
        <f t="shared" si="96"/>
        <v>Valid</v>
      </c>
      <c r="G404" s="8">
        <f t="shared" si="97"/>
        <v>0</v>
      </c>
      <c r="H404" s="8" t="str">
        <f t="shared" si="98"/>
        <v>Valid</v>
      </c>
      <c r="I404" t="s">
        <v>1993</v>
      </c>
      <c r="J404" t="s">
        <v>141</v>
      </c>
      <c r="K404" t="s">
        <v>141</v>
      </c>
      <c r="L404" t="s">
        <v>40</v>
      </c>
      <c r="M404" s="3" t="str">
        <f t="shared" si="99"/>
        <v>Small Business</v>
      </c>
      <c r="N404" t="s">
        <v>61</v>
      </c>
      <c r="O404" s="3" t="str">
        <f t="shared" si="100"/>
        <v>South</v>
      </c>
      <c r="P404" t="s">
        <v>228</v>
      </c>
      <c r="Q404" t="s">
        <v>229</v>
      </c>
      <c r="R404" t="s">
        <v>44</v>
      </c>
      <c r="S404" s="3" t="str">
        <f t="shared" si="101"/>
        <v>Furniture</v>
      </c>
      <c r="T404" t="s">
        <v>45</v>
      </c>
      <c r="U404" t="s">
        <v>1994</v>
      </c>
      <c r="W404" s="3" t="str">
        <f t="shared" si="102"/>
        <v>Unknown</v>
      </c>
      <c r="X404">
        <v>3</v>
      </c>
      <c r="Y404">
        <v>1365.26</v>
      </c>
      <c r="Z404">
        <v>0</v>
      </c>
      <c r="AA404">
        <f t="shared" si="106"/>
        <v>0</v>
      </c>
      <c r="AB404">
        <f t="shared" si="107"/>
        <v>4095.7799999999997</v>
      </c>
      <c r="AC404">
        <v>4095.78</v>
      </c>
      <c r="AD404">
        <v>2807.77</v>
      </c>
      <c r="AE404">
        <v>1288.01</v>
      </c>
      <c r="AF404" t="s">
        <v>33</v>
      </c>
      <c r="AG404" t="s">
        <v>34</v>
      </c>
      <c r="AH404" t="str">
        <f t="shared" si="103"/>
        <v>Completed</v>
      </c>
      <c r="AI404" t="str">
        <f t="shared" si="104"/>
        <v>Valid</v>
      </c>
      <c r="AJ404">
        <f t="shared" si="105"/>
        <v>1288.0100000000002</v>
      </c>
      <c r="AK404" s="12">
        <f t="shared" si="108"/>
        <v>0.31447245701673437</v>
      </c>
      <c r="AL404">
        <f t="shared" si="109"/>
        <v>3</v>
      </c>
      <c r="AM404">
        <f t="shared" si="110"/>
        <v>2024</v>
      </c>
      <c r="AN404" t="str">
        <f t="shared" si="111"/>
        <v>Clean</v>
      </c>
    </row>
    <row r="405" spans="1:40">
      <c r="A405" t="s">
        <v>1995</v>
      </c>
      <c r="B405" s="3" t="s">
        <v>1996</v>
      </c>
      <c r="C405" s="10">
        <v>45565</v>
      </c>
      <c r="D405" s="3" t="s">
        <v>1997</v>
      </c>
      <c r="E405" s="10">
        <v>45569</v>
      </c>
      <c r="F405" s="6" t="str">
        <f t="shared" si="96"/>
        <v>Valid</v>
      </c>
      <c r="G405" s="8">
        <f t="shared" si="97"/>
        <v>4</v>
      </c>
      <c r="H405" s="8" t="str">
        <f t="shared" si="98"/>
        <v>Valid</v>
      </c>
      <c r="I405" t="s">
        <v>1998</v>
      </c>
      <c r="J405" t="s">
        <v>60</v>
      </c>
      <c r="K405" t="s">
        <v>60</v>
      </c>
      <c r="L405" t="s">
        <v>40</v>
      </c>
      <c r="M405" s="3" t="str">
        <f t="shared" si="99"/>
        <v>Small Business</v>
      </c>
      <c r="N405" t="s">
        <v>61</v>
      </c>
      <c r="O405" s="3" t="str">
        <f t="shared" si="100"/>
        <v>South</v>
      </c>
      <c r="P405" t="s">
        <v>241</v>
      </c>
      <c r="Q405" t="s">
        <v>242</v>
      </c>
      <c r="R405" t="s">
        <v>29</v>
      </c>
      <c r="S405" s="3" t="str">
        <f t="shared" si="101"/>
        <v>Office Supplies</v>
      </c>
      <c r="T405" t="s">
        <v>1999</v>
      </c>
      <c r="U405" t="s">
        <v>2000</v>
      </c>
      <c r="V405" t="s">
        <v>47</v>
      </c>
      <c r="W405" s="3" t="str">
        <f t="shared" si="102"/>
        <v>Same Day</v>
      </c>
      <c r="X405">
        <v>5</v>
      </c>
      <c r="Y405">
        <v>3512.25</v>
      </c>
      <c r="Z405">
        <v>0.05</v>
      </c>
      <c r="AA405">
        <f t="shared" si="106"/>
        <v>0.05</v>
      </c>
      <c r="AB405">
        <f t="shared" si="107"/>
        <v>16683.1875</v>
      </c>
      <c r="AC405">
        <v>16683.189999999999</v>
      </c>
      <c r="AD405">
        <v>10301.16</v>
      </c>
      <c r="AE405">
        <v>6382.03</v>
      </c>
      <c r="AF405" t="s">
        <v>33</v>
      </c>
      <c r="AG405" t="s">
        <v>124</v>
      </c>
      <c r="AH405" t="str">
        <f t="shared" si="103"/>
        <v>Returned</v>
      </c>
      <c r="AI405" t="str">
        <f t="shared" si="104"/>
        <v>Valid</v>
      </c>
      <c r="AJ405">
        <f t="shared" si="105"/>
        <v>6382.0299999999988</v>
      </c>
      <c r="AK405" s="12">
        <f t="shared" si="108"/>
        <v>0.38254260464314743</v>
      </c>
      <c r="AL405">
        <f t="shared" si="109"/>
        <v>9</v>
      </c>
      <c r="AM405">
        <f t="shared" si="110"/>
        <v>2024</v>
      </c>
      <c r="AN405" t="str">
        <f t="shared" si="111"/>
        <v>Clean</v>
      </c>
    </row>
    <row r="406" spans="1:40">
      <c r="A406" t="s">
        <v>2001</v>
      </c>
      <c r="B406" s="3" t="s">
        <v>2002</v>
      </c>
      <c r="C406" s="10">
        <v>45318</v>
      </c>
      <c r="D406" s="3" t="s">
        <v>2003</v>
      </c>
      <c r="E406" s="10">
        <v>45325</v>
      </c>
      <c r="F406" s="6" t="str">
        <f t="shared" si="96"/>
        <v>Valid</v>
      </c>
      <c r="G406" s="8">
        <f t="shared" si="97"/>
        <v>7</v>
      </c>
      <c r="H406" s="8" t="str">
        <f t="shared" si="98"/>
        <v>Valid</v>
      </c>
      <c r="I406" t="s">
        <v>2004</v>
      </c>
      <c r="J406" t="s">
        <v>106</v>
      </c>
      <c r="K406" t="s">
        <v>106</v>
      </c>
      <c r="L406" t="s">
        <v>107</v>
      </c>
      <c r="M406" s="3" t="str">
        <f t="shared" si="99"/>
        <v>Corporate</v>
      </c>
      <c r="N406" t="s">
        <v>72</v>
      </c>
      <c r="O406" s="3" t="str">
        <f t="shared" si="100"/>
        <v>West</v>
      </c>
      <c r="P406" t="s">
        <v>27</v>
      </c>
      <c r="Q406" t="s">
        <v>134</v>
      </c>
      <c r="R406" t="s">
        <v>44</v>
      </c>
      <c r="S406" s="3" t="str">
        <f t="shared" si="101"/>
        <v>Furniture</v>
      </c>
      <c r="T406" t="s">
        <v>75</v>
      </c>
      <c r="U406" t="s">
        <v>2005</v>
      </c>
      <c r="V406" t="s">
        <v>47</v>
      </c>
      <c r="W406" s="3" t="str">
        <f t="shared" si="102"/>
        <v>Same Day</v>
      </c>
      <c r="X406">
        <v>3</v>
      </c>
      <c r="Y406">
        <v>359.61</v>
      </c>
      <c r="Z406">
        <v>0</v>
      </c>
      <c r="AA406">
        <f t="shared" si="106"/>
        <v>0</v>
      </c>
      <c r="AB406">
        <f t="shared" si="107"/>
        <v>1078.83</v>
      </c>
      <c r="AC406">
        <v>1078.83</v>
      </c>
      <c r="AD406">
        <v>926.35</v>
      </c>
      <c r="AE406">
        <v>152.47999999999999</v>
      </c>
      <c r="AF406" t="s">
        <v>33</v>
      </c>
      <c r="AG406" t="s">
        <v>34</v>
      </c>
      <c r="AH406" t="str">
        <f t="shared" si="103"/>
        <v>Completed</v>
      </c>
      <c r="AI406" t="str">
        <f t="shared" si="104"/>
        <v>Valid</v>
      </c>
      <c r="AJ406">
        <f t="shared" si="105"/>
        <v>152.4799999999999</v>
      </c>
      <c r="AK406" s="12">
        <f t="shared" si="108"/>
        <v>0.14133830167867034</v>
      </c>
      <c r="AL406">
        <f t="shared" si="109"/>
        <v>1</v>
      </c>
      <c r="AM406">
        <f t="shared" si="110"/>
        <v>2024</v>
      </c>
      <c r="AN406" t="str">
        <f t="shared" si="111"/>
        <v>Clean</v>
      </c>
    </row>
    <row r="407" spans="1:40">
      <c r="A407" t="s">
        <v>2006</v>
      </c>
      <c r="B407" s="3" t="s">
        <v>2007</v>
      </c>
      <c r="C407" s="10">
        <v>45558</v>
      </c>
      <c r="D407" s="3" t="s">
        <v>2008</v>
      </c>
      <c r="E407" s="10">
        <v>45559</v>
      </c>
      <c r="F407" s="6" t="str">
        <f t="shared" si="96"/>
        <v>Valid</v>
      </c>
      <c r="G407" s="8">
        <f t="shared" si="97"/>
        <v>1</v>
      </c>
      <c r="H407" s="8" t="str">
        <f t="shared" si="98"/>
        <v>Valid</v>
      </c>
      <c r="I407" t="s">
        <v>2009</v>
      </c>
      <c r="J407" t="s">
        <v>106</v>
      </c>
      <c r="K407" t="s">
        <v>106</v>
      </c>
      <c r="L407" t="s">
        <v>114</v>
      </c>
      <c r="M407" s="3" t="str">
        <f t="shared" si="99"/>
        <v>Home Office</v>
      </c>
      <c r="N407" t="s">
        <v>72</v>
      </c>
      <c r="O407" s="3" t="str">
        <f t="shared" si="100"/>
        <v>West</v>
      </c>
      <c r="P407" t="s">
        <v>234</v>
      </c>
      <c r="Q407" t="s">
        <v>235</v>
      </c>
      <c r="R407" t="s">
        <v>44</v>
      </c>
      <c r="S407" s="3" t="str">
        <f t="shared" si="101"/>
        <v>Furniture</v>
      </c>
      <c r="T407" t="s">
        <v>203</v>
      </c>
      <c r="U407" t="s">
        <v>2010</v>
      </c>
      <c r="W407" s="3" t="str">
        <f t="shared" si="102"/>
        <v>Unknown</v>
      </c>
      <c r="X407">
        <v>7</v>
      </c>
      <c r="Y407">
        <v>3878.01</v>
      </c>
      <c r="Z407">
        <v>0.1</v>
      </c>
      <c r="AA407">
        <f t="shared" si="106"/>
        <v>0.1</v>
      </c>
      <c r="AB407">
        <f t="shared" si="107"/>
        <v>24431.463</v>
      </c>
      <c r="AC407">
        <v>24431.46</v>
      </c>
      <c r="AD407">
        <v>18202.36</v>
      </c>
      <c r="AE407">
        <v>6229.1</v>
      </c>
      <c r="AF407" t="s">
        <v>33</v>
      </c>
      <c r="AG407" t="s">
        <v>34</v>
      </c>
      <c r="AH407" t="str">
        <f t="shared" si="103"/>
        <v>Completed</v>
      </c>
      <c r="AI407" t="str">
        <f t="shared" si="104"/>
        <v>Valid</v>
      </c>
      <c r="AJ407">
        <f t="shared" si="105"/>
        <v>6229.0999999999985</v>
      </c>
      <c r="AK407" s="12">
        <f t="shared" si="108"/>
        <v>0.25496221818562392</v>
      </c>
      <c r="AL407">
        <f t="shared" si="109"/>
        <v>9</v>
      </c>
      <c r="AM407">
        <f t="shared" si="110"/>
        <v>2024</v>
      </c>
      <c r="AN407" t="str">
        <f t="shared" si="111"/>
        <v>Clean</v>
      </c>
    </row>
    <row r="408" spans="1:40">
      <c r="A408" t="s">
        <v>2011</v>
      </c>
      <c r="B408" s="3" t="s">
        <v>2012</v>
      </c>
      <c r="C408" s="10">
        <v>45713</v>
      </c>
      <c r="D408" s="3" t="s">
        <v>2012</v>
      </c>
      <c r="E408" s="10">
        <v>45713</v>
      </c>
      <c r="F408" s="6" t="str">
        <f t="shared" si="96"/>
        <v>Valid</v>
      </c>
      <c r="G408" s="8">
        <f t="shared" si="97"/>
        <v>0</v>
      </c>
      <c r="H408" s="8" t="str">
        <f t="shared" si="98"/>
        <v>Valid</v>
      </c>
      <c r="I408" t="s">
        <v>2013</v>
      </c>
      <c r="J408" t="s">
        <v>365</v>
      </c>
      <c r="K408" t="s">
        <v>365</v>
      </c>
      <c r="L408" t="s">
        <v>40</v>
      </c>
      <c r="M408" s="3" t="str">
        <f t="shared" si="99"/>
        <v>Small Business</v>
      </c>
      <c r="N408" t="s">
        <v>72</v>
      </c>
      <c r="O408" s="3" t="str">
        <f t="shared" si="100"/>
        <v>West</v>
      </c>
      <c r="P408" t="s">
        <v>248</v>
      </c>
      <c r="Q408" t="s">
        <v>249</v>
      </c>
      <c r="R408" t="s">
        <v>44</v>
      </c>
      <c r="S408" s="3" t="str">
        <f t="shared" si="101"/>
        <v>Furniture</v>
      </c>
      <c r="T408" t="s">
        <v>64</v>
      </c>
      <c r="U408" t="s">
        <v>2014</v>
      </c>
      <c r="V408" t="s">
        <v>66</v>
      </c>
      <c r="W408" s="3" t="str">
        <f t="shared" si="102"/>
        <v>Standard Class</v>
      </c>
      <c r="X408">
        <v>2</v>
      </c>
      <c r="Y408">
        <v>3924.2</v>
      </c>
      <c r="Z408">
        <v>0.25</v>
      </c>
      <c r="AA408">
        <f t="shared" si="106"/>
        <v>0.25</v>
      </c>
      <c r="AB408">
        <f t="shared" si="107"/>
        <v>5886.2999999999993</v>
      </c>
      <c r="AC408">
        <v>5886.3</v>
      </c>
      <c r="AD408">
        <v>3621.76</v>
      </c>
      <c r="AE408">
        <v>2264.54</v>
      </c>
      <c r="AF408" t="s">
        <v>136</v>
      </c>
      <c r="AG408" t="s">
        <v>124</v>
      </c>
      <c r="AH408" t="str">
        <f t="shared" si="103"/>
        <v>Returned</v>
      </c>
      <c r="AI408" t="str">
        <f t="shared" si="104"/>
        <v>Valid</v>
      </c>
      <c r="AJ408">
        <f t="shared" si="105"/>
        <v>2264.54</v>
      </c>
      <c r="AK408" s="12">
        <f t="shared" si="108"/>
        <v>0.38471365713606176</v>
      </c>
      <c r="AL408">
        <f t="shared" si="109"/>
        <v>2</v>
      </c>
      <c r="AM408">
        <f t="shared" si="110"/>
        <v>2025</v>
      </c>
      <c r="AN408" t="str">
        <f t="shared" si="111"/>
        <v>Clean</v>
      </c>
    </row>
    <row r="409" spans="1:40">
      <c r="A409" t="s">
        <v>2015</v>
      </c>
      <c r="B409" s="3" t="s">
        <v>2016</v>
      </c>
      <c r="C409" s="10">
        <v>45424</v>
      </c>
      <c r="D409" s="3" t="s">
        <v>2017</v>
      </c>
      <c r="E409" s="10">
        <v>45425</v>
      </c>
      <c r="F409" s="6" t="str">
        <f t="shared" si="96"/>
        <v>Valid</v>
      </c>
      <c r="G409" s="8">
        <f t="shared" si="97"/>
        <v>1</v>
      </c>
      <c r="H409" s="8" t="str">
        <f t="shared" si="98"/>
        <v>Valid</v>
      </c>
      <c r="I409" t="s">
        <v>2018</v>
      </c>
      <c r="J409" t="s">
        <v>147</v>
      </c>
      <c r="K409" t="s">
        <v>147</v>
      </c>
      <c r="L409" t="s">
        <v>107</v>
      </c>
      <c r="M409" s="3" t="str">
        <f t="shared" si="99"/>
        <v>Corporate</v>
      </c>
      <c r="N409" t="s">
        <v>72</v>
      </c>
      <c r="O409" s="3" t="str">
        <f t="shared" si="100"/>
        <v>West</v>
      </c>
      <c r="P409" t="s">
        <v>248</v>
      </c>
      <c r="Q409" t="s">
        <v>249</v>
      </c>
      <c r="R409" t="s">
        <v>29</v>
      </c>
      <c r="S409" s="3" t="str">
        <f t="shared" si="101"/>
        <v>Office Supplies</v>
      </c>
      <c r="T409" t="s">
        <v>108</v>
      </c>
      <c r="U409" t="s">
        <v>2019</v>
      </c>
      <c r="V409" t="s">
        <v>32</v>
      </c>
      <c r="W409" s="3" t="str">
        <f t="shared" si="102"/>
        <v>Second Class</v>
      </c>
      <c r="X409">
        <v>3</v>
      </c>
      <c r="Y409">
        <v>2644.55</v>
      </c>
      <c r="Z409">
        <v>0</v>
      </c>
      <c r="AA409">
        <f t="shared" si="106"/>
        <v>0</v>
      </c>
      <c r="AB409">
        <f t="shared" si="107"/>
        <v>7933.6500000000005</v>
      </c>
      <c r="AC409">
        <v>7933.65</v>
      </c>
      <c r="AD409">
        <v>5698.42</v>
      </c>
      <c r="AE409">
        <v>2235.23</v>
      </c>
      <c r="AF409" t="s">
        <v>33</v>
      </c>
      <c r="AG409" t="s">
        <v>34</v>
      </c>
      <c r="AH409" t="str">
        <f t="shared" si="103"/>
        <v>Completed</v>
      </c>
      <c r="AI409" t="str">
        <f t="shared" si="104"/>
        <v>Valid</v>
      </c>
      <c r="AJ409">
        <f t="shared" si="105"/>
        <v>2235.2299999999996</v>
      </c>
      <c r="AK409" s="12">
        <f t="shared" si="108"/>
        <v>0.28174043473054639</v>
      </c>
      <c r="AL409">
        <f t="shared" si="109"/>
        <v>5</v>
      </c>
      <c r="AM409">
        <f t="shared" si="110"/>
        <v>2024</v>
      </c>
      <c r="AN409" t="str">
        <f t="shared" si="111"/>
        <v>Clean</v>
      </c>
    </row>
    <row r="410" spans="1:40">
      <c r="A410" t="s">
        <v>2020</v>
      </c>
      <c r="B410" s="3" t="s">
        <v>819</v>
      </c>
      <c r="C410" s="10">
        <v>45870</v>
      </c>
      <c r="D410" s="3" t="s">
        <v>1079</v>
      </c>
      <c r="E410" s="10">
        <v>45872</v>
      </c>
      <c r="F410" s="6" t="str">
        <f t="shared" si="96"/>
        <v>Valid</v>
      </c>
      <c r="G410" s="8">
        <f t="shared" si="97"/>
        <v>2</v>
      </c>
      <c r="H410" s="8" t="str">
        <f t="shared" si="98"/>
        <v>Valid</v>
      </c>
      <c r="I410" t="s">
        <v>2021</v>
      </c>
      <c r="J410" t="s">
        <v>167</v>
      </c>
      <c r="K410" t="s">
        <v>167</v>
      </c>
      <c r="L410" t="s">
        <v>25</v>
      </c>
      <c r="M410" s="3" t="str">
        <f t="shared" si="99"/>
        <v>Consumer</v>
      </c>
      <c r="N410" t="s">
        <v>72</v>
      </c>
      <c r="O410" s="3" t="str">
        <f t="shared" si="100"/>
        <v>West</v>
      </c>
      <c r="P410" t="s">
        <v>73</v>
      </c>
      <c r="Q410" t="s">
        <v>74</v>
      </c>
      <c r="R410" t="s">
        <v>44</v>
      </c>
      <c r="S410" s="3" t="str">
        <f t="shared" si="101"/>
        <v>Furniture</v>
      </c>
      <c r="T410" t="s">
        <v>75</v>
      </c>
      <c r="U410" t="s">
        <v>2022</v>
      </c>
      <c r="V410" t="s">
        <v>55</v>
      </c>
      <c r="W410" s="3" t="str">
        <f t="shared" si="102"/>
        <v>First Class</v>
      </c>
      <c r="X410">
        <v>4</v>
      </c>
      <c r="Y410">
        <v>1773.46</v>
      </c>
      <c r="Z410">
        <v>0</v>
      </c>
      <c r="AA410">
        <f t="shared" si="106"/>
        <v>0</v>
      </c>
      <c r="AB410">
        <f t="shared" si="107"/>
        <v>7093.84</v>
      </c>
      <c r="AC410">
        <v>7093.84</v>
      </c>
      <c r="AD410">
        <v>4587.49</v>
      </c>
      <c r="AE410">
        <v>2506.35</v>
      </c>
      <c r="AF410" t="s">
        <v>199</v>
      </c>
      <c r="AG410" t="s">
        <v>124</v>
      </c>
      <c r="AH410" t="str">
        <f t="shared" si="103"/>
        <v>Returned</v>
      </c>
      <c r="AI410" t="str">
        <f t="shared" si="104"/>
        <v>Valid</v>
      </c>
      <c r="AJ410">
        <f t="shared" si="105"/>
        <v>2506.3500000000004</v>
      </c>
      <c r="AK410" s="12">
        <f t="shared" si="108"/>
        <v>0.35331357910525191</v>
      </c>
      <c r="AL410">
        <f t="shared" si="109"/>
        <v>8</v>
      </c>
      <c r="AM410">
        <f t="shared" si="110"/>
        <v>2025</v>
      </c>
      <c r="AN410" t="str">
        <f t="shared" si="111"/>
        <v>Clean</v>
      </c>
    </row>
    <row r="411" spans="1:40">
      <c r="A411" t="s">
        <v>2023</v>
      </c>
      <c r="B411" s="3" t="s">
        <v>829</v>
      </c>
      <c r="C411" s="10">
        <v>45701</v>
      </c>
      <c r="D411" s="3" t="s">
        <v>770</v>
      </c>
      <c r="E411" s="10">
        <v>45703</v>
      </c>
      <c r="F411" s="6" t="str">
        <f t="shared" si="96"/>
        <v>Valid</v>
      </c>
      <c r="G411" s="8">
        <f t="shared" si="97"/>
        <v>2</v>
      </c>
      <c r="H411" s="8" t="str">
        <f t="shared" si="98"/>
        <v>Valid</v>
      </c>
      <c r="I411" t="s">
        <v>2024</v>
      </c>
      <c r="J411" t="s">
        <v>24</v>
      </c>
      <c r="K411" t="s">
        <v>24</v>
      </c>
      <c r="L411" t="s">
        <v>25</v>
      </c>
      <c r="M411" s="3" t="str">
        <f t="shared" si="99"/>
        <v>Consumer</v>
      </c>
      <c r="N411" t="s">
        <v>41</v>
      </c>
      <c r="O411" s="3" t="str">
        <f t="shared" si="100"/>
        <v>East</v>
      </c>
      <c r="P411" t="s">
        <v>215</v>
      </c>
      <c r="Q411" t="s">
        <v>216</v>
      </c>
      <c r="R411" t="s">
        <v>85</v>
      </c>
      <c r="S411" s="3" t="str">
        <f t="shared" si="101"/>
        <v>Technology</v>
      </c>
      <c r="T411" t="s">
        <v>86</v>
      </c>
      <c r="U411" t="s">
        <v>2025</v>
      </c>
      <c r="V411" t="s">
        <v>47</v>
      </c>
      <c r="W411" s="3" t="str">
        <f t="shared" si="102"/>
        <v>Same Day</v>
      </c>
      <c r="X411">
        <v>1</v>
      </c>
      <c r="Y411">
        <v>3025.46</v>
      </c>
      <c r="Z411">
        <v>0.25</v>
      </c>
      <c r="AA411">
        <f t="shared" si="106"/>
        <v>0.25</v>
      </c>
      <c r="AB411">
        <f t="shared" si="107"/>
        <v>2269.0950000000003</v>
      </c>
      <c r="AC411">
        <v>2269.1</v>
      </c>
      <c r="AD411">
        <v>1593.59</v>
      </c>
      <c r="AE411">
        <v>675.51</v>
      </c>
      <c r="AF411" t="s">
        <v>123</v>
      </c>
      <c r="AG411" t="s">
        <v>124</v>
      </c>
      <c r="AH411" t="str">
        <f t="shared" si="103"/>
        <v>Returned</v>
      </c>
      <c r="AI411" t="str">
        <f t="shared" si="104"/>
        <v>Valid</v>
      </c>
      <c r="AJ411">
        <f t="shared" si="105"/>
        <v>675.51</v>
      </c>
      <c r="AK411" s="12">
        <f t="shared" si="108"/>
        <v>0.29770018443476359</v>
      </c>
      <c r="AL411">
        <f t="shared" si="109"/>
        <v>2</v>
      </c>
      <c r="AM411">
        <f t="shared" si="110"/>
        <v>2025</v>
      </c>
      <c r="AN411" t="str">
        <f t="shared" si="111"/>
        <v>Clean</v>
      </c>
    </row>
    <row r="412" spans="1:40">
      <c r="A412" t="s">
        <v>2026</v>
      </c>
      <c r="B412" s="3" t="s">
        <v>2027</v>
      </c>
      <c r="C412" s="10">
        <v>45394</v>
      </c>
      <c r="D412" s="3" t="s">
        <v>2028</v>
      </c>
      <c r="E412" s="10">
        <v>45402</v>
      </c>
      <c r="F412" s="6" t="str">
        <f t="shared" si="96"/>
        <v>Valid</v>
      </c>
      <c r="G412" s="8">
        <f t="shared" si="97"/>
        <v>8</v>
      </c>
      <c r="H412" s="8" t="str">
        <f t="shared" si="98"/>
        <v>Valid</v>
      </c>
      <c r="I412" t="s">
        <v>2029</v>
      </c>
      <c r="J412" t="s">
        <v>209</v>
      </c>
      <c r="K412" t="s">
        <v>209</v>
      </c>
      <c r="L412" t="s">
        <v>25</v>
      </c>
      <c r="M412" s="3" t="str">
        <f t="shared" si="99"/>
        <v>Consumer</v>
      </c>
      <c r="N412" t="s">
        <v>72</v>
      </c>
      <c r="O412" s="3" t="str">
        <f t="shared" si="100"/>
        <v>West</v>
      </c>
      <c r="P412" t="s">
        <v>248</v>
      </c>
      <c r="Q412" t="s">
        <v>249</v>
      </c>
      <c r="R412" t="s">
        <v>44</v>
      </c>
      <c r="S412" s="3" t="str">
        <f t="shared" si="101"/>
        <v>Furniture</v>
      </c>
      <c r="T412" t="s">
        <v>45</v>
      </c>
      <c r="U412" t="s">
        <v>2030</v>
      </c>
      <c r="V412" t="s">
        <v>55</v>
      </c>
      <c r="W412" s="3" t="str">
        <f t="shared" si="102"/>
        <v>First Class</v>
      </c>
      <c r="X412">
        <v>9</v>
      </c>
      <c r="Y412">
        <v>1302.6099999999999</v>
      </c>
      <c r="Z412">
        <v>0.2</v>
      </c>
      <c r="AA412">
        <f t="shared" si="106"/>
        <v>0.2</v>
      </c>
      <c r="AB412">
        <f t="shared" si="107"/>
        <v>9378.7919999999995</v>
      </c>
      <c r="AC412">
        <v>9378.7900000000009</v>
      </c>
      <c r="AD412">
        <v>6774.48</v>
      </c>
      <c r="AE412">
        <v>2604.31</v>
      </c>
      <c r="AF412" t="s">
        <v>33</v>
      </c>
      <c r="AG412" t="s">
        <v>34</v>
      </c>
      <c r="AH412" t="str">
        <f t="shared" si="103"/>
        <v>Completed</v>
      </c>
      <c r="AI412" t="str">
        <f t="shared" si="104"/>
        <v>Valid</v>
      </c>
      <c r="AJ412">
        <f t="shared" si="105"/>
        <v>2604.3100000000013</v>
      </c>
      <c r="AK412" s="12">
        <f t="shared" si="108"/>
        <v>0.27768075035676254</v>
      </c>
      <c r="AL412">
        <f t="shared" si="109"/>
        <v>4</v>
      </c>
      <c r="AM412">
        <f t="shared" si="110"/>
        <v>2024</v>
      </c>
      <c r="AN412" t="str">
        <f t="shared" si="111"/>
        <v>Clean</v>
      </c>
    </row>
    <row r="413" spans="1:40">
      <c r="A413" t="s">
        <v>2031</v>
      </c>
      <c r="B413" s="3" t="s">
        <v>2032</v>
      </c>
      <c r="C413" s="10">
        <v>45892</v>
      </c>
      <c r="D413" s="3" t="s">
        <v>2033</v>
      </c>
      <c r="E413" s="10">
        <v>45897</v>
      </c>
      <c r="F413" s="6" t="str">
        <f t="shared" si="96"/>
        <v>Valid</v>
      </c>
      <c r="G413" s="8">
        <f t="shared" si="97"/>
        <v>5</v>
      </c>
      <c r="H413" s="8" t="str">
        <f t="shared" si="98"/>
        <v>Valid</v>
      </c>
      <c r="I413" t="s">
        <v>2034</v>
      </c>
      <c r="J413" t="s">
        <v>60</v>
      </c>
      <c r="K413" t="s">
        <v>60</v>
      </c>
      <c r="L413" t="s">
        <v>114</v>
      </c>
      <c r="M413" s="3" t="str">
        <f t="shared" si="99"/>
        <v>Home Office</v>
      </c>
      <c r="N413" t="s">
        <v>72</v>
      </c>
      <c r="O413" s="3" t="str">
        <f t="shared" si="100"/>
        <v>West</v>
      </c>
      <c r="P413" t="s">
        <v>27</v>
      </c>
      <c r="Q413" t="s">
        <v>134</v>
      </c>
      <c r="R413" t="s">
        <v>44</v>
      </c>
      <c r="S413" s="3" t="str">
        <f t="shared" si="101"/>
        <v>Furniture</v>
      </c>
      <c r="T413" t="s">
        <v>45</v>
      </c>
      <c r="U413" t="s">
        <v>2035</v>
      </c>
      <c r="V413" t="s">
        <v>55</v>
      </c>
      <c r="W413" s="3" t="str">
        <f t="shared" si="102"/>
        <v>First Class</v>
      </c>
      <c r="X413">
        <v>1</v>
      </c>
      <c r="Y413">
        <v>4167.8100000000004</v>
      </c>
      <c r="Z413">
        <v>0.2</v>
      </c>
      <c r="AA413">
        <f t="shared" si="106"/>
        <v>0.2</v>
      </c>
      <c r="AB413">
        <f t="shared" si="107"/>
        <v>3334.2480000000005</v>
      </c>
      <c r="AC413">
        <v>3334.25</v>
      </c>
      <c r="AD413">
        <v>2768.77</v>
      </c>
      <c r="AE413">
        <v>565.48</v>
      </c>
      <c r="AF413" t="s">
        <v>199</v>
      </c>
      <c r="AG413" t="s">
        <v>124</v>
      </c>
      <c r="AH413" t="str">
        <f t="shared" si="103"/>
        <v>Returned</v>
      </c>
      <c r="AI413" t="str">
        <f t="shared" si="104"/>
        <v>Valid</v>
      </c>
      <c r="AJ413">
        <f t="shared" si="105"/>
        <v>565.48</v>
      </c>
      <c r="AK413" s="12">
        <f t="shared" si="108"/>
        <v>0.16959746245630197</v>
      </c>
      <c r="AL413">
        <f t="shared" si="109"/>
        <v>8</v>
      </c>
      <c r="AM413">
        <f t="shared" si="110"/>
        <v>2025</v>
      </c>
      <c r="AN413" t="str">
        <f t="shared" si="111"/>
        <v>Clean</v>
      </c>
    </row>
    <row r="414" spans="1:40">
      <c r="A414" t="s">
        <v>2036</v>
      </c>
      <c r="B414" s="3" t="s">
        <v>2037</v>
      </c>
      <c r="C414" s="10">
        <v>45313</v>
      </c>
      <c r="D414" s="3" t="s">
        <v>833</v>
      </c>
      <c r="E414" s="10">
        <v>45321</v>
      </c>
      <c r="F414" s="6" t="str">
        <f t="shared" si="96"/>
        <v>Valid</v>
      </c>
      <c r="G414" s="8">
        <f t="shared" si="97"/>
        <v>8</v>
      </c>
      <c r="H414" s="8" t="str">
        <f t="shared" si="98"/>
        <v>Valid</v>
      </c>
      <c r="I414" t="s">
        <v>2038</v>
      </c>
      <c r="J414" t="s">
        <v>52</v>
      </c>
      <c r="K414" t="s">
        <v>52</v>
      </c>
      <c r="L414" t="s">
        <v>107</v>
      </c>
      <c r="M414" s="3" t="str">
        <f t="shared" si="99"/>
        <v>Corporate</v>
      </c>
      <c r="N414" t="s">
        <v>61</v>
      </c>
      <c r="O414" s="3" t="str">
        <f t="shared" si="100"/>
        <v>South</v>
      </c>
      <c r="P414" t="s">
        <v>228</v>
      </c>
      <c r="Q414" t="s">
        <v>229</v>
      </c>
      <c r="R414" t="s">
        <v>44</v>
      </c>
      <c r="S414" s="3" t="str">
        <f t="shared" si="101"/>
        <v>Furniture</v>
      </c>
      <c r="T414" t="s">
        <v>75</v>
      </c>
      <c r="U414" t="s">
        <v>2039</v>
      </c>
      <c r="V414" t="s">
        <v>47</v>
      </c>
      <c r="W414" s="3" t="str">
        <f t="shared" si="102"/>
        <v>Same Day</v>
      </c>
      <c r="X414">
        <v>1</v>
      </c>
      <c r="Y414">
        <v>2111.39</v>
      </c>
      <c r="Z414">
        <v>0.25</v>
      </c>
      <c r="AA414">
        <f t="shared" si="106"/>
        <v>0.25</v>
      </c>
      <c r="AB414">
        <f t="shared" si="107"/>
        <v>1583.5425</v>
      </c>
      <c r="AC414">
        <v>1583.54</v>
      </c>
      <c r="AD414">
        <v>1014.19</v>
      </c>
      <c r="AE414">
        <v>569.35</v>
      </c>
      <c r="AF414" t="s">
        <v>33</v>
      </c>
      <c r="AG414" t="s">
        <v>34</v>
      </c>
      <c r="AH414" t="str">
        <f t="shared" si="103"/>
        <v>Completed</v>
      </c>
      <c r="AI414" t="str">
        <f t="shared" si="104"/>
        <v>Valid</v>
      </c>
      <c r="AJ414">
        <f t="shared" si="105"/>
        <v>569.34999999999991</v>
      </c>
      <c r="AK414" s="12">
        <f t="shared" si="108"/>
        <v>0.35954197629681545</v>
      </c>
      <c r="AL414">
        <f t="shared" si="109"/>
        <v>1</v>
      </c>
      <c r="AM414">
        <f t="shared" si="110"/>
        <v>2024</v>
      </c>
      <c r="AN414" t="str">
        <f t="shared" si="111"/>
        <v>Clean</v>
      </c>
    </row>
    <row r="415" spans="1:40">
      <c r="A415" t="s">
        <v>2040</v>
      </c>
      <c r="B415" s="3" t="s">
        <v>239</v>
      </c>
      <c r="C415" s="10">
        <v>45882</v>
      </c>
      <c r="D415" s="3" t="s">
        <v>2041</v>
      </c>
      <c r="E415" s="10">
        <v>45886</v>
      </c>
      <c r="F415" s="6" t="str">
        <f t="shared" si="96"/>
        <v>Valid</v>
      </c>
      <c r="G415" s="8">
        <f t="shared" si="97"/>
        <v>4</v>
      </c>
      <c r="H415" s="8" t="str">
        <f t="shared" si="98"/>
        <v>Valid</v>
      </c>
      <c r="I415" t="s">
        <v>2042</v>
      </c>
      <c r="J415" t="s">
        <v>92</v>
      </c>
      <c r="K415" t="s">
        <v>92</v>
      </c>
      <c r="L415" t="s">
        <v>114</v>
      </c>
      <c r="M415" s="3" t="str">
        <f t="shared" si="99"/>
        <v>Home Office</v>
      </c>
      <c r="N415" t="s">
        <v>72</v>
      </c>
      <c r="O415" s="3" t="str">
        <f t="shared" si="100"/>
        <v>West</v>
      </c>
      <c r="P415" t="s">
        <v>83</v>
      </c>
      <c r="Q415" t="s">
        <v>84</v>
      </c>
      <c r="R415" t="s">
        <v>85</v>
      </c>
      <c r="S415" s="3" t="str">
        <f t="shared" si="101"/>
        <v>Technology</v>
      </c>
      <c r="T415" t="s">
        <v>86</v>
      </c>
      <c r="U415" t="s">
        <v>2043</v>
      </c>
      <c r="V415" t="s">
        <v>32</v>
      </c>
      <c r="W415" s="3" t="str">
        <f t="shared" si="102"/>
        <v>Second Class</v>
      </c>
      <c r="X415">
        <v>8</v>
      </c>
      <c r="Y415">
        <v>1918.23</v>
      </c>
      <c r="Z415">
        <v>0</v>
      </c>
      <c r="AA415">
        <f t="shared" si="106"/>
        <v>0</v>
      </c>
      <c r="AB415">
        <f t="shared" si="107"/>
        <v>15345.84</v>
      </c>
      <c r="AC415">
        <v>15345.84</v>
      </c>
      <c r="AD415">
        <v>10735.33</v>
      </c>
      <c r="AE415">
        <v>4610.51</v>
      </c>
      <c r="AF415" t="s">
        <v>136</v>
      </c>
      <c r="AG415" t="s">
        <v>77</v>
      </c>
      <c r="AH415" t="str">
        <f t="shared" si="103"/>
        <v>Cancelled</v>
      </c>
      <c r="AI415" t="str">
        <f t="shared" si="104"/>
        <v>Valid</v>
      </c>
      <c r="AJ415">
        <f t="shared" si="105"/>
        <v>4610.51</v>
      </c>
      <c r="AK415" s="12">
        <f t="shared" si="108"/>
        <v>0.30044037993358463</v>
      </c>
      <c r="AL415">
        <f t="shared" si="109"/>
        <v>8</v>
      </c>
      <c r="AM415">
        <f t="shared" si="110"/>
        <v>2025</v>
      </c>
      <c r="AN415" t="str">
        <f t="shared" si="111"/>
        <v>Clean</v>
      </c>
    </row>
    <row r="416" spans="1:40">
      <c r="A416" t="s">
        <v>2044</v>
      </c>
      <c r="B416" s="3" t="s">
        <v>2045</v>
      </c>
      <c r="C416" s="10">
        <v>45533</v>
      </c>
      <c r="D416" s="3" t="s">
        <v>2046</v>
      </c>
      <c r="E416" s="10">
        <v>45534</v>
      </c>
      <c r="F416" s="6" t="str">
        <f t="shared" si="96"/>
        <v>Valid</v>
      </c>
      <c r="G416" s="8">
        <f t="shared" si="97"/>
        <v>1</v>
      </c>
      <c r="H416" s="8" t="str">
        <f t="shared" si="98"/>
        <v>Valid</v>
      </c>
      <c r="I416" t="s">
        <v>2047</v>
      </c>
      <c r="J416" t="s">
        <v>60</v>
      </c>
      <c r="K416" t="s">
        <v>60</v>
      </c>
      <c r="L416" t="s">
        <v>114</v>
      </c>
      <c r="M416" s="3" t="str">
        <f t="shared" si="99"/>
        <v>Home Office</v>
      </c>
      <c r="N416" t="s">
        <v>41</v>
      </c>
      <c r="O416" s="3" t="str">
        <f t="shared" si="100"/>
        <v>East</v>
      </c>
      <c r="P416" t="s">
        <v>215</v>
      </c>
      <c r="Q416" t="s">
        <v>216</v>
      </c>
      <c r="R416" t="s">
        <v>29</v>
      </c>
      <c r="S416" s="3" t="str">
        <f t="shared" si="101"/>
        <v>Office Supplies</v>
      </c>
      <c r="T416" t="s">
        <v>155</v>
      </c>
      <c r="U416" t="s">
        <v>2048</v>
      </c>
      <c r="V416" t="s">
        <v>55</v>
      </c>
      <c r="W416" s="3" t="str">
        <f t="shared" si="102"/>
        <v>First Class</v>
      </c>
      <c r="X416">
        <v>4</v>
      </c>
      <c r="Y416">
        <v>2484.08</v>
      </c>
      <c r="Z416">
        <v>0.05</v>
      </c>
      <c r="AA416">
        <f t="shared" si="106"/>
        <v>0.05</v>
      </c>
      <c r="AB416">
        <f t="shared" si="107"/>
        <v>9439.503999999999</v>
      </c>
      <c r="AC416">
        <v>9439.5</v>
      </c>
      <c r="AD416">
        <v>5519.39</v>
      </c>
      <c r="AE416">
        <v>3920.11</v>
      </c>
      <c r="AF416" t="s">
        <v>33</v>
      </c>
      <c r="AG416" t="s">
        <v>34</v>
      </c>
      <c r="AH416" t="str">
        <f t="shared" si="103"/>
        <v>Completed</v>
      </c>
      <c r="AI416" t="str">
        <f t="shared" si="104"/>
        <v>Valid</v>
      </c>
      <c r="AJ416">
        <f t="shared" si="105"/>
        <v>3920.1099999999997</v>
      </c>
      <c r="AK416" s="12">
        <f t="shared" si="108"/>
        <v>0.41528771003222203</v>
      </c>
      <c r="AL416">
        <f t="shared" si="109"/>
        <v>8</v>
      </c>
      <c r="AM416">
        <f t="shared" si="110"/>
        <v>2024</v>
      </c>
      <c r="AN416" t="str">
        <f t="shared" si="111"/>
        <v>Clean</v>
      </c>
    </row>
    <row r="417" spans="1:40">
      <c r="A417" t="s">
        <v>2049</v>
      </c>
      <c r="B417" s="3" t="s">
        <v>2050</v>
      </c>
      <c r="C417" s="10">
        <v>45316</v>
      </c>
      <c r="D417" s="3" t="s">
        <v>2002</v>
      </c>
      <c r="E417" s="10">
        <v>45318</v>
      </c>
      <c r="F417" s="6" t="str">
        <f t="shared" si="96"/>
        <v>Valid</v>
      </c>
      <c r="G417" s="8">
        <f t="shared" si="97"/>
        <v>2</v>
      </c>
      <c r="H417" s="8" t="str">
        <f t="shared" si="98"/>
        <v>Valid</v>
      </c>
      <c r="I417" t="s">
        <v>2051</v>
      </c>
      <c r="J417" t="s">
        <v>161</v>
      </c>
      <c r="K417" t="s">
        <v>161</v>
      </c>
      <c r="L417" t="s">
        <v>107</v>
      </c>
      <c r="M417" s="3" t="str">
        <f t="shared" si="99"/>
        <v>Corporate</v>
      </c>
      <c r="N417" t="s">
        <v>61</v>
      </c>
      <c r="O417" s="3" t="str">
        <f t="shared" si="100"/>
        <v>South</v>
      </c>
      <c r="P417" t="s">
        <v>228</v>
      </c>
      <c r="Q417" t="s">
        <v>229</v>
      </c>
      <c r="R417" t="s">
        <v>29</v>
      </c>
      <c r="S417" s="3" t="str">
        <f t="shared" si="101"/>
        <v>Office Supplies</v>
      </c>
      <c r="T417" t="s">
        <v>155</v>
      </c>
      <c r="U417" t="s">
        <v>2052</v>
      </c>
      <c r="V417" t="s">
        <v>47</v>
      </c>
      <c r="W417" s="3" t="str">
        <f t="shared" si="102"/>
        <v>Same Day</v>
      </c>
      <c r="X417">
        <v>7</v>
      </c>
      <c r="Y417">
        <v>1727.26</v>
      </c>
      <c r="Z417">
        <v>0.15</v>
      </c>
      <c r="AA417">
        <f t="shared" si="106"/>
        <v>0.15</v>
      </c>
      <c r="AB417">
        <f t="shared" si="107"/>
        <v>10277.197</v>
      </c>
      <c r="AC417">
        <v>10277.200000000001</v>
      </c>
      <c r="AD417">
        <v>7906.5</v>
      </c>
      <c r="AE417">
        <v>2370.6999999999998</v>
      </c>
      <c r="AF417" t="s">
        <v>33</v>
      </c>
      <c r="AG417" t="s">
        <v>124</v>
      </c>
      <c r="AH417" t="str">
        <f t="shared" si="103"/>
        <v>Returned</v>
      </c>
      <c r="AI417" t="str">
        <f t="shared" si="104"/>
        <v>Valid</v>
      </c>
      <c r="AJ417">
        <f t="shared" si="105"/>
        <v>2370.7000000000007</v>
      </c>
      <c r="AK417" s="12">
        <f t="shared" si="108"/>
        <v>0.2306757377522296</v>
      </c>
      <c r="AL417">
        <f t="shared" si="109"/>
        <v>1</v>
      </c>
      <c r="AM417">
        <f t="shared" si="110"/>
        <v>2024</v>
      </c>
      <c r="AN417" t="str">
        <f t="shared" si="111"/>
        <v>Clean</v>
      </c>
    </row>
    <row r="418" spans="1:40">
      <c r="A418" t="s">
        <v>2053</v>
      </c>
      <c r="B418" s="3" t="s">
        <v>2054</v>
      </c>
      <c r="C418" s="10">
        <v>45665</v>
      </c>
      <c r="D418" s="3" t="s">
        <v>2055</v>
      </c>
      <c r="E418" s="10">
        <v>45673</v>
      </c>
      <c r="F418" s="6" t="str">
        <f t="shared" si="96"/>
        <v>Valid</v>
      </c>
      <c r="G418" s="8">
        <f t="shared" si="97"/>
        <v>8</v>
      </c>
      <c r="H418" s="8" t="str">
        <f t="shared" si="98"/>
        <v>Valid</v>
      </c>
      <c r="I418" t="s">
        <v>2056</v>
      </c>
      <c r="J418" t="s">
        <v>92</v>
      </c>
      <c r="K418" t="s">
        <v>92</v>
      </c>
      <c r="L418" t="s">
        <v>25</v>
      </c>
      <c r="M418" s="3" t="str">
        <f t="shared" si="99"/>
        <v>Consumer</v>
      </c>
      <c r="N418" t="s">
        <v>61</v>
      </c>
      <c r="O418" s="3" t="str">
        <f t="shared" si="100"/>
        <v>South</v>
      </c>
      <c r="P418" t="s">
        <v>62</v>
      </c>
      <c r="Q418" t="s">
        <v>63</v>
      </c>
      <c r="R418" t="s">
        <v>44</v>
      </c>
      <c r="S418" s="3" t="str">
        <f t="shared" si="101"/>
        <v>Furniture</v>
      </c>
      <c r="T418" t="s">
        <v>64</v>
      </c>
      <c r="U418" t="s">
        <v>2057</v>
      </c>
      <c r="V418" t="s">
        <v>55</v>
      </c>
      <c r="W418" s="3" t="str">
        <f t="shared" si="102"/>
        <v>First Class</v>
      </c>
      <c r="X418">
        <v>8</v>
      </c>
      <c r="Y418">
        <v>638.95000000000005</v>
      </c>
      <c r="Z418">
        <v>0.25</v>
      </c>
      <c r="AA418">
        <f t="shared" si="106"/>
        <v>0.25</v>
      </c>
      <c r="AB418">
        <f t="shared" si="107"/>
        <v>3833.7000000000003</v>
      </c>
      <c r="AC418">
        <v>3833.7</v>
      </c>
      <c r="AD418">
        <v>2886.35</v>
      </c>
      <c r="AE418">
        <v>947.35</v>
      </c>
      <c r="AF418" t="s">
        <v>33</v>
      </c>
      <c r="AG418" t="s">
        <v>34</v>
      </c>
      <c r="AH418" t="str">
        <f t="shared" si="103"/>
        <v>Completed</v>
      </c>
      <c r="AI418" t="str">
        <f t="shared" si="104"/>
        <v>Valid</v>
      </c>
      <c r="AJ418">
        <f t="shared" si="105"/>
        <v>947.34999999999991</v>
      </c>
      <c r="AK418" s="12">
        <f t="shared" si="108"/>
        <v>0.24711114589039304</v>
      </c>
      <c r="AL418">
        <f t="shared" si="109"/>
        <v>1</v>
      </c>
      <c r="AM418">
        <f t="shared" si="110"/>
        <v>2025</v>
      </c>
      <c r="AN418" t="str">
        <f t="shared" si="111"/>
        <v>Clean</v>
      </c>
    </row>
    <row r="419" spans="1:40">
      <c r="A419" t="s">
        <v>2058</v>
      </c>
      <c r="B419" s="3" t="s">
        <v>1793</v>
      </c>
      <c r="C419" s="10">
        <v>45686</v>
      </c>
      <c r="D419" s="3" t="s">
        <v>2059</v>
      </c>
      <c r="E419" s="10">
        <v>45693</v>
      </c>
      <c r="F419" s="6" t="str">
        <f t="shared" si="96"/>
        <v>Valid</v>
      </c>
      <c r="G419" s="8">
        <f t="shared" si="97"/>
        <v>7</v>
      </c>
      <c r="H419" s="8" t="str">
        <f t="shared" si="98"/>
        <v>Valid</v>
      </c>
      <c r="I419" t="s">
        <v>2060</v>
      </c>
      <c r="J419" t="s">
        <v>39</v>
      </c>
      <c r="K419" t="s">
        <v>39</v>
      </c>
      <c r="L419" t="s">
        <v>25</v>
      </c>
      <c r="M419" s="3" t="str">
        <f t="shared" si="99"/>
        <v>Consumer</v>
      </c>
      <c r="N419" t="s">
        <v>72</v>
      </c>
      <c r="O419" s="3" t="str">
        <f t="shared" si="100"/>
        <v>West</v>
      </c>
      <c r="P419" t="s">
        <v>234</v>
      </c>
      <c r="Q419" t="s">
        <v>235</v>
      </c>
      <c r="R419" t="s">
        <v>29</v>
      </c>
      <c r="S419" s="3" t="str">
        <f t="shared" si="101"/>
        <v>Office Supplies</v>
      </c>
      <c r="T419" t="s">
        <v>53</v>
      </c>
      <c r="U419" t="s">
        <v>2061</v>
      </c>
      <c r="V419" t="s">
        <v>55</v>
      </c>
      <c r="W419" s="3" t="str">
        <f t="shared" si="102"/>
        <v>First Class</v>
      </c>
      <c r="X419">
        <v>6</v>
      </c>
      <c r="Y419">
        <v>3863</v>
      </c>
      <c r="Z419">
        <v>0.2</v>
      </c>
      <c r="AA419">
        <f t="shared" si="106"/>
        <v>0.2</v>
      </c>
      <c r="AB419">
        <f t="shared" si="107"/>
        <v>18542.400000000001</v>
      </c>
      <c r="AC419">
        <v>18542.400000000001</v>
      </c>
      <c r="AD419">
        <v>11193.75</v>
      </c>
      <c r="AE419">
        <v>7348.65</v>
      </c>
      <c r="AF419" t="s">
        <v>33</v>
      </c>
      <c r="AG419" t="s">
        <v>34</v>
      </c>
      <c r="AH419" t="str">
        <f t="shared" si="103"/>
        <v>Completed</v>
      </c>
      <c r="AI419" t="str">
        <f t="shared" si="104"/>
        <v>Valid</v>
      </c>
      <c r="AJ419">
        <f t="shared" si="105"/>
        <v>7348.6500000000015</v>
      </c>
      <c r="AK419" s="12">
        <f t="shared" si="108"/>
        <v>0.39631601087237905</v>
      </c>
      <c r="AL419">
        <f t="shared" si="109"/>
        <v>1</v>
      </c>
      <c r="AM419">
        <f t="shared" si="110"/>
        <v>2025</v>
      </c>
      <c r="AN419" t="str">
        <f t="shared" si="111"/>
        <v>Clean</v>
      </c>
    </row>
    <row r="420" spans="1:40">
      <c r="A420" t="s">
        <v>2062</v>
      </c>
      <c r="B420" s="3" t="s">
        <v>2063</v>
      </c>
      <c r="C420" s="10">
        <v>45605</v>
      </c>
      <c r="D420" s="3" t="s">
        <v>2064</v>
      </c>
      <c r="E420" s="10">
        <v>45613</v>
      </c>
      <c r="F420" s="6" t="str">
        <f t="shared" si="96"/>
        <v>Valid</v>
      </c>
      <c r="G420" s="8">
        <f t="shared" si="97"/>
        <v>8</v>
      </c>
      <c r="H420" s="8" t="str">
        <f t="shared" si="98"/>
        <v>Valid</v>
      </c>
      <c r="I420" t="s">
        <v>2065</v>
      </c>
      <c r="J420" t="s">
        <v>167</v>
      </c>
      <c r="K420" t="s">
        <v>167</v>
      </c>
      <c r="L420" t="s">
        <v>107</v>
      </c>
      <c r="M420" s="3" t="str">
        <f t="shared" si="99"/>
        <v>Corporate</v>
      </c>
      <c r="N420" t="s">
        <v>41</v>
      </c>
      <c r="O420" s="3" t="str">
        <f t="shared" si="100"/>
        <v>East</v>
      </c>
      <c r="P420" t="s">
        <v>42</v>
      </c>
      <c r="Q420" t="s">
        <v>43</v>
      </c>
      <c r="R420" t="s">
        <v>85</v>
      </c>
      <c r="S420" s="3" t="str">
        <f t="shared" si="101"/>
        <v>Technology</v>
      </c>
      <c r="T420" t="s">
        <v>93</v>
      </c>
      <c r="U420" t="s">
        <v>2066</v>
      </c>
      <c r="V420" t="s">
        <v>66</v>
      </c>
      <c r="W420" s="3" t="str">
        <f t="shared" si="102"/>
        <v>Standard Class</v>
      </c>
      <c r="X420">
        <v>6</v>
      </c>
      <c r="Y420">
        <v>3660.4</v>
      </c>
      <c r="Z420">
        <v>0</v>
      </c>
      <c r="AA420">
        <f t="shared" si="106"/>
        <v>0</v>
      </c>
      <c r="AB420">
        <f t="shared" si="107"/>
        <v>21962.400000000001</v>
      </c>
      <c r="AC420">
        <v>21962.400000000001</v>
      </c>
      <c r="AD420">
        <v>15331.99</v>
      </c>
      <c r="AE420">
        <v>6630.41</v>
      </c>
      <c r="AF420" t="s">
        <v>199</v>
      </c>
      <c r="AG420" t="s">
        <v>77</v>
      </c>
      <c r="AH420" t="str">
        <f t="shared" si="103"/>
        <v>Cancelled</v>
      </c>
      <c r="AI420" t="str">
        <f t="shared" si="104"/>
        <v>Valid</v>
      </c>
      <c r="AJ420">
        <f t="shared" si="105"/>
        <v>6630.4100000000017</v>
      </c>
      <c r="AK420" s="12">
        <f t="shared" si="108"/>
        <v>0.3018982442720286</v>
      </c>
      <c r="AL420">
        <f t="shared" si="109"/>
        <v>11</v>
      </c>
      <c r="AM420">
        <f t="shared" si="110"/>
        <v>2024</v>
      </c>
      <c r="AN420" t="str">
        <f t="shared" si="111"/>
        <v>Clean</v>
      </c>
    </row>
    <row r="421" spans="1:40">
      <c r="A421" t="s">
        <v>2067</v>
      </c>
      <c r="B421" s="3" t="s">
        <v>2068</v>
      </c>
      <c r="C421" s="10">
        <v>45926</v>
      </c>
      <c r="D421" s="3" t="s">
        <v>2069</v>
      </c>
      <c r="E421" s="10">
        <v>45930</v>
      </c>
      <c r="F421" s="6" t="str">
        <f t="shared" si="96"/>
        <v>Valid</v>
      </c>
      <c r="G421" s="8">
        <f t="shared" si="97"/>
        <v>4</v>
      </c>
      <c r="H421" s="8" t="str">
        <f t="shared" si="98"/>
        <v>Valid</v>
      </c>
      <c r="I421" t="s">
        <v>2070</v>
      </c>
      <c r="J421" t="s">
        <v>167</v>
      </c>
      <c r="K421" t="s">
        <v>167</v>
      </c>
      <c r="L421" t="s">
        <v>114</v>
      </c>
      <c r="M421" s="3" t="str">
        <f t="shared" si="99"/>
        <v>Home Office</v>
      </c>
      <c r="N421" t="s">
        <v>26</v>
      </c>
      <c r="O421" s="3" t="str">
        <f t="shared" si="100"/>
        <v>North</v>
      </c>
      <c r="P421" t="s">
        <v>322</v>
      </c>
      <c r="Q421" t="s">
        <v>323</v>
      </c>
      <c r="R421" t="s">
        <v>85</v>
      </c>
      <c r="S421" s="3" t="str">
        <f t="shared" si="101"/>
        <v>Technology</v>
      </c>
      <c r="T421" t="s">
        <v>222</v>
      </c>
      <c r="U421" t="s">
        <v>2071</v>
      </c>
      <c r="V421" t="s">
        <v>47</v>
      </c>
      <c r="W421" s="3" t="str">
        <f t="shared" si="102"/>
        <v>Same Day</v>
      </c>
      <c r="X421">
        <v>2</v>
      </c>
      <c r="Y421">
        <v>688.83</v>
      </c>
      <c r="Z421">
        <v>0.05</v>
      </c>
      <c r="AA421">
        <f t="shared" si="106"/>
        <v>0.05</v>
      </c>
      <c r="AB421">
        <f t="shared" si="107"/>
        <v>1308.777</v>
      </c>
      <c r="AC421">
        <v>1308.78</v>
      </c>
      <c r="AD421">
        <v>843</v>
      </c>
      <c r="AE421">
        <v>465.78</v>
      </c>
      <c r="AF421" t="s">
        <v>33</v>
      </c>
      <c r="AG421" t="s">
        <v>34</v>
      </c>
      <c r="AH421" t="str">
        <f t="shared" si="103"/>
        <v>Completed</v>
      </c>
      <c r="AI421" t="str">
        <f t="shared" si="104"/>
        <v>Valid</v>
      </c>
      <c r="AJ421">
        <f t="shared" si="105"/>
        <v>465.78</v>
      </c>
      <c r="AK421" s="12">
        <f t="shared" si="108"/>
        <v>0.35588950600446062</v>
      </c>
      <c r="AL421">
        <f t="shared" si="109"/>
        <v>9</v>
      </c>
      <c r="AM421">
        <f t="shared" si="110"/>
        <v>2025</v>
      </c>
      <c r="AN421" t="str">
        <f t="shared" si="111"/>
        <v>Clean</v>
      </c>
    </row>
    <row r="422" spans="1:40">
      <c r="A422" t="s">
        <v>2072</v>
      </c>
      <c r="B422" s="3" t="s">
        <v>962</v>
      </c>
      <c r="C422" s="10">
        <v>45734</v>
      </c>
      <c r="D422" s="3" t="s">
        <v>2073</v>
      </c>
      <c r="E422" s="10">
        <v>45735</v>
      </c>
      <c r="F422" s="6" t="str">
        <f t="shared" si="96"/>
        <v>Valid</v>
      </c>
      <c r="G422" s="8">
        <f t="shared" si="97"/>
        <v>1</v>
      </c>
      <c r="H422" s="8" t="str">
        <f t="shared" si="98"/>
        <v>Valid</v>
      </c>
      <c r="I422" t="s">
        <v>2074</v>
      </c>
      <c r="J422" t="s">
        <v>52</v>
      </c>
      <c r="K422" t="s">
        <v>52</v>
      </c>
      <c r="L422" t="s">
        <v>107</v>
      </c>
      <c r="M422" s="3" t="str">
        <f t="shared" si="99"/>
        <v>Corporate</v>
      </c>
      <c r="N422" t="s">
        <v>61</v>
      </c>
      <c r="O422" s="3" t="str">
        <f t="shared" si="100"/>
        <v>South</v>
      </c>
      <c r="P422" t="s">
        <v>338</v>
      </c>
      <c r="Q422" t="s">
        <v>339</v>
      </c>
      <c r="R422" t="s">
        <v>85</v>
      </c>
      <c r="S422" s="3" t="str">
        <f t="shared" si="101"/>
        <v>Technology</v>
      </c>
      <c r="T422" t="s">
        <v>381</v>
      </c>
      <c r="U422" t="s">
        <v>2075</v>
      </c>
      <c r="V422" t="s">
        <v>66</v>
      </c>
      <c r="W422" s="3" t="str">
        <f t="shared" si="102"/>
        <v>Standard Class</v>
      </c>
      <c r="X422">
        <v>2</v>
      </c>
      <c r="Y422">
        <v>1209.99</v>
      </c>
      <c r="Z422">
        <v>0.25</v>
      </c>
      <c r="AA422">
        <f t="shared" si="106"/>
        <v>0.25</v>
      </c>
      <c r="AB422">
        <f t="shared" si="107"/>
        <v>1814.9850000000001</v>
      </c>
      <c r="AC422">
        <v>1814.99</v>
      </c>
      <c r="AD422">
        <v>1120.06</v>
      </c>
      <c r="AE422">
        <v>694.93</v>
      </c>
      <c r="AF422" t="s">
        <v>136</v>
      </c>
      <c r="AG422" t="s">
        <v>77</v>
      </c>
      <c r="AH422" t="str">
        <f t="shared" si="103"/>
        <v>Cancelled</v>
      </c>
      <c r="AI422" t="str">
        <f t="shared" si="104"/>
        <v>Valid</v>
      </c>
      <c r="AJ422">
        <f t="shared" si="105"/>
        <v>694.93000000000006</v>
      </c>
      <c r="AK422" s="12">
        <f t="shared" si="108"/>
        <v>0.3828847070361463</v>
      </c>
      <c r="AL422">
        <f t="shared" si="109"/>
        <v>3</v>
      </c>
      <c r="AM422">
        <f t="shared" si="110"/>
        <v>2025</v>
      </c>
      <c r="AN422" t="str">
        <f t="shared" si="111"/>
        <v>Clean</v>
      </c>
    </row>
    <row r="423" spans="1:40">
      <c r="A423" t="s">
        <v>2076</v>
      </c>
      <c r="B423" s="3" t="s">
        <v>2077</v>
      </c>
      <c r="C423" s="10">
        <v>45822</v>
      </c>
      <c r="D423" s="3" t="s">
        <v>2078</v>
      </c>
      <c r="E423" s="10">
        <v>45827</v>
      </c>
      <c r="F423" s="6" t="str">
        <f t="shared" si="96"/>
        <v>Valid</v>
      </c>
      <c r="G423" s="8">
        <f t="shared" si="97"/>
        <v>5</v>
      </c>
      <c r="H423" s="8" t="str">
        <f t="shared" si="98"/>
        <v>Valid</v>
      </c>
      <c r="I423" t="s">
        <v>2079</v>
      </c>
      <c r="J423" t="s">
        <v>179</v>
      </c>
      <c r="K423" t="s">
        <v>179</v>
      </c>
      <c r="L423" t="s">
        <v>40</v>
      </c>
      <c r="M423" s="3" t="str">
        <f t="shared" si="99"/>
        <v>Small Business</v>
      </c>
      <c r="N423" t="s">
        <v>26</v>
      </c>
      <c r="O423" s="3" t="str">
        <f t="shared" si="100"/>
        <v>North</v>
      </c>
      <c r="P423" t="s">
        <v>505</v>
      </c>
      <c r="Q423" t="s">
        <v>506</v>
      </c>
      <c r="R423" t="s">
        <v>29</v>
      </c>
      <c r="S423" s="3" t="str">
        <f t="shared" si="101"/>
        <v>Office Supplies</v>
      </c>
      <c r="T423" t="s">
        <v>197</v>
      </c>
      <c r="U423" t="s">
        <v>2080</v>
      </c>
      <c r="V423" t="s">
        <v>47</v>
      </c>
      <c r="W423" s="3" t="str">
        <f t="shared" si="102"/>
        <v>Same Day</v>
      </c>
      <c r="X423">
        <v>3</v>
      </c>
      <c r="Y423">
        <v>1037.45</v>
      </c>
      <c r="Z423">
        <v>0.2</v>
      </c>
      <c r="AA423">
        <f t="shared" si="106"/>
        <v>0.2</v>
      </c>
      <c r="AB423">
        <f t="shared" si="107"/>
        <v>2489.8800000000006</v>
      </c>
      <c r="AC423">
        <v>2489.88</v>
      </c>
      <c r="AD423">
        <v>1707.52</v>
      </c>
      <c r="AE423">
        <v>782.36</v>
      </c>
      <c r="AF423" t="s">
        <v>136</v>
      </c>
      <c r="AG423" t="s">
        <v>124</v>
      </c>
      <c r="AH423" t="str">
        <f t="shared" si="103"/>
        <v>Returned</v>
      </c>
      <c r="AI423" t="str">
        <f t="shared" si="104"/>
        <v>Valid</v>
      </c>
      <c r="AJ423">
        <f t="shared" si="105"/>
        <v>782.36000000000013</v>
      </c>
      <c r="AK423" s="12">
        <f t="shared" si="108"/>
        <v>0.31421594615001525</v>
      </c>
      <c r="AL423">
        <f t="shared" si="109"/>
        <v>6</v>
      </c>
      <c r="AM423">
        <f t="shared" si="110"/>
        <v>2025</v>
      </c>
      <c r="AN423" t="str">
        <f t="shared" si="111"/>
        <v>Clean</v>
      </c>
    </row>
    <row r="424" spans="1:40">
      <c r="A424" t="s">
        <v>2081</v>
      </c>
      <c r="B424" s="3" t="s">
        <v>2082</v>
      </c>
      <c r="C424" s="10">
        <v>45903</v>
      </c>
      <c r="D424" s="3" t="s">
        <v>2083</v>
      </c>
      <c r="E424" s="10">
        <v>45906</v>
      </c>
      <c r="F424" s="6" t="str">
        <f t="shared" si="96"/>
        <v>Valid</v>
      </c>
      <c r="G424" s="8">
        <f t="shared" si="97"/>
        <v>3</v>
      </c>
      <c r="H424" s="8" t="str">
        <f t="shared" si="98"/>
        <v>Valid</v>
      </c>
      <c r="I424" t="s">
        <v>2084</v>
      </c>
      <c r="J424" t="s">
        <v>365</v>
      </c>
      <c r="K424" t="s">
        <v>365</v>
      </c>
      <c r="L424" t="s">
        <v>25</v>
      </c>
      <c r="M424" s="3" t="str">
        <f t="shared" si="99"/>
        <v>Consumer</v>
      </c>
      <c r="N424" t="s">
        <v>72</v>
      </c>
      <c r="O424" s="3" t="str">
        <f t="shared" si="100"/>
        <v>West</v>
      </c>
      <c r="P424" t="s">
        <v>83</v>
      </c>
      <c r="Q424" t="s">
        <v>84</v>
      </c>
      <c r="R424" t="s">
        <v>85</v>
      </c>
      <c r="S424" s="3" t="str">
        <f t="shared" si="101"/>
        <v>Technology</v>
      </c>
      <c r="T424" t="s">
        <v>93</v>
      </c>
      <c r="U424" t="s">
        <v>2085</v>
      </c>
      <c r="V424" t="s">
        <v>47</v>
      </c>
      <c r="W424" s="3" t="str">
        <f t="shared" si="102"/>
        <v>Same Day</v>
      </c>
      <c r="X424">
        <v>7</v>
      </c>
      <c r="Y424">
        <v>688.85</v>
      </c>
      <c r="Z424">
        <v>0.15</v>
      </c>
      <c r="AA424">
        <f t="shared" si="106"/>
        <v>0.15</v>
      </c>
      <c r="AB424">
        <f t="shared" si="107"/>
        <v>4098.6574999999993</v>
      </c>
      <c r="AC424">
        <v>4098.66</v>
      </c>
      <c r="AD424">
        <v>2678.06</v>
      </c>
      <c r="AE424">
        <v>1420.6</v>
      </c>
      <c r="AF424" t="s">
        <v>33</v>
      </c>
      <c r="AG424" t="s">
        <v>34</v>
      </c>
      <c r="AH424" t="str">
        <f t="shared" si="103"/>
        <v>Completed</v>
      </c>
      <c r="AI424" t="str">
        <f t="shared" si="104"/>
        <v>Valid</v>
      </c>
      <c r="AJ424">
        <f t="shared" si="105"/>
        <v>1420.6</v>
      </c>
      <c r="AK424" s="12">
        <f t="shared" si="108"/>
        <v>0.34660129566815479</v>
      </c>
      <c r="AL424">
        <f t="shared" si="109"/>
        <v>9</v>
      </c>
      <c r="AM424">
        <f t="shared" si="110"/>
        <v>2025</v>
      </c>
      <c r="AN424" t="str">
        <f t="shared" si="111"/>
        <v>Clean</v>
      </c>
    </row>
    <row r="425" spans="1:40">
      <c r="A425" t="s">
        <v>2086</v>
      </c>
      <c r="B425" s="3" t="s">
        <v>2087</v>
      </c>
      <c r="C425" s="10">
        <v>45342</v>
      </c>
      <c r="D425" s="3" t="s">
        <v>2088</v>
      </c>
      <c r="E425" s="10">
        <v>45349</v>
      </c>
      <c r="F425" s="6" t="str">
        <f t="shared" si="96"/>
        <v>Valid</v>
      </c>
      <c r="G425" s="8">
        <f t="shared" si="97"/>
        <v>7</v>
      </c>
      <c r="H425" s="8" t="str">
        <f t="shared" si="98"/>
        <v>Valid</v>
      </c>
      <c r="I425" t="s">
        <v>2089</v>
      </c>
      <c r="J425" t="s">
        <v>209</v>
      </c>
      <c r="K425" t="s">
        <v>209</v>
      </c>
      <c r="L425" t="s">
        <v>25</v>
      </c>
      <c r="M425" s="3" t="str">
        <f t="shared" si="99"/>
        <v>Consumer</v>
      </c>
      <c r="N425" t="s">
        <v>61</v>
      </c>
      <c r="O425" s="3" t="str">
        <f t="shared" si="100"/>
        <v>South</v>
      </c>
      <c r="P425" t="s">
        <v>241</v>
      </c>
      <c r="Q425" t="s">
        <v>242</v>
      </c>
      <c r="R425" t="s">
        <v>85</v>
      </c>
      <c r="S425" s="3" t="str">
        <f t="shared" si="101"/>
        <v>Technology</v>
      </c>
      <c r="T425" t="s">
        <v>86</v>
      </c>
      <c r="U425" t="s">
        <v>2090</v>
      </c>
      <c r="V425" t="s">
        <v>2091</v>
      </c>
      <c r="W425" s="3" t="str">
        <f t="shared" si="102"/>
        <v>First Class</v>
      </c>
      <c r="X425">
        <v>9</v>
      </c>
      <c r="Y425">
        <v>3779.31</v>
      </c>
      <c r="Z425">
        <v>0.2</v>
      </c>
      <c r="AA425">
        <f t="shared" si="106"/>
        <v>0.2</v>
      </c>
      <c r="AB425">
        <f t="shared" si="107"/>
        <v>27211.032000000003</v>
      </c>
      <c r="AC425">
        <v>27211.03</v>
      </c>
      <c r="AD425">
        <v>17940.43</v>
      </c>
      <c r="AE425">
        <v>9270.6</v>
      </c>
      <c r="AF425" t="s">
        <v>33</v>
      </c>
      <c r="AG425" t="s">
        <v>34</v>
      </c>
      <c r="AH425" t="str">
        <f t="shared" si="103"/>
        <v>Completed</v>
      </c>
      <c r="AI425" t="str">
        <f t="shared" si="104"/>
        <v>Valid</v>
      </c>
      <c r="AJ425">
        <f t="shared" si="105"/>
        <v>9270.5999999999985</v>
      </c>
      <c r="AK425" s="12">
        <f t="shared" si="108"/>
        <v>0.34069270140140212</v>
      </c>
      <c r="AL425">
        <f t="shared" si="109"/>
        <v>2</v>
      </c>
      <c r="AM425">
        <f t="shared" si="110"/>
        <v>2024</v>
      </c>
      <c r="AN425" t="str">
        <f t="shared" si="111"/>
        <v>Clean</v>
      </c>
    </row>
    <row r="426" spans="1:40">
      <c r="A426" t="s">
        <v>2092</v>
      </c>
      <c r="B426" s="3" t="s">
        <v>2093</v>
      </c>
      <c r="C426" s="10">
        <v>45469</v>
      </c>
      <c r="D426" s="3" t="s">
        <v>2094</v>
      </c>
      <c r="E426" s="10">
        <v>45472</v>
      </c>
      <c r="F426" s="6" t="str">
        <f t="shared" si="96"/>
        <v>Valid</v>
      </c>
      <c r="G426" s="8">
        <f t="shared" si="97"/>
        <v>3</v>
      </c>
      <c r="H426" s="8" t="str">
        <f t="shared" si="98"/>
        <v>Valid</v>
      </c>
      <c r="I426" t="s">
        <v>2095</v>
      </c>
      <c r="J426" t="s">
        <v>92</v>
      </c>
      <c r="K426" t="s">
        <v>92</v>
      </c>
      <c r="L426" t="s">
        <v>107</v>
      </c>
      <c r="M426" s="3" t="str">
        <f t="shared" si="99"/>
        <v>Corporate</v>
      </c>
      <c r="N426" t="s">
        <v>26</v>
      </c>
      <c r="O426" s="3" t="str">
        <f t="shared" si="100"/>
        <v>North</v>
      </c>
      <c r="P426" t="s">
        <v>153</v>
      </c>
      <c r="Q426" t="s">
        <v>154</v>
      </c>
      <c r="R426" t="s">
        <v>85</v>
      </c>
      <c r="S426" s="3" t="str">
        <f t="shared" si="101"/>
        <v>Technology</v>
      </c>
      <c r="T426" t="s">
        <v>222</v>
      </c>
      <c r="U426" t="s">
        <v>2096</v>
      </c>
      <c r="V426" t="s">
        <v>66</v>
      </c>
      <c r="W426" s="3" t="str">
        <f t="shared" si="102"/>
        <v>Standard Class</v>
      </c>
      <c r="X426">
        <v>8</v>
      </c>
      <c r="Y426">
        <v>804.52</v>
      </c>
      <c r="Z426">
        <v>0</v>
      </c>
      <c r="AA426">
        <f t="shared" si="106"/>
        <v>0</v>
      </c>
      <c r="AB426">
        <f t="shared" si="107"/>
        <v>6436.16</v>
      </c>
      <c r="AC426">
        <v>6436.16</v>
      </c>
      <c r="AD426">
        <v>4263.83</v>
      </c>
      <c r="AE426">
        <v>2172.33</v>
      </c>
      <c r="AF426" t="s">
        <v>33</v>
      </c>
      <c r="AG426" t="s">
        <v>34</v>
      </c>
      <c r="AH426" t="str">
        <f t="shared" si="103"/>
        <v>Completed</v>
      </c>
      <c r="AI426" t="str">
        <f t="shared" si="104"/>
        <v>Valid</v>
      </c>
      <c r="AJ426">
        <f t="shared" si="105"/>
        <v>2172.33</v>
      </c>
      <c r="AK426" s="12">
        <f t="shared" si="108"/>
        <v>0.33751957689056827</v>
      </c>
      <c r="AL426">
        <f t="shared" si="109"/>
        <v>6</v>
      </c>
      <c r="AM426">
        <f t="shared" si="110"/>
        <v>2024</v>
      </c>
      <c r="AN426" t="str">
        <f t="shared" si="111"/>
        <v>Clean</v>
      </c>
    </row>
    <row r="427" spans="1:40">
      <c r="A427" t="s">
        <v>2097</v>
      </c>
      <c r="B427" s="3" t="s">
        <v>2098</v>
      </c>
      <c r="C427" s="10">
        <v>45561</v>
      </c>
      <c r="D427" s="3" t="s">
        <v>2099</v>
      </c>
      <c r="E427" s="10">
        <v>45562</v>
      </c>
      <c r="F427" s="6" t="str">
        <f t="shared" si="96"/>
        <v>Valid</v>
      </c>
      <c r="G427" s="8">
        <f t="shared" si="97"/>
        <v>1</v>
      </c>
      <c r="H427" s="8" t="str">
        <f t="shared" si="98"/>
        <v>Valid</v>
      </c>
      <c r="I427" t="s">
        <v>2100</v>
      </c>
      <c r="J427" t="s">
        <v>52</v>
      </c>
      <c r="K427" t="s">
        <v>52</v>
      </c>
      <c r="L427" t="s">
        <v>114</v>
      </c>
      <c r="M427" s="3" t="str">
        <f t="shared" si="99"/>
        <v>Home Office</v>
      </c>
      <c r="N427" t="s">
        <v>26</v>
      </c>
      <c r="O427" s="3" t="str">
        <f t="shared" si="100"/>
        <v>North</v>
      </c>
      <c r="P427" t="s">
        <v>505</v>
      </c>
      <c r="Q427" t="s">
        <v>506</v>
      </c>
      <c r="R427" t="s">
        <v>29</v>
      </c>
      <c r="S427" s="3" t="str">
        <f t="shared" si="101"/>
        <v>Office Supplies</v>
      </c>
      <c r="T427" t="s">
        <v>108</v>
      </c>
      <c r="U427" t="s">
        <v>2101</v>
      </c>
      <c r="V427" t="s">
        <v>55</v>
      </c>
      <c r="W427" s="3" t="str">
        <f t="shared" si="102"/>
        <v>First Class</v>
      </c>
      <c r="X427">
        <v>2</v>
      </c>
      <c r="Y427">
        <v>1065.69</v>
      </c>
      <c r="Z427">
        <v>0.1</v>
      </c>
      <c r="AA427">
        <f t="shared" si="106"/>
        <v>0.1</v>
      </c>
      <c r="AB427">
        <f t="shared" si="107"/>
        <v>1918.2420000000002</v>
      </c>
      <c r="AC427">
        <v>1918.24</v>
      </c>
      <c r="AD427">
        <v>1373.52</v>
      </c>
      <c r="AE427">
        <v>544.72</v>
      </c>
      <c r="AF427" t="s">
        <v>123</v>
      </c>
      <c r="AG427" t="s">
        <v>77</v>
      </c>
      <c r="AH427" t="str">
        <f t="shared" si="103"/>
        <v>Cancelled</v>
      </c>
      <c r="AI427" t="str">
        <f t="shared" si="104"/>
        <v>Valid</v>
      </c>
      <c r="AJ427">
        <f t="shared" si="105"/>
        <v>544.72</v>
      </c>
      <c r="AK427" s="12">
        <f t="shared" si="108"/>
        <v>0.28396834184633635</v>
      </c>
      <c r="AL427">
        <f t="shared" si="109"/>
        <v>9</v>
      </c>
      <c r="AM427">
        <f t="shared" si="110"/>
        <v>2024</v>
      </c>
      <c r="AN427" t="str">
        <f t="shared" si="111"/>
        <v>Clean</v>
      </c>
    </row>
    <row r="428" spans="1:40">
      <c r="A428" t="s">
        <v>2102</v>
      </c>
      <c r="B428" s="3" t="s">
        <v>2103</v>
      </c>
      <c r="C428" s="10">
        <v>45473</v>
      </c>
      <c r="D428" s="3" t="s">
        <v>2104</v>
      </c>
      <c r="E428" s="10">
        <v>45474</v>
      </c>
      <c r="F428" s="6" t="str">
        <f t="shared" si="96"/>
        <v>Valid</v>
      </c>
      <c r="G428" s="8">
        <f t="shared" si="97"/>
        <v>1</v>
      </c>
      <c r="H428" s="8" t="str">
        <f t="shared" si="98"/>
        <v>Valid</v>
      </c>
      <c r="I428" t="s">
        <v>2105</v>
      </c>
      <c r="J428" t="s">
        <v>106</v>
      </c>
      <c r="K428" t="s">
        <v>106</v>
      </c>
      <c r="L428" t="s">
        <v>25</v>
      </c>
      <c r="M428" s="3" t="str">
        <f t="shared" si="99"/>
        <v>Consumer</v>
      </c>
      <c r="N428" t="s">
        <v>26</v>
      </c>
      <c r="O428" s="3" t="str">
        <f t="shared" si="100"/>
        <v>North</v>
      </c>
      <c r="P428" t="s">
        <v>322</v>
      </c>
      <c r="Q428" t="s">
        <v>323</v>
      </c>
      <c r="R428" t="s">
        <v>85</v>
      </c>
      <c r="S428" s="3" t="str">
        <f t="shared" si="101"/>
        <v>Technology</v>
      </c>
      <c r="T428" t="s">
        <v>93</v>
      </c>
      <c r="U428" t="s">
        <v>2106</v>
      </c>
      <c r="V428" t="s">
        <v>47</v>
      </c>
      <c r="W428" s="3" t="str">
        <f t="shared" si="102"/>
        <v>Same Day</v>
      </c>
      <c r="X428">
        <v>8</v>
      </c>
      <c r="Y428">
        <v>3756.66</v>
      </c>
      <c r="Z428">
        <v>0.1</v>
      </c>
      <c r="AA428">
        <f t="shared" si="106"/>
        <v>0.1</v>
      </c>
      <c r="AB428">
        <f t="shared" si="107"/>
        <v>27047.952000000001</v>
      </c>
      <c r="AC428">
        <v>27047.95</v>
      </c>
      <c r="AD428">
        <v>18431.330000000002</v>
      </c>
      <c r="AE428">
        <v>8616.6200000000008</v>
      </c>
      <c r="AF428" t="s">
        <v>33</v>
      </c>
      <c r="AG428" t="s">
        <v>34</v>
      </c>
      <c r="AH428" t="str">
        <f t="shared" si="103"/>
        <v>Completed</v>
      </c>
      <c r="AI428" t="str">
        <f t="shared" si="104"/>
        <v>Valid</v>
      </c>
      <c r="AJ428">
        <f t="shared" si="105"/>
        <v>8616.619999999999</v>
      </c>
      <c r="AK428" s="12">
        <f t="shared" si="108"/>
        <v>0.31856829677899451</v>
      </c>
      <c r="AL428">
        <f t="shared" si="109"/>
        <v>6</v>
      </c>
      <c r="AM428">
        <f t="shared" si="110"/>
        <v>2024</v>
      </c>
      <c r="AN428" t="str">
        <f t="shared" si="111"/>
        <v>Clean</v>
      </c>
    </row>
    <row r="429" spans="1:40">
      <c r="A429" t="s">
        <v>2107</v>
      </c>
      <c r="B429" s="3" t="s">
        <v>2108</v>
      </c>
      <c r="C429" s="10">
        <v>45769</v>
      </c>
      <c r="D429" s="3" t="s">
        <v>2109</v>
      </c>
      <c r="E429" s="10">
        <v>45771</v>
      </c>
      <c r="F429" s="6" t="str">
        <f t="shared" si="96"/>
        <v>Valid</v>
      </c>
      <c r="G429" s="8">
        <f t="shared" si="97"/>
        <v>2</v>
      </c>
      <c r="H429" s="8" t="str">
        <f t="shared" si="98"/>
        <v>Valid</v>
      </c>
      <c r="I429" t="s">
        <v>2110</v>
      </c>
      <c r="J429" t="s">
        <v>52</v>
      </c>
      <c r="K429" t="s">
        <v>52</v>
      </c>
      <c r="L429" t="s">
        <v>107</v>
      </c>
      <c r="M429" s="3" t="str">
        <f t="shared" si="99"/>
        <v>Corporate</v>
      </c>
      <c r="O429" s="3" t="str">
        <f t="shared" si="100"/>
        <v>Unknown</v>
      </c>
      <c r="P429" t="s">
        <v>310</v>
      </c>
      <c r="Q429" t="s">
        <v>311</v>
      </c>
      <c r="R429" t="s">
        <v>85</v>
      </c>
      <c r="S429" s="3" t="str">
        <f t="shared" si="101"/>
        <v>Technology</v>
      </c>
      <c r="T429" t="s">
        <v>86</v>
      </c>
      <c r="U429" t="s">
        <v>2111</v>
      </c>
      <c r="V429" t="s">
        <v>285</v>
      </c>
      <c r="W429" s="3" t="str">
        <f t="shared" si="102"/>
        <v>Standard Class</v>
      </c>
      <c r="X429">
        <v>9</v>
      </c>
      <c r="Y429">
        <v>2939.44</v>
      </c>
      <c r="Z429">
        <v>0</v>
      </c>
      <c r="AA429">
        <f t="shared" si="106"/>
        <v>0</v>
      </c>
      <c r="AB429">
        <f t="shared" si="107"/>
        <v>26454.959999999999</v>
      </c>
      <c r="AC429">
        <v>26454.959999999999</v>
      </c>
      <c r="AD429">
        <v>17630.25</v>
      </c>
      <c r="AE429">
        <v>8824.7099999999991</v>
      </c>
      <c r="AF429" t="s">
        <v>33</v>
      </c>
      <c r="AG429" t="s">
        <v>34</v>
      </c>
      <c r="AH429" t="str">
        <f t="shared" si="103"/>
        <v>Completed</v>
      </c>
      <c r="AI429" t="str">
        <f t="shared" si="104"/>
        <v>Valid</v>
      </c>
      <c r="AJ429">
        <f t="shared" si="105"/>
        <v>8824.7099999999991</v>
      </c>
      <c r="AK429" s="12">
        <f t="shared" si="108"/>
        <v>0.33357487594008833</v>
      </c>
      <c r="AL429">
        <f t="shared" si="109"/>
        <v>4</v>
      </c>
      <c r="AM429">
        <f t="shared" si="110"/>
        <v>2025</v>
      </c>
      <c r="AN429" t="str">
        <f t="shared" si="111"/>
        <v>Clean</v>
      </c>
    </row>
    <row r="430" spans="1:40">
      <c r="A430" t="s">
        <v>2112</v>
      </c>
      <c r="B430" s="3" t="s">
        <v>2113</v>
      </c>
      <c r="C430" s="10">
        <v>45731</v>
      </c>
      <c r="D430" s="3" t="s">
        <v>2114</v>
      </c>
      <c r="E430" s="10">
        <v>45738</v>
      </c>
      <c r="F430" s="6" t="str">
        <f t="shared" si="96"/>
        <v>Valid</v>
      </c>
      <c r="G430" s="8">
        <f t="shared" si="97"/>
        <v>7</v>
      </c>
      <c r="H430" s="8" t="str">
        <f t="shared" si="98"/>
        <v>Valid</v>
      </c>
      <c r="I430" t="s">
        <v>2115</v>
      </c>
      <c r="J430" t="s">
        <v>24</v>
      </c>
      <c r="K430" t="s">
        <v>24</v>
      </c>
      <c r="L430" t="s">
        <v>40</v>
      </c>
      <c r="M430" s="3" t="str">
        <f t="shared" si="99"/>
        <v>Small Business</v>
      </c>
      <c r="N430" t="s">
        <v>41</v>
      </c>
      <c r="O430" s="3" t="str">
        <f t="shared" si="100"/>
        <v>East</v>
      </c>
      <c r="P430" t="s">
        <v>120</v>
      </c>
      <c r="Q430" t="s">
        <v>121</v>
      </c>
      <c r="R430" t="s">
        <v>85</v>
      </c>
      <c r="S430" s="3" t="str">
        <f t="shared" si="101"/>
        <v>Technology</v>
      </c>
      <c r="T430" t="s">
        <v>222</v>
      </c>
      <c r="U430" t="s">
        <v>2116</v>
      </c>
      <c r="V430" t="s">
        <v>47</v>
      </c>
      <c r="W430" s="3" t="str">
        <f t="shared" si="102"/>
        <v>Same Day</v>
      </c>
      <c r="X430">
        <v>2</v>
      </c>
      <c r="Y430">
        <v>1235.93</v>
      </c>
      <c r="Z430">
        <v>0.25</v>
      </c>
      <c r="AA430">
        <f t="shared" si="106"/>
        <v>0.25</v>
      </c>
      <c r="AB430">
        <f t="shared" si="107"/>
        <v>1853.895</v>
      </c>
      <c r="AC430">
        <v>1853.89</v>
      </c>
      <c r="AD430">
        <v>1101.23</v>
      </c>
      <c r="AE430">
        <v>752.66</v>
      </c>
      <c r="AF430" t="s">
        <v>136</v>
      </c>
      <c r="AG430" t="s">
        <v>77</v>
      </c>
      <c r="AH430" t="str">
        <f t="shared" si="103"/>
        <v>Cancelled</v>
      </c>
      <c r="AI430" t="str">
        <f t="shared" si="104"/>
        <v>Valid</v>
      </c>
      <c r="AJ430">
        <f t="shared" si="105"/>
        <v>752.66000000000008</v>
      </c>
      <c r="AK430" s="12">
        <f t="shared" si="108"/>
        <v>0.4059884729178298</v>
      </c>
      <c r="AL430">
        <f t="shared" si="109"/>
        <v>3</v>
      </c>
      <c r="AM430">
        <f t="shared" si="110"/>
        <v>2025</v>
      </c>
      <c r="AN430" t="str">
        <f t="shared" si="111"/>
        <v>Clean</v>
      </c>
    </row>
    <row r="431" spans="1:40">
      <c r="A431" t="s">
        <v>2117</v>
      </c>
      <c r="B431" s="3" t="s">
        <v>2118</v>
      </c>
      <c r="C431" s="10">
        <v>45717</v>
      </c>
      <c r="D431" s="3" t="s">
        <v>2119</v>
      </c>
      <c r="E431" s="10">
        <v>45724</v>
      </c>
      <c r="F431" s="6" t="str">
        <f t="shared" si="96"/>
        <v>Valid</v>
      </c>
      <c r="G431" s="8">
        <f t="shared" si="97"/>
        <v>7</v>
      </c>
      <c r="H431" s="8" t="str">
        <f t="shared" si="98"/>
        <v>Valid</v>
      </c>
      <c r="I431" t="s">
        <v>2120</v>
      </c>
      <c r="J431" t="s">
        <v>92</v>
      </c>
      <c r="K431" t="s">
        <v>92</v>
      </c>
      <c r="L431" t="s">
        <v>114</v>
      </c>
      <c r="M431" s="3" t="str">
        <f t="shared" si="99"/>
        <v>Home Office</v>
      </c>
      <c r="N431" t="s">
        <v>26</v>
      </c>
      <c r="O431" s="3" t="str">
        <f t="shared" si="100"/>
        <v>North</v>
      </c>
      <c r="P431" t="s">
        <v>27</v>
      </c>
      <c r="Q431" t="s">
        <v>28</v>
      </c>
      <c r="R431" t="s">
        <v>85</v>
      </c>
      <c r="S431" s="3" t="str">
        <f t="shared" si="101"/>
        <v>Technology</v>
      </c>
      <c r="T431" t="s">
        <v>93</v>
      </c>
      <c r="U431" t="s">
        <v>2121</v>
      </c>
      <c r="V431" t="s">
        <v>47</v>
      </c>
      <c r="W431" s="3" t="str">
        <f t="shared" si="102"/>
        <v>Same Day</v>
      </c>
      <c r="X431">
        <v>8</v>
      </c>
      <c r="Y431">
        <v>2943.1</v>
      </c>
      <c r="Z431">
        <v>0.25</v>
      </c>
      <c r="AA431">
        <f t="shared" si="106"/>
        <v>0.25</v>
      </c>
      <c r="AB431">
        <f t="shared" si="107"/>
        <v>17658.599999999999</v>
      </c>
      <c r="AC431">
        <v>17658.599999999999</v>
      </c>
      <c r="AD431">
        <v>13842.48</v>
      </c>
      <c r="AE431">
        <v>3816.12</v>
      </c>
      <c r="AF431" t="s">
        <v>33</v>
      </c>
      <c r="AG431" t="s">
        <v>34</v>
      </c>
      <c r="AH431" t="str">
        <f t="shared" si="103"/>
        <v>Completed</v>
      </c>
      <c r="AI431" t="str">
        <f t="shared" si="104"/>
        <v>Valid</v>
      </c>
      <c r="AJ431">
        <f t="shared" si="105"/>
        <v>3816.119999999999</v>
      </c>
      <c r="AK431" s="12">
        <f t="shared" si="108"/>
        <v>0.2161054670245659</v>
      </c>
      <c r="AL431">
        <f t="shared" si="109"/>
        <v>3</v>
      </c>
      <c r="AM431">
        <f t="shared" si="110"/>
        <v>2025</v>
      </c>
      <c r="AN431" t="str">
        <f t="shared" si="111"/>
        <v>Clean</v>
      </c>
    </row>
    <row r="432" spans="1:40">
      <c r="A432" t="s">
        <v>2122</v>
      </c>
      <c r="B432" s="3" t="s">
        <v>2123</v>
      </c>
      <c r="C432" s="10">
        <v>45534</v>
      </c>
      <c r="D432" s="3" t="s">
        <v>2124</v>
      </c>
      <c r="E432" s="10">
        <v>45537</v>
      </c>
      <c r="F432" s="6" t="str">
        <f t="shared" si="96"/>
        <v>Valid</v>
      </c>
      <c r="G432" s="8">
        <f t="shared" si="97"/>
        <v>3</v>
      </c>
      <c r="H432" s="8" t="str">
        <f t="shared" si="98"/>
        <v>Valid</v>
      </c>
      <c r="I432" t="s">
        <v>2125</v>
      </c>
      <c r="J432" t="s">
        <v>92</v>
      </c>
      <c r="K432" t="s">
        <v>92</v>
      </c>
      <c r="L432" t="s">
        <v>40</v>
      </c>
      <c r="M432" s="3" t="str">
        <f t="shared" si="99"/>
        <v>Small Business</v>
      </c>
      <c r="N432" t="s">
        <v>26</v>
      </c>
      <c r="O432" s="3" t="str">
        <f t="shared" si="100"/>
        <v>North</v>
      </c>
      <c r="P432" t="s">
        <v>322</v>
      </c>
      <c r="Q432" t="s">
        <v>323</v>
      </c>
      <c r="R432" t="s">
        <v>29</v>
      </c>
      <c r="S432" s="3" t="str">
        <f t="shared" si="101"/>
        <v>Office Supplies</v>
      </c>
      <c r="T432" t="s">
        <v>30</v>
      </c>
      <c r="U432" t="s">
        <v>2126</v>
      </c>
      <c r="V432" t="s">
        <v>32</v>
      </c>
      <c r="W432" s="3" t="str">
        <f t="shared" si="102"/>
        <v>Second Class</v>
      </c>
      <c r="X432">
        <v>1</v>
      </c>
      <c r="Y432">
        <v>4320.84</v>
      </c>
      <c r="Z432">
        <v>0.15</v>
      </c>
      <c r="AA432">
        <f t="shared" si="106"/>
        <v>0.15</v>
      </c>
      <c r="AB432">
        <f t="shared" si="107"/>
        <v>3672.7139999999999</v>
      </c>
      <c r="AC432">
        <v>3672.71</v>
      </c>
      <c r="AD432">
        <v>2714.23</v>
      </c>
      <c r="AE432">
        <v>763.38</v>
      </c>
      <c r="AF432" t="s">
        <v>33</v>
      </c>
      <c r="AG432" t="s">
        <v>34</v>
      </c>
      <c r="AH432" t="str">
        <f t="shared" si="103"/>
        <v>Completed</v>
      </c>
      <c r="AI432" t="str">
        <f t="shared" si="104"/>
        <v>Valid</v>
      </c>
      <c r="AJ432">
        <f t="shared" si="105"/>
        <v>958.48</v>
      </c>
      <c r="AK432" s="12">
        <f t="shared" si="108"/>
        <v>0.26097322034876663</v>
      </c>
      <c r="AL432">
        <f t="shared" si="109"/>
        <v>8</v>
      </c>
      <c r="AM432">
        <f t="shared" si="110"/>
        <v>2024</v>
      </c>
      <c r="AN432" t="str">
        <f t="shared" si="111"/>
        <v>Clean</v>
      </c>
    </row>
    <row r="433" spans="1:40">
      <c r="A433" t="s">
        <v>2127</v>
      </c>
      <c r="B433" s="3" t="s">
        <v>2128</v>
      </c>
      <c r="C433" s="10">
        <v>45332</v>
      </c>
      <c r="D433" s="3" t="s">
        <v>2129</v>
      </c>
      <c r="E433" s="10">
        <v>45335</v>
      </c>
      <c r="F433" s="6" t="str">
        <f t="shared" si="96"/>
        <v>Valid</v>
      </c>
      <c r="G433" s="8">
        <f t="shared" si="97"/>
        <v>3</v>
      </c>
      <c r="H433" s="8" t="str">
        <f t="shared" si="98"/>
        <v>Valid</v>
      </c>
      <c r="I433" t="s">
        <v>2130</v>
      </c>
      <c r="J433" t="s">
        <v>24</v>
      </c>
      <c r="K433" t="s">
        <v>24</v>
      </c>
      <c r="L433" t="s">
        <v>114</v>
      </c>
      <c r="M433" s="3" t="str">
        <f t="shared" si="99"/>
        <v>Home Office</v>
      </c>
      <c r="N433" t="s">
        <v>72</v>
      </c>
      <c r="O433" s="3" t="str">
        <f t="shared" si="100"/>
        <v>West</v>
      </c>
      <c r="P433" t="s">
        <v>248</v>
      </c>
      <c r="Q433" t="s">
        <v>249</v>
      </c>
      <c r="R433" t="s">
        <v>85</v>
      </c>
      <c r="S433" s="3" t="str">
        <f t="shared" si="101"/>
        <v>Technology</v>
      </c>
      <c r="T433" t="s">
        <v>381</v>
      </c>
      <c r="U433" t="s">
        <v>2131</v>
      </c>
      <c r="V433" t="s">
        <v>47</v>
      </c>
      <c r="W433" s="3" t="str">
        <f t="shared" si="102"/>
        <v>Same Day</v>
      </c>
      <c r="X433">
        <v>2</v>
      </c>
      <c r="Y433">
        <v>4118.45</v>
      </c>
      <c r="Z433">
        <v>0.25</v>
      </c>
      <c r="AA433">
        <f t="shared" si="106"/>
        <v>0.25</v>
      </c>
      <c r="AB433">
        <f t="shared" si="107"/>
        <v>6177.6749999999993</v>
      </c>
      <c r="AC433">
        <v>6177.67</v>
      </c>
      <c r="AD433">
        <v>4520.75</v>
      </c>
      <c r="AE433">
        <v>1656.92</v>
      </c>
      <c r="AF433" t="s">
        <v>33</v>
      </c>
      <c r="AG433" t="s">
        <v>34</v>
      </c>
      <c r="AH433" t="str">
        <f t="shared" si="103"/>
        <v>Completed</v>
      </c>
      <c r="AI433" t="str">
        <f t="shared" si="104"/>
        <v>Valid</v>
      </c>
      <c r="AJ433">
        <f t="shared" si="105"/>
        <v>1656.92</v>
      </c>
      <c r="AK433" s="12">
        <f t="shared" si="108"/>
        <v>0.26821093696253046</v>
      </c>
      <c r="AL433">
        <f t="shared" si="109"/>
        <v>2</v>
      </c>
      <c r="AM433">
        <f t="shared" si="110"/>
        <v>2024</v>
      </c>
      <c r="AN433" t="str">
        <f t="shared" si="111"/>
        <v>Clean</v>
      </c>
    </row>
    <row r="434" spans="1:40">
      <c r="A434" t="s">
        <v>2132</v>
      </c>
      <c r="B434" s="3" t="s">
        <v>1949</v>
      </c>
      <c r="C434" s="10">
        <v>45533</v>
      </c>
      <c r="D434" s="3" t="s">
        <v>2124</v>
      </c>
      <c r="E434" s="10">
        <v>45537</v>
      </c>
      <c r="F434" s="6" t="str">
        <f t="shared" si="96"/>
        <v>Valid</v>
      </c>
      <c r="G434" s="8">
        <f t="shared" si="97"/>
        <v>4</v>
      </c>
      <c r="H434" s="8" t="str">
        <f t="shared" si="98"/>
        <v>Valid</v>
      </c>
      <c r="I434" t="s">
        <v>2133</v>
      </c>
      <c r="J434" t="s">
        <v>141</v>
      </c>
      <c r="K434" t="s">
        <v>141</v>
      </c>
      <c r="L434" t="s">
        <v>40</v>
      </c>
      <c r="M434" s="3" t="str">
        <f t="shared" si="99"/>
        <v>Small Business</v>
      </c>
      <c r="N434" t="s">
        <v>72</v>
      </c>
      <c r="O434" s="3" t="str">
        <f t="shared" si="100"/>
        <v>West</v>
      </c>
      <c r="P434" t="s">
        <v>73</v>
      </c>
      <c r="Q434" t="s">
        <v>74</v>
      </c>
      <c r="R434" t="s">
        <v>44</v>
      </c>
      <c r="S434" s="3" t="str">
        <f t="shared" si="101"/>
        <v>Furniture</v>
      </c>
      <c r="T434" t="s">
        <v>203</v>
      </c>
      <c r="U434" t="s">
        <v>2134</v>
      </c>
      <c r="V434" t="s">
        <v>66</v>
      </c>
      <c r="W434" s="3" t="str">
        <f t="shared" si="102"/>
        <v>Standard Class</v>
      </c>
      <c r="X434">
        <v>6</v>
      </c>
      <c r="Y434">
        <v>172.82</v>
      </c>
      <c r="Z434">
        <v>0.05</v>
      </c>
      <c r="AA434">
        <f t="shared" si="106"/>
        <v>0.05</v>
      </c>
      <c r="AB434">
        <f t="shared" si="107"/>
        <v>985.07400000000007</v>
      </c>
      <c r="AC434">
        <v>985.07</v>
      </c>
      <c r="AD434">
        <v>844.48</v>
      </c>
      <c r="AE434">
        <v>140.59</v>
      </c>
      <c r="AF434" t="s">
        <v>33</v>
      </c>
      <c r="AG434" t="s">
        <v>34</v>
      </c>
      <c r="AH434" t="str">
        <f t="shared" si="103"/>
        <v>Completed</v>
      </c>
      <c r="AI434" t="str">
        <f t="shared" si="104"/>
        <v>Valid</v>
      </c>
      <c r="AJ434">
        <f t="shared" si="105"/>
        <v>140.59000000000003</v>
      </c>
      <c r="AK434" s="12">
        <f t="shared" si="108"/>
        <v>0.14272024233712394</v>
      </c>
      <c r="AL434">
        <f t="shared" si="109"/>
        <v>8</v>
      </c>
      <c r="AM434">
        <f t="shared" si="110"/>
        <v>2024</v>
      </c>
      <c r="AN434" t="str">
        <f t="shared" si="111"/>
        <v>Clean</v>
      </c>
    </row>
    <row r="435" spans="1:40">
      <c r="A435" t="s">
        <v>2135</v>
      </c>
      <c r="B435" s="3" t="s">
        <v>2136</v>
      </c>
      <c r="C435" s="10">
        <v>45401</v>
      </c>
      <c r="D435" s="3" t="s">
        <v>2137</v>
      </c>
      <c r="E435" s="10">
        <v>45402</v>
      </c>
      <c r="F435" s="6" t="str">
        <f t="shared" si="96"/>
        <v>Valid</v>
      </c>
      <c r="G435" s="8">
        <f t="shared" si="97"/>
        <v>1</v>
      </c>
      <c r="H435" s="8" t="str">
        <f t="shared" si="98"/>
        <v>Valid</v>
      </c>
      <c r="I435" t="s">
        <v>2138</v>
      </c>
      <c r="J435" t="s">
        <v>141</v>
      </c>
      <c r="K435" t="s">
        <v>141</v>
      </c>
      <c r="L435" t="s">
        <v>107</v>
      </c>
      <c r="M435" s="3" t="str">
        <f t="shared" si="99"/>
        <v>Corporate</v>
      </c>
      <c r="N435" t="s">
        <v>61</v>
      </c>
      <c r="O435" s="3" t="str">
        <f t="shared" si="100"/>
        <v>South</v>
      </c>
      <c r="P435" t="s">
        <v>241</v>
      </c>
      <c r="Q435" t="s">
        <v>242</v>
      </c>
      <c r="R435" t="s">
        <v>29</v>
      </c>
      <c r="S435" s="3" t="str">
        <f t="shared" si="101"/>
        <v>Office Supplies</v>
      </c>
      <c r="T435" t="s">
        <v>53</v>
      </c>
      <c r="U435" t="s">
        <v>2139</v>
      </c>
      <c r="V435" t="s">
        <v>32</v>
      </c>
      <c r="W435" s="3" t="str">
        <f t="shared" si="102"/>
        <v>Second Class</v>
      </c>
      <c r="X435">
        <v>4</v>
      </c>
      <c r="Y435">
        <v>1540.22</v>
      </c>
      <c r="Z435">
        <v>0</v>
      </c>
      <c r="AA435">
        <f t="shared" si="106"/>
        <v>0</v>
      </c>
      <c r="AB435">
        <f t="shared" si="107"/>
        <v>6160.88</v>
      </c>
      <c r="AC435">
        <v>6160.88</v>
      </c>
      <c r="AD435">
        <v>4938.7</v>
      </c>
      <c r="AE435">
        <v>1222.18</v>
      </c>
      <c r="AF435" t="s">
        <v>123</v>
      </c>
      <c r="AG435" t="s">
        <v>124</v>
      </c>
      <c r="AH435" t="str">
        <f t="shared" si="103"/>
        <v>Returned</v>
      </c>
      <c r="AI435" t="str">
        <f t="shared" si="104"/>
        <v>Valid</v>
      </c>
      <c r="AJ435">
        <f t="shared" si="105"/>
        <v>1222.1800000000003</v>
      </c>
      <c r="AK435" s="12">
        <f t="shared" si="108"/>
        <v>0.19837750451234243</v>
      </c>
      <c r="AL435">
        <f t="shared" si="109"/>
        <v>4</v>
      </c>
      <c r="AM435">
        <f t="shared" si="110"/>
        <v>2024</v>
      </c>
      <c r="AN435" t="str">
        <f t="shared" si="111"/>
        <v>Clean</v>
      </c>
    </row>
    <row r="436" spans="1:40">
      <c r="A436" t="s">
        <v>2140</v>
      </c>
      <c r="B436" s="3" t="s">
        <v>2141</v>
      </c>
      <c r="C436" s="10">
        <v>45758</v>
      </c>
      <c r="D436" s="3" t="s">
        <v>2142</v>
      </c>
      <c r="E436" s="10">
        <v>45762</v>
      </c>
      <c r="F436" s="6" t="str">
        <f t="shared" si="96"/>
        <v>Valid</v>
      </c>
      <c r="G436" s="8">
        <f t="shared" si="97"/>
        <v>4</v>
      </c>
      <c r="H436" s="8" t="str">
        <f t="shared" si="98"/>
        <v>Valid</v>
      </c>
      <c r="I436" t="s">
        <v>2143</v>
      </c>
      <c r="J436" t="s">
        <v>39</v>
      </c>
      <c r="K436" t="s">
        <v>39</v>
      </c>
      <c r="L436" t="s">
        <v>114</v>
      </c>
      <c r="M436" s="3" t="str">
        <f t="shared" si="99"/>
        <v>Home Office</v>
      </c>
      <c r="N436" t="s">
        <v>26</v>
      </c>
      <c r="O436" s="3" t="str">
        <f t="shared" si="100"/>
        <v>North</v>
      </c>
      <c r="P436" t="s">
        <v>173</v>
      </c>
      <c r="Q436" t="s">
        <v>174</v>
      </c>
      <c r="R436" t="s">
        <v>85</v>
      </c>
      <c r="S436" s="3" t="str">
        <f t="shared" si="101"/>
        <v>Technology</v>
      </c>
      <c r="T436" t="s">
        <v>86</v>
      </c>
      <c r="U436" t="s">
        <v>2144</v>
      </c>
      <c r="V436" t="s">
        <v>32</v>
      </c>
      <c r="W436" s="3" t="str">
        <f t="shared" si="102"/>
        <v>Second Class</v>
      </c>
      <c r="X436">
        <v>5</v>
      </c>
      <c r="Y436">
        <v>652.78</v>
      </c>
      <c r="Z436">
        <v>0</v>
      </c>
      <c r="AA436">
        <f t="shared" si="106"/>
        <v>0</v>
      </c>
      <c r="AB436">
        <f t="shared" si="107"/>
        <v>3263.8999999999996</v>
      </c>
      <c r="AC436">
        <v>3263.9</v>
      </c>
      <c r="AD436">
        <v>2068.44</v>
      </c>
      <c r="AE436">
        <v>1195.46</v>
      </c>
      <c r="AF436" t="s">
        <v>33</v>
      </c>
      <c r="AG436" t="s">
        <v>34</v>
      </c>
      <c r="AH436" t="str">
        <f t="shared" si="103"/>
        <v>Completed</v>
      </c>
      <c r="AI436" t="str">
        <f t="shared" si="104"/>
        <v>Valid</v>
      </c>
      <c r="AJ436">
        <f t="shared" si="105"/>
        <v>1195.46</v>
      </c>
      <c r="AK436" s="12">
        <f t="shared" si="108"/>
        <v>0.36626734887711027</v>
      </c>
      <c r="AL436">
        <f t="shared" si="109"/>
        <v>4</v>
      </c>
      <c r="AM436">
        <f t="shared" si="110"/>
        <v>2025</v>
      </c>
      <c r="AN436" t="str">
        <f t="shared" si="111"/>
        <v>Clean</v>
      </c>
    </row>
    <row r="437" spans="1:40">
      <c r="A437" t="s">
        <v>2145</v>
      </c>
      <c r="B437" s="3" t="s">
        <v>2146</v>
      </c>
      <c r="C437" s="10">
        <v>45759</v>
      </c>
      <c r="D437" s="3" t="s">
        <v>1027</v>
      </c>
      <c r="E437" s="10">
        <v>45767</v>
      </c>
      <c r="F437" s="6" t="str">
        <f t="shared" si="96"/>
        <v>Valid</v>
      </c>
      <c r="G437" s="8">
        <f t="shared" si="97"/>
        <v>8</v>
      </c>
      <c r="H437" s="8" t="str">
        <f t="shared" si="98"/>
        <v>Valid</v>
      </c>
      <c r="I437" t="s">
        <v>2147</v>
      </c>
      <c r="J437" t="s">
        <v>365</v>
      </c>
      <c r="K437" t="s">
        <v>365</v>
      </c>
      <c r="L437" t="s">
        <v>114</v>
      </c>
      <c r="M437" s="3" t="str">
        <f t="shared" si="99"/>
        <v>Home Office</v>
      </c>
      <c r="N437" t="s">
        <v>26</v>
      </c>
      <c r="O437" s="3" t="str">
        <f t="shared" si="100"/>
        <v>North</v>
      </c>
      <c r="P437" t="s">
        <v>505</v>
      </c>
      <c r="Q437" t="s">
        <v>506</v>
      </c>
      <c r="R437" t="s">
        <v>85</v>
      </c>
      <c r="S437" s="3" t="str">
        <f t="shared" si="101"/>
        <v>Technology</v>
      </c>
      <c r="T437" t="s">
        <v>381</v>
      </c>
      <c r="U437" t="s">
        <v>2148</v>
      </c>
      <c r="V437" t="s">
        <v>66</v>
      </c>
      <c r="W437" s="3" t="str">
        <f t="shared" si="102"/>
        <v>Standard Class</v>
      </c>
      <c r="X437">
        <v>1</v>
      </c>
      <c r="Y437">
        <v>2737.71</v>
      </c>
      <c r="Z437">
        <v>0.15</v>
      </c>
      <c r="AA437">
        <f t="shared" si="106"/>
        <v>0.15</v>
      </c>
      <c r="AB437">
        <f t="shared" si="107"/>
        <v>2327.0535</v>
      </c>
      <c r="AC437">
        <v>2327.0500000000002</v>
      </c>
      <c r="AD437">
        <v>1919.42</v>
      </c>
      <c r="AE437">
        <v>407.63</v>
      </c>
      <c r="AF437" t="s">
        <v>33</v>
      </c>
      <c r="AG437" t="s">
        <v>77</v>
      </c>
      <c r="AH437" t="str">
        <f t="shared" si="103"/>
        <v>Cancelled</v>
      </c>
      <c r="AI437" t="str">
        <f t="shared" si="104"/>
        <v>Valid</v>
      </c>
      <c r="AJ437">
        <f t="shared" si="105"/>
        <v>407.63000000000011</v>
      </c>
      <c r="AK437" s="12">
        <f t="shared" si="108"/>
        <v>0.17517001650370312</v>
      </c>
      <c r="AL437">
        <f t="shared" si="109"/>
        <v>4</v>
      </c>
      <c r="AM437">
        <f t="shared" si="110"/>
        <v>2025</v>
      </c>
      <c r="AN437" t="str">
        <f t="shared" si="111"/>
        <v>Clean</v>
      </c>
    </row>
    <row r="438" spans="1:40">
      <c r="A438" t="s">
        <v>2149</v>
      </c>
      <c r="B438" s="3" t="s">
        <v>2150</v>
      </c>
      <c r="C438" s="10">
        <v>45459</v>
      </c>
      <c r="D438" s="3" t="s">
        <v>2151</v>
      </c>
      <c r="E438" s="10">
        <v>45464</v>
      </c>
      <c r="F438" s="6" t="str">
        <f t="shared" si="96"/>
        <v>Valid</v>
      </c>
      <c r="G438" s="8">
        <f t="shared" si="97"/>
        <v>5</v>
      </c>
      <c r="H438" s="8" t="str">
        <f t="shared" si="98"/>
        <v>Valid</v>
      </c>
      <c r="I438" t="s">
        <v>2152</v>
      </c>
      <c r="J438" t="s">
        <v>92</v>
      </c>
      <c r="K438" t="s">
        <v>92</v>
      </c>
      <c r="L438" t="s">
        <v>25</v>
      </c>
      <c r="M438" s="3" t="str">
        <f t="shared" si="99"/>
        <v>Consumer</v>
      </c>
      <c r="N438" t="s">
        <v>61</v>
      </c>
      <c r="O438" s="3" t="str">
        <f t="shared" si="100"/>
        <v>South</v>
      </c>
      <c r="P438" t="s">
        <v>241</v>
      </c>
      <c r="Q438" t="s">
        <v>242</v>
      </c>
      <c r="R438" t="s">
        <v>44</v>
      </c>
      <c r="S438" s="3" t="str">
        <f t="shared" si="101"/>
        <v>Furniture</v>
      </c>
      <c r="T438" t="s">
        <v>64</v>
      </c>
      <c r="U438" t="s">
        <v>2153</v>
      </c>
      <c r="V438" t="s">
        <v>47</v>
      </c>
      <c r="W438" s="3" t="str">
        <f t="shared" si="102"/>
        <v>Same Day</v>
      </c>
      <c r="X438">
        <v>6</v>
      </c>
      <c r="Y438">
        <v>1156.78</v>
      </c>
      <c r="Z438">
        <v>0.05</v>
      </c>
      <c r="AA438">
        <f t="shared" si="106"/>
        <v>0.05</v>
      </c>
      <c r="AB438">
        <f t="shared" si="107"/>
        <v>6593.6459999999997</v>
      </c>
      <c r="AC438">
        <v>6593.65</v>
      </c>
      <c r="AD438">
        <v>4359.3900000000003</v>
      </c>
      <c r="AE438">
        <v>2234.2600000000002</v>
      </c>
      <c r="AF438" t="s">
        <v>33</v>
      </c>
      <c r="AG438" t="s">
        <v>124</v>
      </c>
      <c r="AH438" t="str">
        <f t="shared" si="103"/>
        <v>Returned</v>
      </c>
      <c r="AI438" t="str">
        <f t="shared" si="104"/>
        <v>Valid</v>
      </c>
      <c r="AJ438">
        <f t="shared" si="105"/>
        <v>2234.2599999999993</v>
      </c>
      <c r="AK438" s="12">
        <f t="shared" si="108"/>
        <v>0.3388504630063548</v>
      </c>
      <c r="AL438">
        <f t="shared" si="109"/>
        <v>6</v>
      </c>
      <c r="AM438">
        <f t="shared" si="110"/>
        <v>2024</v>
      </c>
      <c r="AN438" t="str">
        <f t="shared" si="111"/>
        <v>Clean</v>
      </c>
    </row>
    <row r="439" spans="1:40">
      <c r="A439" t="s">
        <v>2154</v>
      </c>
      <c r="B439" s="3" t="s">
        <v>2155</v>
      </c>
      <c r="C439" s="10">
        <v>45337</v>
      </c>
      <c r="D439" s="3" t="s">
        <v>2156</v>
      </c>
      <c r="E439" s="10">
        <v>45340</v>
      </c>
      <c r="F439" s="6" t="str">
        <f t="shared" si="96"/>
        <v>Valid</v>
      </c>
      <c r="G439" s="8">
        <f t="shared" si="97"/>
        <v>3</v>
      </c>
      <c r="H439" s="8" t="str">
        <f t="shared" si="98"/>
        <v>Valid</v>
      </c>
      <c r="I439" t="s">
        <v>2157</v>
      </c>
      <c r="J439" t="s">
        <v>106</v>
      </c>
      <c r="K439" t="s">
        <v>106</v>
      </c>
      <c r="L439" t="s">
        <v>40</v>
      </c>
      <c r="M439" s="3" t="str">
        <f t="shared" si="99"/>
        <v>Small Business</v>
      </c>
      <c r="N439" t="s">
        <v>61</v>
      </c>
      <c r="O439" s="3" t="str">
        <f t="shared" si="100"/>
        <v>South</v>
      </c>
      <c r="P439" t="s">
        <v>241</v>
      </c>
      <c r="Q439" t="s">
        <v>242</v>
      </c>
      <c r="R439" t="s">
        <v>85</v>
      </c>
      <c r="S439" s="3" t="str">
        <f t="shared" si="101"/>
        <v>Technology</v>
      </c>
      <c r="T439" t="s">
        <v>86</v>
      </c>
      <c r="U439" t="s">
        <v>2158</v>
      </c>
      <c r="V439" t="s">
        <v>47</v>
      </c>
      <c r="W439" s="3" t="str">
        <f t="shared" si="102"/>
        <v>Same Day</v>
      </c>
      <c r="X439">
        <v>8</v>
      </c>
      <c r="Y439">
        <v>379.82</v>
      </c>
      <c r="Z439">
        <v>0.05</v>
      </c>
      <c r="AA439">
        <f t="shared" si="106"/>
        <v>0.05</v>
      </c>
      <c r="AB439">
        <f t="shared" si="107"/>
        <v>2886.6319999999996</v>
      </c>
      <c r="AC439">
        <v>2886.63</v>
      </c>
      <c r="AD439">
        <v>1588.23</v>
      </c>
      <c r="AE439">
        <v>1298.4000000000001</v>
      </c>
      <c r="AF439" t="s">
        <v>199</v>
      </c>
      <c r="AG439" t="s">
        <v>124</v>
      </c>
      <c r="AH439" t="str">
        <f t="shared" si="103"/>
        <v>Returned</v>
      </c>
      <c r="AI439" t="str">
        <f t="shared" si="104"/>
        <v>Valid</v>
      </c>
      <c r="AJ439">
        <f t="shared" si="105"/>
        <v>1298.4000000000001</v>
      </c>
      <c r="AK439" s="12">
        <f t="shared" si="108"/>
        <v>0.44979754953177276</v>
      </c>
      <c r="AL439">
        <f t="shared" si="109"/>
        <v>2</v>
      </c>
      <c r="AM439">
        <f t="shared" si="110"/>
        <v>2024</v>
      </c>
      <c r="AN439" t="str">
        <f t="shared" si="111"/>
        <v>Clean</v>
      </c>
    </row>
    <row r="440" spans="1:40">
      <c r="A440" t="s">
        <v>2159</v>
      </c>
      <c r="B440" s="3" t="s">
        <v>1022</v>
      </c>
      <c r="C440" s="10">
        <v>45784</v>
      </c>
      <c r="D440" s="3" t="s">
        <v>2160</v>
      </c>
      <c r="E440" s="10">
        <v>45782</v>
      </c>
      <c r="F440" s="6" t="str">
        <f t="shared" si="96"/>
        <v>Invalid Shipping Record</v>
      </c>
      <c r="G440" s="8">
        <f t="shared" si="97"/>
        <v>-2</v>
      </c>
      <c r="H440" s="8" t="str">
        <f t="shared" si="98"/>
        <v>Invalid Shipping Record</v>
      </c>
      <c r="I440" t="s">
        <v>2161</v>
      </c>
      <c r="J440" t="s">
        <v>92</v>
      </c>
      <c r="K440" t="s">
        <v>92</v>
      </c>
      <c r="L440" t="s">
        <v>107</v>
      </c>
      <c r="M440" s="3" t="str">
        <f t="shared" si="99"/>
        <v>Corporate</v>
      </c>
      <c r="N440" t="s">
        <v>41</v>
      </c>
      <c r="O440" s="3" t="str">
        <f t="shared" si="100"/>
        <v>East</v>
      </c>
      <c r="P440" t="s">
        <v>310</v>
      </c>
      <c r="Q440" t="s">
        <v>311</v>
      </c>
      <c r="R440" t="s">
        <v>85</v>
      </c>
      <c r="S440" s="3" t="str">
        <f t="shared" si="101"/>
        <v>Technology</v>
      </c>
      <c r="T440" t="s">
        <v>222</v>
      </c>
      <c r="U440" t="s">
        <v>2162</v>
      </c>
      <c r="V440" t="s">
        <v>66</v>
      </c>
      <c r="W440" s="3" t="str">
        <f t="shared" si="102"/>
        <v>Standard Class</v>
      </c>
      <c r="X440">
        <v>1</v>
      </c>
      <c r="Y440">
        <v>2266.4699999999998</v>
      </c>
      <c r="Z440">
        <v>0.2</v>
      </c>
      <c r="AA440">
        <f t="shared" si="106"/>
        <v>0.2</v>
      </c>
      <c r="AB440">
        <f t="shared" si="107"/>
        <v>1813.1759999999999</v>
      </c>
      <c r="AC440">
        <v>1813.18</v>
      </c>
      <c r="AD440">
        <v>1363.64</v>
      </c>
      <c r="AE440">
        <v>449.54</v>
      </c>
      <c r="AF440" t="s">
        <v>33</v>
      </c>
      <c r="AG440" t="s">
        <v>34</v>
      </c>
      <c r="AH440" t="str">
        <f t="shared" si="103"/>
        <v>Completed</v>
      </c>
      <c r="AI440" t="str">
        <f t="shared" si="104"/>
        <v>Valid</v>
      </c>
      <c r="AJ440">
        <f t="shared" si="105"/>
        <v>449.53999999999996</v>
      </c>
      <c r="AK440" s="12">
        <f t="shared" si="108"/>
        <v>0.24792959977409804</v>
      </c>
      <c r="AL440">
        <f t="shared" si="109"/>
        <v>5</v>
      </c>
      <c r="AM440">
        <f t="shared" si="110"/>
        <v>2025</v>
      </c>
      <c r="AN440" t="str">
        <f t="shared" si="111"/>
        <v>Invalid</v>
      </c>
    </row>
    <row r="441" spans="1:40">
      <c r="A441" t="s">
        <v>2163</v>
      </c>
      <c r="B441" s="3" t="s">
        <v>2164</v>
      </c>
      <c r="C441" s="10">
        <v>45838</v>
      </c>
      <c r="D441" s="3" t="s">
        <v>2165</v>
      </c>
      <c r="E441" s="10">
        <v>45841</v>
      </c>
      <c r="F441" s="6" t="str">
        <f t="shared" si="96"/>
        <v>Valid</v>
      </c>
      <c r="G441" s="8">
        <f t="shared" si="97"/>
        <v>3</v>
      </c>
      <c r="H441" s="8" t="str">
        <f t="shared" si="98"/>
        <v>Valid</v>
      </c>
      <c r="I441" t="s">
        <v>2166</v>
      </c>
      <c r="J441" t="s">
        <v>161</v>
      </c>
      <c r="K441" t="s">
        <v>161</v>
      </c>
      <c r="L441" t="s">
        <v>114</v>
      </c>
      <c r="M441" s="3" t="str">
        <f t="shared" si="99"/>
        <v>Home Office</v>
      </c>
      <c r="N441" t="s">
        <v>72</v>
      </c>
      <c r="O441" s="3" t="str">
        <f t="shared" si="100"/>
        <v>West</v>
      </c>
      <c r="P441" t="s">
        <v>248</v>
      </c>
      <c r="Q441" t="s">
        <v>249</v>
      </c>
      <c r="R441" t="s">
        <v>29</v>
      </c>
      <c r="S441" s="3" t="str">
        <f t="shared" si="101"/>
        <v>Office Supplies</v>
      </c>
      <c r="T441" t="s">
        <v>155</v>
      </c>
      <c r="U441" t="s">
        <v>2167</v>
      </c>
      <c r="V441" t="s">
        <v>47</v>
      </c>
      <c r="W441" s="3" t="str">
        <f t="shared" si="102"/>
        <v>Same Day</v>
      </c>
      <c r="X441">
        <v>5</v>
      </c>
      <c r="Y441">
        <v>665.25</v>
      </c>
      <c r="Z441">
        <v>0</v>
      </c>
      <c r="AA441">
        <f t="shared" si="106"/>
        <v>0</v>
      </c>
      <c r="AB441">
        <f t="shared" si="107"/>
        <v>3326.25</v>
      </c>
      <c r="AC441">
        <v>3326.25</v>
      </c>
      <c r="AD441">
        <v>2689.36</v>
      </c>
      <c r="AE441">
        <v>636.89</v>
      </c>
      <c r="AF441" t="s">
        <v>123</v>
      </c>
      <c r="AG441" t="s">
        <v>124</v>
      </c>
      <c r="AH441" t="str">
        <f t="shared" si="103"/>
        <v>Returned</v>
      </c>
      <c r="AI441" t="str">
        <f t="shared" si="104"/>
        <v>Valid</v>
      </c>
      <c r="AJ441">
        <f t="shared" si="105"/>
        <v>636.88999999999987</v>
      </c>
      <c r="AK441" s="12">
        <f t="shared" si="108"/>
        <v>0.19147388199924836</v>
      </c>
      <c r="AL441">
        <f t="shared" si="109"/>
        <v>6</v>
      </c>
      <c r="AM441">
        <f t="shared" si="110"/>
        <v>2025</v>
      </c>
      <c r="AN441" t="str">
        <f t="shared" si="111"/>
        <v>Clean</v>
      </c>
    </row>
    <row r="442" spans="1:40">
      <c r="A442" t="s">
        <v>2168</v>
      </c>
      <c r="B442" s="3" t="s">
        <v>2169</v>
      </c>
      <c r="C442" s="10">
        <v>45384</v>
      </c>
      <c r="D442" s="3" t="s">
        <v>2170</v>
      </c>
      <c r="E442" s="10">
        <v>45390</v>
      </c>
      <c r="F442" s="6" t="str">
        <f t="shared" si="96"/>
        <v>Valid</v>
      </c>
      <c r="G442" s="8">
        <f t="shared" si="97"/>
        <v>6</v>
      </c>
      <c r="H442" s="8" t="str">
        <f t="shared" si="98"/>
        <v>Valid</v>
      </c>
      <c r="I442" t="s">
        <v>375</v>
      </c>
      <c r="J442" t="s">
        <v>82</v>
      </c>
      <c r="K442" t="s">
        <v>82</v>
      </c>
      <c r="L442" t="s">
        <v>107</v>
      </c>
      <c r="M442" s="3" t="str">
        <f t="shared" si="99"/>
        <v>Corporate</v>
      </c>
      <c r="N442" t="s">
        <v>41</v>
      </c>
      <c r="O442" s="3" t="str">
        <f t="shared" si="100"/>
        <v>East</v>
      </c>
      <c r="P442" t="s">
        <v>42</v>
      </c>
      <c r="Q442" t="s">
        <v>43</v>
      </c>
      <c r="R442" t="s">
        <v>85</v>
      </c>
      <c r="S442" s="3" t="str">
        <f t="shared" si="101"/>
        <v>Technology</v>
      </c>
      <c r="T442" t="s">
        <v>381</v>
      </c>
      <c r="U442" t="s">
        <v>2171</v>
      </c>
      <c r="V442" t="s">
        <v>32</v>
      </c>
      <c r="W442" s="3" t="str">
        <f t="shared" si="102"/>
        <v>Second Class</v>
      </c>
      <c r="X442">
        <v>6</v>
      </c>
      <c r="Y442">
        <v>3722.84</v>
      </c>
      <c r="Z442">
        <v>0.2</v>
      </c>
      <c r="AA442">
        <f t="shared" si="106"/>
        <v>0.2</v>
      </c>
      <c r="AB442">
        <f t="shared" si="107"/>
        <v>17869.632000000001</v>
      </c>
      <c r="AC442">
        <v>17869.63</v>
      </c>
      <c r="AD442">
        <v>12163.8</v>
      </c>
      <c r="AE442">
        <v>5705.83</v>
      </c>
      <c r="AF442" t="s">
        <v>33</v>
      </c>
      <c r="AG442" t="s">
        <v>34</v>
      </c>
      <c r="AH442" t="str">
        <f t="shared" si="103"/>
        <v>Completed</v>
      </c>
      <c r="AI442" t="str">
        <f t="shared" si="104"/>
        <v>Valid</v>
      </c>
      <c r="AJ442">
        <f t="shared" si="105"/>
        <v>5705.8300000000017</v>
      </c>
      <c r="AK442" s="12">
        <f t="shared" si="108"/>
        <v>0.31930316192297642</v>
      </c>
      <c r="AL442">
        <f t="shared" si="109"/>
        <v>4</v>
      </c>
      <c r="AM442">
        <f t="shared" si="110"/>
        <v>2024</v>
      </c>
      <c r="AN442" t="str">
        <f t="shared" si="111"/>
        <v>Clean</v>
      </c>
    </row>
    <row r="443" spans="1:40">
      <c r="A443" t="s">
        <v>2172</v>
      </c>
      <c r="B443" s="3" t="s">
        <v>2173</v>
      </c>
      <c r="C443" s="10">
        <v>45568</v>
      </c>
      <c r="D443" s="3" t="s">
        <v>524</v>
      </c>
      <c r="E443" s="10">
        <v>45568</v>
      </c>
      <c r="F443" s="6" t="str">
        <f t="shared" si="96"/>
        <v>Valid</v>
      </c>
      <c r="G443" s="8">
        <f t="shared" si="97"/>
        <v>0</v>
      </c>
      <c r="H443" s="8" t="str">
        <f t="shared" si="98"/>
        <v>Valid</v>
      </c>
      <c r="I443" t="s">
        <v>2174</v>
      </c>
      <c r="J443" t="s">
        <v>24</v>
      </c>
      <c r="K443" t="s">
        <v>24</v>
      </c>
      <c r="L443" t="s">
        <v>25</v>
      </c>
      <c r="M443" s="3" t="str">
        <f t="shared" si="99"/>
        <v>Consumer</v>
      </c>
      <c r="N443" t="s">
        <v>41</v>
      </c>
      <c r="O443" s="3" t="str">
        <f t="shared" si="100"/>
        <v>East</v>
      </c>
      <c r="P443" t="s">
        <v>185</v>
      </c>
      <c r="Q443" t="s">
        <v>186</v>
      </c>
      <c r="R443" t="s">
        <v>44</v>
      </c>
      <c r="S443" s="3" t="str">
        <f t="shared" si="101"/>
        <v>Furniture</v>
      </c>
      <c r="T443" t="s">
        <v>203</v>
      </c>
      <c r="U443" t="s">
        <v>2175</v>
      </c>
      <c r="V443" t="s">
        <v>66</v>
      </c>
      <c r="W443" s="3" t="str">
        <f t="shared" si="102"/>
        <v>Standard Class</v>
      </c>
      <c r="X443">
        <v>6</v>
      </c>
      <c r="Y443">
        <v>4217.49</v>
      </c>
      <c r="Z443">
        <v>0</v>
      </c>
      <c r="AA443">
        <f t="shared" si="106"/>
        <v>0</v>
      </c>
      <c r="AB443">
        <f t="shared" si="107"/>
        <v>25304.94</v>
      </c>
      <c r="AC443">
        <v>25304.94</v>
      </c>
      <c r="AD443">
        <v>20771.95</v>
      </c>
      <c r="AE443">
        <v>4532.99</v>
      </c>
      <c r="AF443" t="s">
        <v>33</v>
      </c>
      <c r="AG443" t="s">
        <v>77</v>
      </c>
      <c r="AH443" t="str">
        <f t="shared" si="103"/>
        <v>Cancelled</v>
      </c>
      <c r="AI443" t="str">
        <f t="shared" si="104"/>
        <v>Valid</v>
      </c>
      <c r="AJ443">
        <f t="shared" si="105"/>
        <v>4532.989999999998</v>
      </c>
      <c r="AK443" s="12">
        <f t="shared" si="108"/>
        <v>0.17913458795002077</v>
      </c>
      <c r="AL443">
        <f t="shared" si="109"/>
        <v>10</v>
      </c>
      <c r="AM443">
        <f t="shared" si="110"/>
        <v>2024</v>
      </c>
      <c r="AN443" t="str">
        <f t="shared" si="111"/>
        <v>Clean</v>
      </c>
    </row>
    <row r="444" spans="1:40">
      <c r="A444" t="s">
        <v>2176</v>
      </c>
      <c r="B444" s="3" t="s">
        <v>2177</v>
      </c>
      <c r="C444" s="10">
        <v>45669</v>
      </c>
      <c r="D444" s="3" t="s">
        <v>2178</v>
      </c>
      <c r="E444" s="10">
        <v>45676</v>
      </c>
      <c r="F444" s="6" t="str">
        <f t="shared" si="96"/>
        <v>Valid</v>
      </c>
      <c r="G444" s="8">
        <f t="shared" si="97"/>
        <v>7</v>
      </c>
      <c r="H444" s="8" t="str">
        <f t="shared" si="98"/>
        <v>Valid</v>
      </c>
      <c r="I444" t="s">
        <v>2179</v>
      </c>
      <c r="J444" t="s">
        <v>161</v>
      </c>
      <c r="K444" t="s">
        <v>161</v>
      </c>
      <c r="L444" t="s">
        <v>25</v>
      </c>
      <c r="M444" s="3" t="str">
        <f t="shared" si="99"/>
        <v>Consumer</v>
      </c>
      <c r="N444" t="s">
        <v>41</v>
      </c>
      <c r="O444" s="3" t="str">
        <f t="shared" si="100"/>
        <v>East</v>
      </c>
      <c r="P444" t="s">
        <v>310</v>
      </c>
      <c r="Q444" t="s">
        <v>311</v>
      </c>
      <c r="R444" t="s">
        <v>44</v>
      </c>
      <c r="S444" s="3" t="str">
        <f t="shared" si="101"/>
        <v>Furniture</v>
      </c>
      <c r="T444" t="s">
        <v>45</v>
      </c>
      <c r="U444" t="s">
        <v>2180</v>
      </c>
      <c r="V444" t="s">
        <v>55</v>
      </c>
      <c r="W444" s="3" t="str">
        <f t="shared" si="102"/>
        <v>First Class</v>
      </c>
      <c r="X444">
        <v>1</v>
      </c>
      <c r="Y444">
        <v>1842.31</v>
      </c>
      <c r="Z444">
        <v>0</v>
      </c>
      <c r="AA444">
        <f t="shared" si="106"/>
        <v>0</v>
      </c>
      <c r="AB444">
        <f t="shared" si="107"/>
        <v>1842.31</v>
      </c>
      <c r="AC444">
        <v>1842.31</v>
      </c>
      <c r="AD444">
        <v>1019.17</v>
      </c>
      <c r="AE444">
        <v>823.14</v>
      </c>
      <c r="AF444" t="s">
        <v>33</v>
      </c>
      <c r="AG444" t="s">
        <v>34</v>
      </c>
      <c r="AH444" t="str">
        <f t="shared" si="103"/>
        <v>Completed</v>
      </c>
      <c r="AI444" t="str">
        <f t="shared" si="104"/>
        <v>Valid</v>
      </c>
      <c r="AJ444">
        <f t="shared" si="105"/>
        <v>823.14</v>
      </c>
      <c r="AK444" s="12">
        <f t="shared" si="108"/>
        <v>0.44679777019068451</v>
      </c>
      <c r="AL444">
        <f t="shared" si="109"/>
        <v>1</v>
      </c>
      <c r="AM444">
        <f t="shared" si="110"/>
        <v>2025</v>
      </c>
      <c r="AN444" t="str">
        <f t="shared" si="111"/>
        <v>Clean</v>
      </c>
    </row>
    <row r="445" spans="1:40">
      <c r="A445" t="s">
        <v>2181</v>
      </c>
      <c r="B445" s="3" t="s">
        <v>2182</v>
      </c>
      <c r="C445" s="10">
        <v>45386</v>
      </c>
      <c r="D445" s="3" t="s">
        <v>1893</v>
      </c>
      <c r="E445" s="10">
        <v>45389</v>
      </c>
      <c r="F445" s="6" t="str">
        <f t="shared" si="96"/>
        <v>Valid</v>
      </c>
      <c r="G445" s="8">
        <f t="shared" si="97"/>
        <v>3</v>
      </c>
      <c r="H445" s="8" t="str">
        <f t="shared" si="98"/>
        <v>Valid</v>
      </c>
      <c r="I445" t="s">
        <v>2183</v>
      </c>
      <c r="J445" t="s">
        <v>179</v>
      </c>
      <c r="K445" t="s">
        <v>179</v>
      </c>
      <c r="L445" t="s">
        <v>114</v>
      </c>
      <c r="M445" s="3" t="str">
        <f t="shared" si="99"/>
        <v>Home Office</v>
      </c>
      <c r="N445" t="s">
        <v>41</v>
      </c>
      <c r="O445" s="3" t="str">
        <f t="shared" si="100"/>
        <v>East</v>
      </c>
      <c r="P445" t="s">
        <v>42</v>
      </c>
      <c r="Q445" t="s">
        <v>43</v>
      </c>
      <c r="R445" t="s">
        <v>44</v>
      </c>
      <c r="S445" s="3" t="str">
        <f t="shared" si="101"/>
        <v>Furniture</v>
      </c>
      <c r="T445" t="s">
        <v>64</v>
      </c>
      <c r="U445" t="s">
        <v>2184</v>
      </c>
      <c r="V445" t="s">
        <v>55</v>
      </c>
      <c r="W445" s="3" t="str">
        <f t="shared" si="102"/>
        <v>First Class</v>
      </c>
      <c r="X445">
        <v>1</v>
      </c>
      <c r="Y445">
        <v>3683.75</v>
      </c>
      <c r="Z445">
        <v>0.1</v>
      </c>
      <c r="AA445">
        <f t="shared" si="106"/>
        <v>0.1</v>
      </c>
      <c r="AB445">
        <f t="shared" si="107"/>
        <v>3315.375</v>
      </c>
      <c r="AC445">
        <v>3315.38</v>
      </c>
      <c r="AD445">
        <v>2347.6799999999998</v>
      </c>
      <c r="AE445">
        <v>967.7</v>
      </c>
      <c r="AF445" t="s">
        <v>33</v>
      </c>
      <c r="AG445" t="s">
        <v>34</v>
      </c>
      <c r="AH445" t="str">
        <f t="shared" si="103"/>
        <v>Completed</v>
      </c>
      <c r="AI445" t="str">
        <f t="shared" si="104"/>
        <v>Valid</v>
      </c>
      <c r="AJ445">
        <f t="shared" si="105"/>
        <v>967.70000000000027</v>
      </c>
      <c r="AK445" s="12">
        <f t="shared" si="108"/>
        <v>0.29188251706066443</v>
      </c>
      <c r="AL445">
        <f t="shared" si="109"/>
        <v>4</v>
      </c>
      <c r="AM445">
        <f t="shared" si="110"/>
        <v>2024</v>
      </c>
      <c r="AN445" t="str">
        <f t="shared" si="111"/>
        <v>Clean</v>
      </c>
    </row>
    <row r="446" spans="1:40">
      <c r="A446" t="s">
        <v>2185</v>
      </c>
      <c r="B446" s="3" t="s">
        <v>2186</v>
      </c>
      <c r="C446" s="10">
        <v>45881</v>
      </c>
      <c r="D446" s="3" t="s">
        <v>1858</v>
      </c>
      <c r="E446" s="10">
        <v>45885</v>
      </c>
      <c r="F446" s="6" t="str">
        <f t="shared" si="96"/>
        <v>Valid</v>
      </c>
      <c r="G446" s="8">
        <f t="shared" si="97"/>
        <v>4</v>
      </c>
      <c r="H446" s="8" t="str">
        <f t="shared" si="98"/>
        <v>Valid</v>
      </c>
      <c r="I446" t="s">
        <v>2187</v>
      </c>
      <c r="J446" t="s">
        <v>71</v>
      </c>
      <c r="K446" t="s">
        <v>71</v>
      </c>
      <c r="L446" t="s">
        <v>25</v>
      </c>
      <c r="M446" s="3" t="str">
        <f t="shared" si="99"/>
        <v>Consumer</v>
      </c>
      <c r="N446" t="s">
        <v>41</v>
      </c>
      <c r="O446" s="3" t="str">
        <f t="shared" si="100"/>
        <v>East</v>
      </c>
      <c r="P446" t="s">
        <v>215</v>
      </c>
      <c r="Q446" t="s">
        <v>216</v>
      </c>
      <c r="R446" t="s">
        <v>85</v>
      </c>
      <c r="S446" s="3" t="str">
        <f t="shared" si="101"/>
        <v>Technology</v>
      </c>
      <c r="T446" t="s">
        <v>86</v>
      </c>
      <c r="U446" t="s">
        <v>2188</v>
      </c>
      <c r="V446" t="s">
        <v>47</v>
      </c>
      <c r="W446" s="3" t="str">
        <f t="shared" si="102"/>
        <v>Same Day</v>
      </c>
      <c r="X446">
        <v>9</v>
      </c>
      <c r="Y446">
        <v>2379.2399999999998</v>
      </c>
      <c r="Z446">
        <v>0.05</v>
      </c>
      <c r="AA446">
        <f t="shared" si="106"/>
        <v>0.05</v>
      </c>
      <c r="AB446">
        <f t="shared" si="107"/>
        <v>20342.501999999997</v>
      </c>
      <c r="AC446">
        <v>20342.5</v>
      </c>
      <c r="AD446">
        <v>12407.51</v>
      </c>
      <c r="AE446">
        <v>7934.99</v>
      </c>
      <c r="AF446" t="s">
        <v>33</v>
      </c>
      <c r="AG446" t="s">
        <v>34</v>
      </c>
      <c r="AH446" t="str">
        <f t="shared" si="103"/>
        <v>Completed</v>
      </c>
      <c r="AI446" t="str">
        <f t="shared" si="104"/>
        <v>Valid</v>
      </c>
      <c r="AJ446">
        <f t="shared" si="105"/>
        <v>7934.99</v>
      </c>
      <c r="AK446" s="12">
        <f t="shared" si="108"/>
        <v>0.39006952045525184</v>
      </c>
      <c r="AL446">
        <f t="shared" si="109"/>
        <v>8</v>
      </c>
      <c r="AM446">
        <f t="shared" si="110"/>
        <v>2025</v>
      </c>
      <c r="AN446" t="str">
        <f t="shared" si="111"/>
        <v>Clean</v>
      </c>
    </row>
    <row r="447" spans="1:40">
      <c r="A447" t="s">
        <v>2189</v>
      </c>
      <c r="B447" s="3" t="s">
        <v>2190</v>
      </c>
      <c r="C447" s="10">
        <v>45421</v>
      </c>
      <c r="D447" s="3" t="s">
        <v>2191</v>
      </c>
      <c r="E447" s="10">
        <v>45417</v>
      </c>
      <c r="F447" s="6" t="str">
        <f t="shared" si="96"/>
        <v>Invalid Shipping Record</v>
      </c>
      <c r="G447" s="8">
        <f t="shared" si="97"/>
        <v>-4</v>
      </c>
      <c r="H447" s="8" t="str">
        <f t="shared" si="98"/>
        <v>Invalid Shipping Record</v>
      </c>
      <c r="I447" t="s">
        <v>2192</v>
      </c>
      <c r="J447" t="s">
        <v>60</v>
      </c>
      <c r="K447" t="s">
        <v>60</v>
      </c>
      <c r="L447" t="s">
        <v>25</v>
      </c>
      <c r="M447" s="3" t="str">
        <f t="shared" si="99"/>
        <v>Consumer</v>
      </c>
      <c r="N447" t="s">
        <v>41</v>
      </c>
      <c r="O447" s="3" t="str">
        <f t="shared" si="100"/>
        <v>East</v>
      </c>
      <c r="P447" t="s">
        <v>215</v>
      </c>
      <c r="Q447" t="s">
        <v>216</v>
      </c>
      <c r="R447" t="s">
        <v>44</v>
      </c>
      <c r="S447" s="3" t="str">
        <f t="shared" si="101"/>
        <v>Furniture</v>
      </c>
      <c r="T447" t="s">
        <v>203</v>
      </c>
      <c r="U447" t="s">
        <v>2193</v>
      </c>
      <c r="V447" t="s">
        <v>47</v>
      </c>
      <c r="W447" s="3" t="str">
        <f t="shared" si="102"/>
        <v>Same Day</v>
      </c>
      <c r="X447">
        <v>2</v>
      </c>
      <c r="Y447">
        <v>2111.23</v>
      </c>
      <c r="Z447">
        <v>0.2</v>
      </c>
      <c r="AA447">
        <f t="shared" si="106"/>
        <v>0.2</v>
      </c>
      <c r="AB447">
        <f t="shared" si="107"/>
        <v>3377.9680000000003</v>
      </c>
      <c r="AC447">
        <v>3377.97</v>
      </c>
      <c r="AD447">
        <v>2496.29</v>
      </c>
      <c r="AE447">
        <v>881.68</v>
      </c>
      <c r="AF447" t="s">
        <v>33</v>
      </c>
      <c r="AG447" t="s">
        <v>34</v>
      </c>
      <c r="AH447" t="str">
        <f t="shared" si="103"/>
        <v>Completed</v>
      </c>
      <c r="AI447" t="str">
        <f t="shared" si="104"/>
        <v>Valid</v>
      </c>
      <c r="AJ447">
        <f t="shared" si="105"/>
        <v>881.67999999999984</v>
      </c>
      <c r="AK447" s="12">
        <f t="shared" si="108"/>
        <v>0.26100898528346028</v>
      </c>
      <c r="AL447">
        <f t="shared" si="109"/>
        <v>5</v>
      </c>
      <c r="AM447">
        <f t="shared" si="110"/>
        <v>2024</v>
      </c>
      <c r="AN447" t="str">
        <f t="shared" si="111"/>
        <v>Invalid</v>
      </c>
    </row>
    <row r="448" spans="1:40">
      <c r="A448" t="s">
        <v>2194</v>
      </c>
      <c r="B448" s="3" t="s">
        <v>2195</v>
      </c>
      <c r="C448" s="10">
        <v>45918</v>
      </c>
      <c r="D448" s="3" t="s">
        <v>2196</v>
      </c>
      <c r="E448" s="10">
        <v>45919</v>
      </c>
      <c r="F448" s="6" t="str">
        <f t="shared" si="96"/>
        <v>Valid</v>
      </c>
      <c r="G448" s="8">
        <f t="shared" si="97"/>
        <v>1</v>
      </c>
      <c r="H448" s="8" t="str">
        <f t="shared" si="98"/>
        <v>Valid</v>
      </c>
      <c r="I448" t="s">
        <v>2197</v>
      </c>
      <c r="J448" t="s">
        <v>167</v>
      </c>
      <c r="K448" t="s">
        <v>167</v>
      </c>
      <c r="L448" t="s">
        <v>114</v>
      </c>
      <c r="M448" s="3" t="str">
        <f t="shared" si="99"/>
        <v>Home Office</v>
      </c>
      <c r="N448" t="s">
        <v>61</v>
      </c>
      <c r="O448" s="3" t="str">
        <f t="shared" si="100"/>
        <v>South</v>
      </c>
      <c r="P448" t="s">
        <v>99</v>
      </c>
      <c r="Q448" t="s">
        <v>100</v>
      </c>
      <c r="R448" t="s">
        <v>29</v>
      </c>
      <c r="S448" s="3" t="str">
        <f t="shared" si="101"/>
        <v>Office Supplies</v>
      </c>
      <c r="T448" t="s">
        <v>155</v>
      </c>
      <c r="U448" t="s">
        <v>2198</v>
      </c>
      <c r="V448" t="s">
        <v>47</v>
      </c>
      <c r="W448" s="3" t="str">
        <f t="shared" si="102"/>
        <v>Same Day</v>
      </c>
      <c r="X448">
        <v>8</v>
      </c>
      <c r="Y448">
        <v>4242.51</v>
      </c>
      <c r="Z448">
        <v>0</v>
      </c>
      <c r="AA448">
        <f t="shared" si="106"/>
        <v>0</v>
      </c>
      <c r="AB448">
        <f t="shared" si="107"/>
        <v>33940.080000000002</v>
      </c>
      <c r="AC448">
        <v>33940.080000000002</v>
      </c>
      <c r="AD448">
        <v>23754.19</v>
      </c>
      <c r="AE448">
        <v>10185.89</v>
      </c>
      <c r="AF448" t="s">
        <v>33</v>
      </c>
      <c r="AG448" t="s">
        <v>34</v>
      </c>
      <c r="AH448" t="str">
        <f t="shared" si="103"/>
        <v>Completed</v>
      </c>
      <c r="AI448" t="str">
        <f t="shared" si="104"/>
        <v>Valid</v>
      </c>
      <c r="AJ448">
        <f t="shared" si="105"/>
        <v>10185.890000000003</v>
      </c>
      <c r="AK448" s="12">
        <f t="shared" si="108"/>
        <v>0.30011390662603044</v>
      </c>
      <c r="AL448">
        <f t="shared" si="109"/>
        <v>9</v>
      </c>
      <c r="AM448">
        <f t="shared" si="110"/>
        <v>2025</v>
      </c>
      <c r="AN448" t="str">
        <f t="shared" si="111"/>
        <v>Clean</v>
      </c>
    </row>
    <row r="449" spans="1:40">
      <c r="A449" t="s">
        <v>2199</v>
      </c>
      <c r="B449" s="3" t="s">
        <v>943</v>
      </c>
      <c r="C449" s="10">
        <v>45879</v>
      </c>
      <c r="D449" s="3" t="s">
        <v>2200</v>
      </c>
      <c r="E449" s="10">
        <v>45879</v>
      </c>
      <c r="F449" s="6" t="str">
        <f t="shared" si="96"/>
        <v>Valid</v>
      </c>
      <c r="G449" s="8">
        <f t="shared" si="97"/>
        <v>0</v>
      </c>
      <c r="H449" s="8" t="str">
        <f t="shared" si="98"/>
        <v>Valid</v>
      </c>
      <c r="I449" t="s">
        <v>2201</v>
      </c>
      <c r="J449" t="s">
        <v>179</v>
      </c>
      <c r="K449" t="s">
        <v>179</v>
      </c>
      <c r="L449" t="s">
        <v>114</v>
      </c>
      <c r="M449" s="3" t="str">
        <f t="shared" si="99"/>
        <v>Home Office</v>
      </c>
      <c r="N449" t="s">
        <v>61</v>
      </c>
      <c r="O449" s="3" t="str">
        <f t="shared" si="100"/>
        <v>South</v>
      </c>
      <c r="P449" t="s">
        <v>62</v>
      </c>
      <c r="Q449" t="s">
        <v>63</v>
      </c>
      <c r="R449" t="s">
        <v>44</v>
      </c>
      <c r="S449" s="3" t="str">
        <f t="shared" si="101"/>
        <v>Furniture</v>
      </c>
      <c r="T449" t="s">
        <v>203</v>
      </c>
      <c r="U449" t="s">
        <v>2202</v>
      </c>
      <c r="V449" t="s">
        <v>66</v>
      </c>
      <c r="W449" s="3" t="str">
        <f t="shared" si="102"/>
        <v>Standard Class</v>
      </c>
      <c r="X449">
        <v>6</v>
      </c>
      <c r="Y449">
        <v>4288.7</v>
      </c>
      <c r="Z449">
        <v>0.15</v>
      </c>
      <c r="AA449">
        <f t="shared" si="106"/>
        <v>0.15</v>
      </c>
      <c r="AB449">
        <f t="shared" si="107"/>
        <v>21872.369999999995</v>
      </c>
      <c r="AC449">
        <v>21872.37</v>
      </c>
      <c r="AD449">
        <v>13829.5</v>
      </c>
      <c r="AE449">
        <v>8042.87</v>
      </c>
      <c r="AF449" t="s">
        <v>136</v>
      </c>
      <c r="AG449" t="s">
        <v>124</v>
      </c>
      <c r="AH449" t="str">
        <f t="shared" si="103"/>
        <v>Returned</v>
      </c>
      <c r="AI449" t="str">
        <f t="shared" si="104"/>
        <v>Valid</v>
      </c>
      <c r="AJ449">
        <f t="shared" si="105"/>
        <v>8042.869999999999</v>
      </c>
      <c r="AK449" s="12">
        <f t="shared" si="108"/>
        <v>0.36771826738483304</v>
      </c>
      <c r="AL449">
        <f t="shared" si="109"/>
        <v>8</v>
      </c>
      <c r="AM449">
        <f t="shared" si="110"/>
        <v>2025</v>
      </c>
      <c r="AN449" t="str">
        <f t="shared" si="111"/>
        <v>Clean</v>
      </c>
    </row>
    <row r="450" spans="1:40">
      <c r="A450" t="s">
        <v>2203</v>
      </c>
      <c r="B450" s="3" t="s">
        <v>2204</v>
      </c>
      <c r="C450" s="10">
        <v>45306</v>
      </c>
      <c r="D450" s="3" t="s">
        <v>326</v>
      </c>
      <c r="E450" s="10">
        <v>45309</v>
      </c>
      <c r="F450" s="6" t="str">
        <f t="shared" ref="F450:F513" si="112">IF(E450&lt;C450,"Invalid Shipping Record","Valid")</f>
        <v>Valid</v>
      </c>
      <c r="G450" s="8">
        <f t="shared" ref="G450:G513" si="113">E450-C450</f>
        <v>3</v>
      </c>
      <c r="H450" s="8" t="str">
        <f t="shared" ref="H450:H513" si="114">IF(OR(C450="",E450=""),"Missing Date",IF(OR(NOT(ISNUMBER(C450)),NOT(ISNUMBER(E450))),"Invalid Date",IF(E450&lt;C450,"Invalid Shipping Record","Valid")))</f>
        <v>Valid</v>
      </c>
      <c r="I450" t="s">
        <v>2205</v>
      </c>
      <c r="J450" t="s">
        <v>39</v>
      </c>
      <c r="K450" t="s">
        <v>39</v>
      </c>
      <c r="L450" t="s">
        <v>40</v>
      </c>
      <c r="M450" s="3" t="str">
        <f t="shared" ref="M450:M513" si="115">PROPER(TRIM(L450))</f>
        <v>Small Business</v>
      </c>
      <c r="N450" t="s">
        <v>61</v>
      </c>
      <c r="O450" s="3" t="str">
        <f t="shared" ref="O450:O513" si="116">IF(TRIM(N450)="","Unknown",PROPER(TRIM(N450)))</f>
        <v>South</v>
      </c>
      <c r="P450" t="s">
        <v>99</v>
      </c>
      <c r="Q450" t="s">
        <v>100</v>
      </c>
      <c r="R450" t="s">
        <v>44</v>
      </c>
      <c r="S450" s="3" t="str">
        <f t="shared" ref="S450:S513" si="117">PROPER(TRIM(R450))</f>
        <v>Furniture</v>
      </c>
      <c r="T450" t="s">
        <v>75</v>
      </c>
      <c r="U450" t="s">
        <v>2206</v>
      </c>
      <c r="V450" t="s">
        <v>55</v>
      </c>
      <c r="W450" s="3" t="str">
        <f t="shared" ref="W450:W513" si="118">IF(TRIM(V450)="","Unknown",PROPER(TRIM(V450)))</f>
        <v>First Class</v>
      </c>
      <c r="X450">
        <v>2</v>
      </c>
      <c r="Y450">
        <v>201.21</v>
      </c>
      <c r="Z450">
        <v>0.15</v>
      </c>
      <c r="AA450">
        <f t="shared" si="106"/>
        <v>0.15</v>
      </c>
      <c r="AB450">
        <f t="shared" si="107"/>
        <v>342.05700000000002</v>
      </c>
      <c r="AC450">
        <v>342.06</v>
      </c>
      <c r="AD450">
        <v>244.57</v>
      </c>
      <c r="AE450">
        <v>97.49</v>
      </c>
      <c r="AF450" t="s">
        <v>33</v>
      </c>
      <c r="AG450" t="s">
        <v>34</v>
      </c>
      <c r="AH450" t="str">
        <f t="shared" ref="AH450:AH513" si="119">PROPER(TRIM(AG450))</f>
        <v>Completed</v>
      </c>
      <c r="AI450" t="str">
        <f t="shared" ref="AI450:AI513" si="120">IF(Z450&lt;0,"Invalid - Negative Discount",IF(Z450&gt;1,"Invalid - Discount Above Range","Valid"))</f>
        <v>Valid</v>
      </c>
      <c r="AJ450">
        <f t="shared" ref="AJ450:AJ513" si="121">AC450-AD450</f>
        <v>97.490000000000009</v>
      </c>
      <c r="AK450" s="12">
        <f t="shared" si="108"/>
        <v>0.28501097770254669</v>
      </c>
      <c r="AL450">
        <f t="shared" si="109"/>
        <v>1</v>
      </c>
      <c r="AM450">
        <f t="shared" si="110"/>
        <v>2024</v>
      </c>
      <c r="AN450" t="str">
        <f t="shared" si="111"/>
        <v>Clean</v>
      </c>
    </row>
    <row r="451" spans="1:40">
      <c r="A451" t="s">
        <v>2207</v>
      </c>
      <c r="B451" s="3" t="s">
        <v>2208</v>
      </c>
      <c r="C451" s="10">
        <v>45449</v>
      </c>
      <c r="D451" s="3" t="s">
        <v>2209</v>
      </c>
      <c r="E451" s="10">
        <v>45456</v>
      </c>
      <c r="F451" s="6" t="str">
        <f t="shared" si="112"/>
        <v>Valid</v>
      </c>
      <c r="G451" s="8">
        <f t="shared" si="113"/>
        <v>7</v>
      </c>
      <c r="H451" s="8" t="str">
        <f t="shared" si="114"/>
        <v>Valid</v>
      </c>
      <c r="I451" t="s">
        <v>2042</v>
      </c>
      <c r="J451" t="s">
        <v>106</v>
      </c>
      <c r="K451" t="s">
        <v>106</v>
      </c>
      <c r="L451" t="s">
        <v>107</v>
      </c>
      <c r="M451" s="3" t="str">
        <f t="shared" si="115"/>
        <v>Corporate</v>
      </c>
      <c r="N451" t="s">
        <v>41</v>
      </c>
      <c r="O451" s="3" t="str">
        <f t="shared" si="116"/>
        <v>East</v>
      </c>
      <c r="P451" t="s">
        <v>215</v>
      </c>
      <c r="Q451" t="s">
        <v>216</v>
      </c>
      <c r="R451" t="s">
        <v>85</v>
      </c>
      <c r="S451" s="3" t="str">
        <f t="shared" si="117"/>
        <v>Technology</v>
      </c>
      <c r="T451" t="s">
        <v>381</v>
      </c>
      <c r="U451" t="s">
        <v>2210</v>
      </c>
      <c r="V451" t="s">
        <v>32</v>
      </c>
      <c r="W451" s="3" t="str">
        <f t="shared" si="118"/>
        <v>Second Class</v>
      </c>
      <c r="X451">
        <v>6</v>
      </c>
      <c r="Y451">
        <v>3270.36</v>
      </c>
      <c r="Z451">
        <v>0</v>
      </c>
      <c r="AA451">
        <f t="shared" ref="AA451:AA514" si="122">IF(Z451="",0,Z451)</f>
        <v>0</v>
      </c>
      <c r="AB451">
        <f t="shared" ref="AB451:AB514" si="123">X451*Y451*(1-Z451)</f>
        <v>19622.16</v>
      </c>
      <c r="AC451">
        <v>19622.16</v>
      </c>
      <c r="AD451">
        <v>14271.27</v>
      </c>
      <c r="AE451">
        <v>5350.89</v>
      </c>
      <c r="AF451" t="s">
        <v>33</v>
      </c>
      <c r="AG451" t="s">
        <v>34</v>
      </c>
      <c r="AH451" t="str">
        <f t="shared" si="119"/>
        <v>Completed</v>
      </c>
      <c r="AI451" t="str">
        <f t="shared" si="120"/>
        <v>Valid</v>
      </c>
      <c r="AJ451">
        <f t="shared" si="121"/>
        <v>5350.8899999999994</v>
      </c>
      <c r="AK451" s="12">
        <f t="shared" ref="AK451:AK514" si="124">IF(AB451=0,"",AJ451/AB451)</f>
        <v>0.27269627808559299</v>
      </c>
      <c r="AL451">
        <f t="shared" ref="AL451:AL514" si="125">MONTH(C451)</f>
        <v>6</v>
      </c>
      <c r="AM451">
        <f t="shared" ref="AM451:AM514" si="126">YEAR(C451)</f>
        <v>2024</v>
      </c>
      <c r="AN451" t="str">
        <f t="shared" ref="AN451:AN514" si="127">IF(H451="Invalid Shipping Record","Invalid","Clean")</f>
        <v>Clean</v>
      </c>
    </row>
    <row r="452" spans="1:40">
      <c r="A452" t="s">
        <v>2211</v>
      </c>
      <c r="B452" s="3" t="s">
        <v>2212</v>
      </c>
      <c r="C452" s="10">
        <v>45820</v>
      </c>
      <c r="D452" s="3" t="s">
        <v>1576</v>
      </c>
      <c r="E452" s="10">
        <v>45827</v>
      </c>
      <c r="F452" s="6" t="str">
        <f t="shared" si="112"/>
        <v>Valid</v>
      </c>
      <c r="G452" s="8">
        <f t="shared" si="113"/>
        <v>7</v>
      </c>
      <c r="H452" s="8" t="str">
        <f t="shared" si="114"/>
        <v>Valid</v>
      </c>
      <c r="I452" t="s">
        <v>2213</v>
      </c>
      <c r="J452" t="s">
        <v>71</v>
      </c>
      <c r="K452" t="s">
        <v>71</v>
      </c>
      <c r="L452" t="s">
        <v>107</v>
      </c>
      <c r="M452" s="3" t="str">
        <f t="shared" si="115"/>
        <v>Corporate</v>
      </c>
      <c r="N452" t="s">
        <v>26</v>
      </c>
      <c r="O452" s="3" t="str">
        <f t="shared" si="116"/>
        <v>North</v>
      </c>
      <c r="P452" t="s">
        <v>505</v>
      </c>
      <c r="Q452" t="s">
        <v>506</v>
      </c>
      <c r="R452" t="s">
        <v>44</v>
      </c>
      <c r="S452" s="3" t="str">
        <f t="shared" si="117"/>
        <v>Furniture</v>
      </c>
      <c r="T452" t="s">
        <v>75</v>
      </c>
      <c r="U452" t="s">
        <v>2214</v>
      </c>
      <c r="V452" t="s">
        <v>66</v>
      </c>
      <c r="W452" s="3" t="str">
        <f t="shared" si="118"/>
        <v>Standard Class</v>
      </c>
      <c r="X452">
        <v>9</v>
      </c>
      <c r="Y452">
        <v>2278.5700000000002</v>
      </c>
      <c r="Z452">
        <v>0.25</v>
      </c>
      <c r="AA452">
        <f t="shared" si="122"/>
        <v>0.25</v>
      </c>
      <c r="AB452">
        <f t="shared" si="123"/>
        <v>15380.3475</v>
      </c>
      <c r="AC452">
        <v>15380.35</v>
      </c>
      <c r="AD452">
        <v>9907.3700000000008</v>
      </c>
      <c r="AE452">
        <v>5472.98</v>
      </c>
      <c r="AF452" t="s">
        <v>33</v>
      </c>
      <c r="AG452" t="s">
        <v>34</v>
      </c>
      <c r="AH452" t="str">
        <f t="shared" si="119"/>
        <v>Completed</v>
      </c>
      <c r="AI452" t="str">
        <f t="shared" si="120"/>
        <v>Valid</v>
      </c>
      <c r="AJ452">
        <f t="shared" si="121"/>
        <v>5472.98</v>
      </c>
      <c r="AK452" s="12">
        <f t="shared" si="124"/>
        <v>0.35584241513398834</v>
      </c>
      <c r="AL452">
        <f t="shared" si="125"/>
        <v>6</v>
      </c>
      <c r="AM452">
        <f t="shared" si="126"/>
        <v>2025</v>
      </c>
      <c r="AN452" t="str">
        <f t="shared" si="127"/>
        <v>Clean</v>
      </c>
    </row>
    <row r="453" spans="1:40">
      <c r="A453" t="s">
        <v>2215</v>
      </c>
      <c r="B453" s="3" t="s">
        <v>2216</v>
      </c>
      <c r="C453" s="10">
        <v>45375</v>
      </c>
      <c r="D453" s="3" t="s">
        <v>2217</v>
      </c>
      <c r="E453" s="10">
        <v>45377</v>
      </c>
      <c r="F453" s="6" t="str">
        <f t="shared" si="112"/>
        <v>Valid</v>
      </c>
      <c r="G453" s="8">
        <f t="shared" si="113"/>
        <v>2</v>
      </c>
      <c r="H453" s="8" t="str">
        <f t="shared" si="114"/>
        <v>Valid</v>
      </c>
      <c r="I453" t="s">
        <v>2218</v>
      </c>
      <c r="J453" t="s">
        <v>179</v>
      </c>
      <c r="K453" t="s">
        <v>179</v>
      </c>
      <c r="L453" t="s">
        <v>40</v>
      </c>
      <c r="M453" s="3" t="str">
        <f t="shared" si="115"/>
        <v>Small Business</v>
      </c>
      <c r="N453" t="s">
        <v>26</v>
      </c>
      <c r="O453" s="3" t="str">
        <f t="shared" si="116"/>
        <v>North</v>
      </c>
      <c r="P453" t="s">
        <v>322</v>
      </c>
      <c r="Q453" t="s">
        <v>323</v>
      </c>
      <c r="R453" t="s">
        <v>29</v>
      </c>
      <c r="S453" s="3" t="str">
        <f t="shared" si="117"/>
        <v>Office Supplies</v>
      </c>
      <c r="T453" t="s">
        <v>30</v>
      </c>
      <c r="U453" t="s">
        <v>2219</v>
      </c>
      <c r="V453" t="s">
        <v>32</v>
      </c>
      <c r="W453" s="3" t="str">
        <f t="shared" si="118"/>
        <v>Second Class</v>
      </c>
      <c r="X453">
        <v>8</v>
      </c>
      <c r="Y453">
        <v>1917.64</v>
      </c>
      <c r="Z453">
        <v>0.15</v>
      </c>
      <c r="AA453">
        <f t="shared" si="122"/>
        <v>0.15</v>
      </c>
      <c r="AB453">
        <f t="shared" si="123"/>
        <v>13039.952000000001</v>
      </c>
      <c r="AC453">
        <v>13039.95</v>
      </c>
      <c r="AD453">
        <v>11127.82</v>
      </c>
      <c r="AE453">
        <v>1912.13</v>
      </c>
      <c r="AF453" t="s">
        <v>33</v>
      </c>
      <c r="AG453" t="s">
        <v>77</v>
      </c>
      <c r="AH453" t="str">
        <f t="shared" si="119"/>
        <v>Cancelled</v>
      </c>
      <c r="AI453" t="str">
        <f t="shared" si="120"/>
        <v>Valid</v>
      </c>
      <c r="AJ453">
        <f t="shared" si="121"/>
        <v>1912.130000000001</v>
      </c>
      <c r="AK453" s="12">
        <f t="shared" si="124"/>
        <v>0.14663627596175208</v>
      </c>
      <c r="AL453">
        <f t="shared" si="125"/>
        <v>3</v>
      </c>
      <c r="AM453">
        <f t="shared" si="126"/>
        <v>2024</v>
      </c>
      <c r="AN453" t="str">
        <f t="shared" si="127"/>
        <v>Clean</v>
      </c>
    </row>
    <row r="454" spans="1:40">
      <c r="A454" t="s">
        <v>2220</v>
      </c>
      <c r="B454" s="3" t="s">
        <v>2221</v>
      </c>
      <c r="C454" s="10">
        <v>45422</v>
      </c>
      <c r="D454" s="3" t="s">
        <v>1374</v>
      </c>
      <c r="E454" s="10">
        <v>45428</v>
      </c>
      <c r="F454" s="6" t="str">
        <f t="shared" si="112"/>
        <v>Valid</v>
      </c>
      <c r="G454" s="8">
        <f t="shared" si="113"/>
        <v>6</v>
      </c>
      <c r="H454" s="8" t="str">
        <f t="shared" si="114"/>
        <v>Valid</v>
      </c>
      <c r="I454" t="s">
        <v>2222</v>
      </c>
      <c r="J454" t="s">
        <v>209</v>
      </c>
      <c r="K454" t="s">
        <v>209</v>
      </c>
      <c r="L454" t="s">
        <v>114</v>
      </c>
      <c r="M454" s="3" t="str">
        <f t="shared" si="115"/>
        <v>Home Office</v>
      </c>
      <c r="N454" t="s">
        <v>41</v>
      </c>
      <c r="O454" s="3" t="str">
        <f t="shared" si="116"/>
        <v>East</v>
      </c>
      <c r="P454" t="s">
        <v>310</v>
      </c>
      <c r="Q454" t="s">
        <v>311</v>
      </c>
      <c r="R454" t="s">
        <v>85</v>
      </c>
      <c r="S454" s="3" t="str">
        <f t="shared" si="117"/>
        <v>Technology</v>
      </c>
      <c r="T454" t="s">
        <v>86</v>
      </c>
      <c r="U454" t="s">
        <v>2223</v>
      </c>
      <c r="V454" t="s">
        <v>32</v>
      </c>
      <c r="W454" s="3" t="str">
        <f t="shared" si="118"/>
        <v>Second Class</v>
      </c>
      <c r="X454">
        <v>6</v>
      </c>
      <c r="Y454">
        <v>2013.33</v>
      </c>
      <c r="Z454">
        <v>0.2</v>
      </c>
      <c r="AA454">
        <f t="shared" si="122"/>
        <v>0.2</v>
      </c>
      <c r="AB454">
        <f t="shared" si="123"/>
        <v>9663.9840000000004</v>
      </c>
      <c r="AC454">
        <v>9663.98</v>
      </c>
      <c r="AD454">
        <v>5628.93</v>
      </c>
      <c r="AE454">
        <v>4035.05</v>
      </c>
      <c r="AF454" t="s">
        <v>33</v>
      </c>
      <c r="AG454" t="s">
        <v>34</v>
      </c>
      <c r="AH454" t="str">
        <f t="shared" si="119"/>
        <v>Completed</v>
      </c>
      <c r="AI454" t="str">
        <f t="shared" si="120"/>
        <v>Valid</v>
      </c>
      <c r="AJ454">
        <f t="shared" si="121"/>
        <v>4035.0499999999993</v>
      </c>
      <c r="AK454" s="12">
        <f t="shared" si="124"/>
        <v>0.41753483863383872</v>
      </c>
      <c r="AL454">
        <f t="shared" si="125"/>
        <v>5</v>
      </c>
      <c r="AM454">
        <f t="shared" si="126"/>
        <v>2024</v>
      </c>
      <c r="AN454" t="str">
        <f t="shared" si="127"/>
        <v>Clean</v>
      </c>
    </row>
    <row r="455" spans="1:40">
      <c r="A455" t="s">
        <v>2224</v>
      </c>
      <c r="B455" s="3" t="s">
        <v>2225</v>
      </c>
      <c r="C455" s="10">
        <v>45780</v>
      </c>
      <c r="D455" s="3" t="s">
        <v>2226</v>
      </c>
      <c r="E455" s="10">
        <v>45788</v>
      </c>
      <c r="F455" s="6" t="str">
        <f t="shared" si="112"/>
        <v>Valid</v>
      </c>
      <c r="G455" s="8">
        <f t="shared" si="113"/>
        <v>8</v>
      </c>
      <c r="H455" s="8" t="str">
        <f t="shared" si="114"/>
        <v>Valid</v>
      </c>
      <c r="I455" t="s">
        <v>2227</v>
      </c>
      <c r="J455" t="s">
        <v>179</v>
      </c>
      <c r="K455" t="s">
        <v>179</v>
      </c>
      <c r="L455" t="s">
        <v>40</v>
      </c>
      <c r="M455" s="3" t="str">
        <f t="shared" si="115"/>
        <v>Small Business</v>
      </c>
      <c r="N455" t="s">
        <v>72</v>
      </c>
      <c r="O455" s="3" t="str">
        <f t="shared" si="116"/>
        <v>West</v>
      </c>
      <c r="P455" t="s">
        <v>83</v>
      </c>
      <c r="Q455" t="s">
        <v>84</v>
      </c>
      <c r="R455" t="s">
        <v>29</v>
      </c>
      <c r="S455" s="3" t="str">
        <f t="shared" si="117"/>
        <v>Office Supplies</v>
      </c>
      <c r="T455" t="s">
        <v>108</v>
      </c>
      <c r="U455" t="s">
        <v>2228</v>
      </c>
      <c r="V455" t="s">
        <v>47</v>
      </c>
      <c r="W455" s="3" t="str">
        <f t="shared" si="118"/>
        <v>Same Day</v>
      </c>
      <c r="X455">
        <v>5</v>
      </c>
      <c r="Y455">
        <v>1483.52</v>
      </c>
      <c r="Z455">
        <v>0</v>
      </c>
      <c r="AA455">
        <f t="shared" si="122"/>
        <v>0</v>
      </c>
      <c r="AB455">
        <f t="shared" si="123"/>
        <v>7417.6</v>
      </c>
      <c r="AC455">
        <v>7417.6</v>
      </c>
      <c r="AD455">
        <v>4955.8599999999997</v>
      </c>
      <c r="AE455">
        <v>2461.7399999999998</v>
      </c>
      <c r="AF455" t="s">
        <v>33</v>
      </c>
      <c r="AG455" t="s">
        <v>34</v>
      </c>
      <c r="AH455" t="str">
        <f t="shared" si="119"/>
        <v>Completed</v>
      </c>
      <c r="AI455" t="str">
        <f t="shared" si="120"/>
        <v>Valid</v>
      </c>
      <c r="AJ455">
        <f t="shared" si="121"/>
        <v>2461.7400000000007</v>
      </c>
      <c r="AK455" s="12">
        <f t="shared" si="124"/>
        <v>0.3318782355478862</v>
      </c>
      <c r="AL455">
        <f t="shared" si="125"/>
        <v>5</v>
      </c>
      <c r="AM455">
        <f t="shared" si="126"/>
        <v>2025</v>
      </c>
      <c r="AN455" t="str">
        <f t="shared" si="127"/>
        <v>Clean</v>
      </c>
    </row>
    <row r="456" spans="1:40">
      <c r="A456" t="s">
        <v>2229</v>
      </c>
      <c r="B456" s="3" t="s">
        <v>2230</v>
      </c>
      <c r="C456" s="10">
        <v>45739</v>
      </c>
      <c r="D456" s="3" t="s">
        <v>2231</v>
      </c>
      <c r="E456" s="10">
        <v>45744</v>
      </c>
      <c r="F456" s="6" t="str">
        <f t="shared" si="112"/>
        <v>Valid</v>
      </c>
      <c r="G456" s="8">
        <f t="shared" si="113"/>
        <v>5</v>
      </c>
      <c r="H456" s="8" t="str">
        <f t="shared" si="114"/>
        <v>Valid</v>
      </c>
      <c r="I456" t="s">
        <v>2232</v>
      </c>
      <c r="J456" t="s">
        <v>82</v>
      </c>
      <c r="K456" t="s">
        <v>82</v>
      </c>
      <c r="L456" t="s">
        <v>40</v>
      </c>
      <c r="M456" s="3" t="str">
        <f t="shared" si="115"/>
        <v>Small Business</v>
      </c>
      <c r="N456" t="s">
        <v>26</v>
      </c>
      <c r="O456" s="3" t="str">
        <f t="shared" si="116"/>
        <v>North</v>
      </c>
      <c r="P456" t="s">
        <v>27</v>
      </c>
      <c r="Q456" t="s">
        <v>28</v>
      </c>
      <c r="R456" t="s">
        <v>44</v>
      </c>
      <c r="S456" s="3" t="str">
        <f t="shared" si="117"/>
        <v>Furniture</v>
      </c>
      <c r="T456" t="s">
        <v>64</v>
      </c>
      <c r="U456" t="s">
        <v>2233</v>
      </c>
      <c r="V456" t="s">
        <v>66</v>
      </c>
      <c r="W456" s="3" t="str">
        <f t="shared" si="118"/>
        <v>Standard Class</v>
      </c>
      <c r="X456">
        <v>9</v>
      </c>
      <c r="Y456">
        <v>3298</v>
      </c>
      <c r="Z456">
        <v>0.15</v>
      </c>
      <c r="AA456">
        <f t="shared" si="122"/>
        <v>0.15</v>
      </c>
      <c r="AB456">
        <f t="shared" si="123"/>
        <v>25229.7</v>
      </c>
      <c r="AC456">
        <v>25229.7</v>
      </c>
      <c r="AD456">
        <v>20170.43</v>
      </c>
      <c r="AE456">
        <v>5059.2700000000004</v>
      </c>
      <c r="AF456" t="s">
        <v>33</v>
      </c>
      <c r="AG456" t="s">
        <v>34</v>
      </c>
      <c r="AH456" t="str">
        <f t="shared" si="119"/>
        <v>Completed</v>
      </c>
      <c r="AI456" t="str">
        <f t="shared" si="120"/>
        <v>Valid</v>
      </c>
      <c r="AJ456">
        <f t="shared" si="121"/>
        <v>5059.2700000000004</v>
      </c>
      <c r="AK456" s="12">
        <f t="shared" si="124"/>
        <v>0.20052834556098567</v>
      </c>
      <c r="AL456">
        <f t="shared" si="125"/>
        <v>3</v>
      </c>
      <c r="AM456">
        <f t="shared" si="126"/>
        <v>2025</v>
      </c>
      <c r="AN456" t="str">
        <f t="shared" si="127"/>
        <v>Clean</v>
      </c>
    </row>
    <row r="457" spans="1:40">
      <c r="A457" t="s">
        <v>2234</v>
      </c>
      <c r="B457" s="3" t="s">
        <v>2235</v>
      </c>
      <c r="C457" s="10">
        <v>45491</v>
      </c>
      <c r="D457" s="3" t="s">
        <v>2236</v>
      </c>
      <c r="E457" s="10">
        <v>45495</v>
      </c>
      <c r="F457" s="6" t="str">
        <f t="shared" si="112"/>
        <v>Valid</v>
      </c>
      <c r="G457" s="8">
        <f t="shared" si="113"/>
        <v>4</v>
      </c>
      <c r="H457" s="8" t="str">
        <f t="shared" si="114"/>
        <v>Valid</v>
      </c>
      <c r="I457" t="s">
        <v>2237</v>
      </c>
      <c r="J457" t="s">
        <v>92</v>
      </c>
      <c r="K457" t="s">
        <v>92</v>
      </c>
      <c r="L457" t="s">
        <v>40</v>
      </c>
      <c r="M457" s="3" t="str">
        <f t="shared" si="115"/>
        <v>Small Business</v>
      </c>
      <c r="N457" t="s">
        <v>61</v>
      </c>
      <c r="O457" s="3" t="str">
        <f t="shared" si="116"/>
        <v>South</v>
      </c>
      <c r="P457" t="s">
        <v>62</v>
      </c>
      <c r="Q457" t="s">
        <v>63</v>
      </c>
      <c r="R457" t="s">
        <v>29</v>
      </c>
      <c r="S457" s="3" t="str">
        <f t="shared" si="117"/>
        <v>Office Supplies</v>
      </c>
      <c r="T457" t="s">
        <v>53</v>
      </c>
      <c r="U457" t="s">
        <v>2238</v>
      </c>
      <c r="V457" t="s">
        <v>66</v>
      </c>
      <c r="W457" s="3" t="str">
        <f t="shared" si="118"/>
        <v>Standard Class</v>
      </c>
      <c r="X457">
        <v>4</v>
      </c>
      <c r="Y457">
        <v>808.77</v>
      </c>
      <c r="Z457">
        <v>0</v>
      </c>
      <c r="AA457">
        <f t="shared" si="122"/>
        <v>0</v>
      </c>
      <c r="AB457">
        <f t="shared" si="123"/>
        <v>3235.08</v>
      </c>
      <c r="AC457">
        <v>3235.08</v>
      </c>
      <c r="AD457">
        <v>1848.6</v>
      </c>
      <c r="AE457">
        <v>1386.48</v>
      </c>
      <c r="AF457" t="s">
        <v>33</v>
      </c>
      <c r="AG457" t="s">
        <v>34</v>
      </c>
      <c r="AH457" t="str">
        <f t="shared" si="119"/>
        <v>Completed</v>
      </c>
      <c r="AI457" t="str">
        <f t="shared" si="120"/>
        <v>Valid</v>
      </c>
      <c r="AJ457">
        <f t="shared" si="121"/>
        <v>1386.48</v>
      </c>
      <c r="AK457" s="12">
        <f t="shared" si="124"/>
        <v>0.42857672762342819</v>
      </c>
      <c r="AL457">
        <f t="shared" si="125"/>
        <v>7</v>
      </c>
      <c r="AM457">
        <f t="shared" si="126"/>
        <v>2024</v>
      </c>
      <c r="AN457" t="str">
        <f t="shared" si="127"/>
        <v>Clean</v>
      </c>
    </row>
    <row r="458" spans="1:40">
      <c r="A458" t="s">
        <v>2239</v>
      </c>
      <c r="B458" s="3" t="s">
        <v>2087</v>
      </c>
      <c r="C458" s="10">
        <v>45342</v>
      </c>
      <c r="D458" s="3" t="s">
        <v>2087</v>
      </c>
      <c r="E458" s="10">
        <v>45342</v>
      </c>
      <c r="F458" s="6" t="str">
        <f t="shared" si="112"/>
        <v>Valid</v>
      </c>
      <c r="G458" s="8">
        <f t="shared" si="113"/>
        <v>0</v>
      </c>
      <c r="H458" s="8" t="str">
        <f t="shared" si="114"/>
        <v>Valid</v>
      </c>
      <c r="I458" t="s">
        <v>2240</v>
      </c>
      <c r="J458" t="s">
        <v>92</v>
      </c>
      <c r="K458" t="s">
        <v>92</v>
      </c>
      <c r="L458" t="s">
        <v>107</v>
      </c>
      <c r="M458" s="3" t="str">
        <f t="shared" si="115"/>
        <v>Corporate</v>
      </c>
      <c r="N458" t="s">
        <v>26</v>
      </c>
      <c r="O458" s="3" t="str">
        <f t="shared" si="116"/>
        <v>North</v>
      </c>
      <c r="P458" t="s">
        <v>173</v>
      </c>
      <c r="Q458" t="s">
        <v>174</v>
      </c>
      <c r="R458" t="s">
        <v>85</v>
      </c>
      <c r="S458" s="3" t="str">
        <f t="shared" si="117"/>
        <v>Technology</v>
      </c>
      <c r="T458" t="s">
        <v>86</v>
      </c>
      <c r="U458" t="s">
        <v>2241</v>
      </c>
      <c r="V458" t="s">
        <v>47</v>
      </c>
      <c r="W458" s="3" t="str">
        <f t="shared" si="118"/>
        <v>Same Day</v>
      </c>
      <c r="X458">
        <v>5</v>
      </c>
      <c r="Y458">
        <v>2604.91</v>
      </c>
      <c r="Z458">
        <v>0.15</v>
      </c>
      <c r="AA458">
        <f t="shared" si="122"/>
        <v>0.15</v>
      </c>
      <c r="AB458">
        <f t="shared" si="123"/>
        <v>11070.867499999998</v>
      </c>
      <c r="AC458">
        <v>11070.87</v>
      </c>
      <c r="AD458">
        <v>6623.61</v>
      </c>
      <c r="AE458">
        <v>4447.26</v>
      </c>
      <c r="AF458" t="s">
        <v>33</v>
      </c>
      <c r="AG458" t="s">
        <v>124</v>
      </c>
      <c r="AH458" t="str">
        <f t="shared" si="119"/>
        <v>Returned</v>
      </c>
      <c r="AI458" t="str">
        <f t="shared" si="120"/>
        <v>Valid</v>
      </c>
      <c r="AJ458">
        <f t="shared" si="121"/>
        <v>4447.2600000000011</v>
      </c>
      <c r="AK458" s="12">
        <f t="shared" si="124"/>
        <v>0.40170835754289369</v>
      </c>
      <c r="AL458">
        <f t="shared" si="125"/>
        <v>2</v>
      </c>
      <c r="AM458">
        <f t="shared" si="126"/>
        <v>2024</v>
      </c>
      <c r="AN458" t="str">
        <f t="shared" si="127"/>
        <v>Clean</v>
      </c>
    </row>
    <row r="459" spans="1:40">
      <c r="A459" t="s">
        <v>2242</v>
      </c>
      <c r="B459" s="3" t="s">
        <v>2243</v>
      </c>
      <c r="C459" s="10">
        <v>45416</v>
      </c>
      <c r="D459" s="3" t="s">
        <v>2244</v>
      </c>
      <c r="E459" s="10">
        <v>45416</v>
      </c>
      <c r="F459" s="6" t="str">
        <f t="shared" si="112"/>
        <v>Valid</v>
      </c>
      <c r="G459" s="8">
        <f t="shared" si="113"/>
        <v>0</v>
      </c>
      <c r="H459" s="8" t="str">
        <f t="shared" si="114"/>
        <v>Valid</v>
      </c>
      <c r="I459" t="s">
        <v>2245</v>
      </c>
      <c r="J459" t="s">
        <v>39</v>
      </c>
      <c r="K459" t="s">
        <v>39</v>
      </c>
      <c r="L459" t="s">
        <v>40</v>
      </c>
      <c r="M459" s="3" t="str">
        <f t="shared" si="115"/>
        <v>Small Business</v>
      </c>
      <c r="N459" t="s">
        <v>72</v>
      </c>
      <c r="O459" s="3" t="str">
        <f t="shared" si="116"/>
        <v>West</v>
      </c>
      <c r="P459" t="s">
        <v>248</v>
      </c>
      <c r="Q459" t="s">
        <v>249</v>
      </c>
      <c r="R459" t="s">
        <v>44</v>
      </c>
      <c r="S459" s="3" t="str">
        <f t="shared" si="117"/>
        <v>Furniture</v>
      </c>
      <c r="T459" t="s">
        <v>45</v>
      </c>
      <c r="U459" t="s">
        <v>2246</v>
      </c>
      <c r="V459" t="s">
        <v>66</v>
      </c>
      <c r="W459" s="3" t="str">
        <f t="shared" si="118"/>
        <v>Standard Class</v>
      </c>
      <c r="X459">
        <v>7</v>
      </c>
      <c r="Y459">
        <v>2851.51</v>
      </c>
      <c r="Z459">
        <v>0</v>
      </c>
      <c r="AA459">
        <f t="shared" si="122"/>
        <v>0</v>
      </c>
      <c r="AB459">
        <f t="shared" si="123"/>
        <v>19960.57</v>
      </c>
      <c r="AC459">
        <v>19960.57</v>
      </c>
      <c r="AD459">
        <v>16603.599999999999</v>
      </c>
      <c r="AE459">
        <v>3356.97</v>
      </c>
      <c r="AF459" t="s">
        <v>33</v>
      </c>
      <c r="AG459" t="s">
        <v>34</v>
      </c>
      <c r="AH459" t="str">
        <f t="shared" si="119"/>
        <v>Completed</v>
      </c>
      <c r="AI459" t="str">
        <f t="shared" si="120"/>
        <v>Valid</v>
      </c>
      <c r="AJ459">
        <f t="shared" si="121"/>
        <v>3356.9700000000012</v>
      </c>
      <c r="AK459" s="12">
        <f t="shared" si="124"/>
        <v>0.1681800670020947</v>
      </c>
      <c r="AL459">
        <f t="shared" si="125"/>
        <v>5</v>
      </c>
      <c r="AM459">
        <f t="shared" si="126"/>
        <v>2024</v>
      </c>
      <c r="AN459" t="str">
        <f t="shared" si="127"/>
        <v>Clean</v>
      </c>
    </row>
    <row r="460" spans="1:40">
      <c r="A460" t="s">
        <v>2247</v>
      </c>
      <c r="B460" s="3" t="s">
        <v>2248</v>
      </c>
      <c r="C460" s="10">
        <v>45332</v>
      </c>
      <c r="D460" s="3" t="s">
        <v>859</v>
      </c>
      <c r="E460" s="10">
        <v>45333</v>
      </c>
      <c r="F460" s="6" t="str">
        <f t="shared" si="112"/>
        <v>Valid</v>
      </c>
      <c r="G460" s="8">
        <f t="shared" si="113"/>
        <v>1</v>
      </c>
      <c r="H460" s="8" t="str">
        <f t="shared" si="114"/>
        <v>Valid</v>
      </c>
      <c r="I460" t="s">
        <v>2249</v>
      </c>
      <c r="J460" t="s">
        <v>24</v>
      </c>
      <c r="K460" t="s">
        <v>24</v>
      </c>
      <c r="L460" t="s">
        <v>107</v>
      </c>
      <c r="M460" s="3" t="str">
        <f t="shared" si="115"/>
        <v>Corporate</v>
      </c>
      <c r="N460" t="s">
        <v>26</v>
      </c>
      <c r="O460" s="3" t="str">
        <f t="shared" si="116"/>
        <v>North</v>
      </c>
      <c r="P460" t="s">
        <v>27</v>
      </c>
      <c r="Q460" t="s">
        <v>28</v>
      </c>
      <c r="R460" t="s">
        <v>85</v>
      </c>
      <c r="S460" s="3" t="str">
        <f t="shared" si="117"/>
        <v>Technology</v>
      </c>
      <c r="T460" t="s">
        <v>222</v>
      </c>
      <c r="U460" t="s">
        <v>2250</v>
      </c>
      <c r="V460" t="s">
        <v>32</v>
      </c>
      <c r="W460" s="3" t="str">
        <f t="shared" si="118"/>
        <v>Second Class</v>
      </c>
      <c r="X460">
        <v>3</v>
      </c>
      <c r="Y460">
        <v>3183.72</v>
      </c>
      <c r="Z460">
        <v>0.1</v>
      </c>
      <c r="AA460">
        <f t="shared" si="122"/>
        <v>0.1</v>
      </c>
      <c r="AB460">
        <f t="shared" si="123"/>
        <v>8596.0439999999999</v>
      </c>
      <c r="AC460">
        <v>8596.0400000000009</v>
      </c>
      <c r="AD460">
        <v>5378.16</v>
      </c>
      <c r="AE460">
        <v>3217.88</v>
      </c>
      <c r="AF460" t="s">
        <v>33</v>
      </c>
      <c r="AG460" t="s">
        <v>34</v>
      </c>
      <c r="AH460" t="str">
        <f t="shared" si="119"/>
        <v>Completed</v>
      </c>
      <c r="AI460" t="str">
        <f t="shared" si="120"/>
        <v>Valid</v>
      </c>
      <c r="AJ460">
        <f t="shared" si="121"/>
        <v>3217.880000000001</v>
      </c>
      <c r="AK460" s="12">
        <f t="shared" si="124"/>
        <v>0.37434429139729869</v>
      </c>
      <c r="AL460">
        <f t="shared" si="125"/>
        <v>2</v>
      </c>
      <c r="AM460">
        <f t="shared" si="126"/>
        <v>2024</v>
      </c>
      <c r="AN460" t="str">
        <f t="shared" si="127"/>
        <v>Clean</v>
      </c>
    </row>
    <row r="461" spans="1:40">
      <c r="A461" t="s">
        <v>2251</v>
      </c>
      <c r="B461" s="3" t="s">
        <v>2252</v>
      </c>
      <c r="C461" s="10">
        <v>45379</v>
      </c>
      <c r="D461" s="3" t="s">
        <v>2182</v>
      </c>
      <c r="E461" s="10">
        <v>45386</v>
      </c>
      <c r="F461" s="6" t="str">
        <f t="shared" si="112"/>
        <v>Valid</v>
      </c>
      <c r="G461" s="8">
        <f t="shared" si="113"/>
        <v>7</v>
      </c>
      <c r="H461" s="8" t="str">
        <f t="shared" si="114"/>
        <v>Valid</v>
      </c>
      <c r="I461" t="s">
        <v>2253</v>
      </c>
      <c r="J461" t="s">
        <v>71</v>
      </c>
      <c r="K461" t="s">
        <v>71</v>
      </c>
      <c r="L461" t="s">
        <v>114</v>
      </c>
      <c r="M461" s="3" t="str">
        <f t="shared" si="115"/>
        <v>Home Office</v>
      </c>
      <c r="N461" t="s">
        <v>72</v>
      </c>
      <c r="O461" s="3" t="str">
        <f t="shared" si="116"/>
        <v>West</v>
      </c>
      <c r="P461" t="s">
        <v>248</v>
      </c>
      <c r="Q461" t="s">
        <v>249</v>
      </c>
      <c r="R461" t="s">
        <v>29</v>
      </c>
      <c r="S461" s="3" t="str">
        <f t="shared" si="117"/>
        <v>Office Supplies</v>
      </c>
      <c r="T461" t="s">
        <v>30</v>
      </c>
      <c r="U461" t="s">
        <v>2254</v>
      </c>
      <c r="V461" t="s">
        <v>55</v>
      </c>
      <c r="W461" s="3" t="str">
        <f t="shared" si="118"/>
        <v>First Class</v>
      </c>
      <c r="X461">
        <v>3</v>
      </c>
      <c r="Y461">
        <v>1150.92</v>
      </c>
      <c r="Z461">
        <v>0</v>
      </c>
      <c r="AA461">
        <f t="shared" si="122"/>
        <v>0</v>
      </c>
      <c r="AB461">
        <f t="shared" si="123"/>
        <v>3452.76</v>
      </c>
      <c r="AC461">
        <v>3452.76</v>
      </c>
      <c r="AD461">
        <v>2077.96</v>
      </c>
      <c r="AE461">
        <v>1374.8</v>
      </c>
      <c r="AF461" t="s">
        <v>33</v>
      </c>
      <c r="AG461" t="s">
        <v>34</v>
      </c>
      <c r="AH461" t="str">
        <f t="shared" si="119"/>
        <v>Completed</v>
      </c>
      <c r="AI461" t="str">
        <f t="shared" si="120"/>
        <v>Valid</v>
      </c>
      <c r="AJ461">
        <f t="shared" si="121"/>
        <v>1374.8000000000002</v>
      </c>
      <c r="AK461" s="12">
        <f t="shared" si="124"/>
        <v>0.39817421425178701</v>
      </c>
      <c r="AL461">
        <f t="shared" si="125"/>
        <v>3</v>
      </c>
      <c r="AM461">
        <f t="shared" si="126"/>
        <v>2024</v>
      </c>
      <c r="AN461" t="str">
        <f t="shared" si="127"/>
        <v>Clean</v>
      </c>
    </row>
    <row r="462" spans="1:40">
      <c r="A462" t="s">
        <v>2255</v>
      </c>
      <c r="B462" s="3" t="s">
        <v>2256</v>
      </c>
      <c r="C462" s="10">
        <v>45930</v>
      </c>
      <c r="D462" s="3" t="s">
        <v>2257</v>
      </c>
      <c r="E462" s="10">
        <v>45936</v>
      </c>
      <c r="F462" s="6" t="str">
        <f t="shared" si="112"/>
        <v>Valid</v>
      </c>
      <c r="G462" s="8">
        <f t="shared" si="113"/>
        <v>6</v>
      </c>
      <c r="H462" s="8" t="str">
        <f t="shared" si="114"/>
        <v>Valid</v>
      </c>
      <c r="I462" t="s">
        <v>2258</v>
      </c>
      <c r="J462" t="s">
        <v>161</v>
      </c>
      <c r="K462" t="s">
        <v>161</v>
      </c>
      <c r="L462" t="s">
        <v>107</v>
      </c>
      <c r="M462" s="3" t="str">
        <f t="shared" si="115"/>
        <v>Corporate</v>
      </c>
      <c r="O462" s="3" t="str">
        <f t="shared" si="116"/>
        <v>Unknown</v>
      </c>
      <c r="P462" t="s">
        <v>27</v>
      </c>
      <c r="Q462" t="s">
        <v>28</v>
      </c>
      <c r="R462" t="s">
        <v>85</v>
      </c>
      <c r="S462" s="3" t="str">
        <f t="shared" si="117"/>
        <v>Technology</v>
      </c>
      <c r="T462" t="s">
        <v>93</v>
      </c>
      <c r="U462" t="s">
        <v>2259</v>
      </c>
      <c r="V462" t="s">
        <v>32</v>
      </c>
      <c r="W462" s="3" t="str">
        <f t="shared" si="118"/>
        <v>Second Class</v>
      </c>
      <c r="X462">
        <v>9</v>
      </c>
      <c r="Y462">
        <v>1359.88</v>
      </c>
      <c r="Z462">
        <v>0.05</v>
      </c>
      <c r="AA462">
        <f t="shared" si="122"/>
        <v>0.05</v>
      </c>
      <c r="AB462">
        <f t="shared" si="123"/>
        <v>11626.974000000002</v>
      </c>
      <c r="AC462">
        <v>11626.97</v>
      </c>
      <c r="AD462">
        <v>7394.07</v>
      </c>
      <c r="AE462">
        <v>4232.8999999999996</v>
      </c>
      <c r="AF462" t="s">
        <v>33</v>
      </c>
      <c r="AG462" t="s">
        <v>34</v>
      </c>
      <c r="AH462" t="str">
        <f t="shared" si="119"/>
        <v>Completed</v>
      </c>
      <c r="AI462" t="str">
        <f t="shared" si="120"/>
        <v>Valid</v>
      </c>
      <c r="AJ462">
        <f t="shared" si="121"/>
        <v>4232.8999999999996</v>
      </c>
      <c r="AK462" s="12">
        <f t="shared" si="124"/>
        <v>0.36405861060668054</v>
      </c>
      <c r="AL462">
        <f t="shared" si="125"/>
        <v>9</v>
      </c>
      <c r="AM462">
        <f t="shared" si="126"/>
        <v>2025</v>
      </c>
      <c r="AN462" t="str">
        <f t="shared" si="127"/>
        <v>Clean</v>
      </c>
    </row>
    <row r="463" spans="1:40">
      <c r="A463" t="s">
        <v>2260</v>
      </c>
      <c r="B463" s="3" t="s">
        <v>2261</v>
      </c>
      <c r="C463" s="10">
        <v>45802</v>
      </c>
      <c r="D463" s="3" t="s">
        <v>1521</v>
      </c>
      <c r="E463" s="10">
        <v>45803</v>
      </c>
      <c r="F463" s="6" t="str">
        <f t="shared" si="112"/>
        <v>Valid</v>
      </c>
      <c r="G463" s="8">
        <f t="shared" si="113"/>
        <v>1</v>
      </c>
      <c r="H463" s="8" t="str">
        <f t="shared" si="114"/>
        <v>Valid</v>
      </c>
      <c r="I463" t="s">
        <v>2262</v>
      </c>
      <c r="J463" t="s">
        <v>92</v>
      </c>
      <c r="K463" t="s">
        <v>92</v>
      </c>
      <c r="L463" t="s">
        <v>107</v>
      </c>
      <c r="M463" s="3" t="str">
        <f t="shared" si="115"/>
        <v>Corporate</v>
      </c>
      <c r="N463" t="s">
        <v>61</v>
      </c>
      <c r="O463" s="3" t="str">
        <f t="shared" si="116"/>
        <v>South</v>
      </c>
      <c r="P463" t="s">
        <v>99</v>
      </c>
      <c r="Q463" t="s">
        <v>100</v>
      </c>
      <c r="R463" t="s">
        <v>29</v>
      </c>
      <c r="S463" s="3" t="str">
        <f t="shared" si="117"/>
        <v>Office Supplies</v>
      </c>
      <c r="T463" t="s">
        <v>30</v>
      </c>
      <c r="U463" t="s">
        <v>2263</v>
      </c>
      <c r="V463" t="s">
        <v>66</v>
      </c>
      <c r="W463" s="3" t="str">
        <f t="shared" si="118"/>
        <v>Standard Class</v>
      </c>
      <c r="X463">
        <v>3</v>
      </c>
      <c r="Y463">
        <v>3378.15</v>
      </c>
      <c r="Z463">
        <v>0.15</v>
      </c>
      <c r="AA463">
        <f t="shared" si="122"/>
        <v>0.15</v>
      </c>
      <c r="AB463">
        <f t="shared" si="123"/>
        <v>8614.2825000000012</v>
      </c>
      <c r="AC463">
        <v>8614.2800000000007</v>
      </c>
      <c r="AD463">
        <v>7052.08</v>
      </c>
      <c r="AE463">
        <v>1562.2</v>
      </c>
      <c r="AF463" t="s">
        <v>33</v>
      </c>
      <c r="AG463" t="s">
        <v>34</v>
      </c>
      <c r="AH463" t="str">
        <f t="shared" si="119"/>
        <v>Completed</v>
      </c>
      <c r="AI463" t="str">
        <f t="shared" si="120"/>
        <v>Valid</v>
      </c>
      <c r="AJ463">
        <f t="shared" si="121"/>
        <v>1562.2000000000007</v>
      </c>
      <c r="AK463" s="12">
        <f t="shared" si="124"/>
        <v>0.18134998474916519</v>
      </c>
      <c r="AL463">
        <f t="shared" si="125"/>
        <v>5</v>
      </c>
      <c r="AM463">
        <f t="shared" si="126"/>
        <v>2025</v>
      </c>
      <c r="AN463" t="str">
        <f t="shared" si="127"/>
        <v>Clean</v>
      </c>
    </row>
    <row r="464" spans="1:40">
      <c r="A464" t="s">
        <v>2264</v>
      </c>
      <c r="B464" s="3" t="s">
        <v>2007</v>
      </c>
      <c r="C464" s="10">
        <v>45558</v>
      </c>
      <c r="D464" s="3" t="s">
        <v>2265</v>
      </c>
      <c r="E464" s="10">
        <v>45560</v>
      </c>
      <c r="F464" s="6" t="str">
        <f t="shared" si="112"/>
        <v>Valid</v>
      </c>
      <c r="G464" s="8">
        <f t="shared" si="113"/>
        <v>2</v>
      </c>
      <c r="H464" s="8" t="str">
        <f t="shared" si="114"/>
        <v>Valid</v>
      </c>
      <c r="I464" t="s">
        <v>2266</v>
      </c>
      <c r="J464" t="s">
        <v>161</v>
      </c>
      <c r="K464" t="s">
        <v>161</v>
      </c>
      <c r="L464" t="s">
        <v>114</v>
      </c>
      <c r="M464" s="3" t="str">
        <f t="shared" si="115"/>
        <v>Home Office</v>
      </c>
      <c r="N464" t="s">
        <v>26</v>
      </c>
      <c r="O464" s="3" t="str">
        <f t="shared" si="116"/>
        <v>North</v>
      </c>
      <c r="P464" t="s">
        <v>505</v>
      </c>
      <c r="Q464" t="s">
        <v>506</v>
      </c>
      <c r="R464" t="s">
        <v>29</v>
      </c>
      <c r="S464" s="3" t="str">
        <f t="shared" si="117"/>
        <v>Office Supplies</v>
      </c>
      <c r="T464" t="s">
        <v>197</v>
      </c>
      <c r="U464" t="s">
        <v>2267</v>
      </c>
      <c r="V464" t="s">
        <v>55</v>
      </c>
      <c r="W464" s="3" t="str">
        <f t="shared" si="118"/>
        <v>First Class</v>
      </c>
      <c r="X464">
        <v>2</v>
      </c>
      <c r="Y464">
        <v>1275.1400000000001</v>
      </c>
      <c r="Z464">
        <v>0.2</v>
      </c>
      <c r="AA464">
        <f t="shared" si="122"/>
        <v>0.2</v>
      </c>
      <c r="AB464">
        <f t="shared" si="123"/>
        <v>2040.2240000000002</v>
      </c>
      <c r="AC464">
        <v>2040.22</v>
      </c>
      <c r="AD464">
        <v>1395.71</v>
      </c>
      <c r="AE464">
        <v>644.51</v>
      </c>
      <c r="AF464" t="s">
        <v>33</v>
      </c>
      <c r="AG464" t="s">
        <v>34</v>
      </c>
      <c r="AH464" t="str">
        <f t="shared" si="119"/>
        <v>Completed</v>
      </c>
      <c r="AI464" t="str">
        <f t="shared" si="120"/>
        <v>Valid</v>
      </c>
      <c r="AJ464">
        <f t="shared" si="121"/>
        <v>644.51</v>
      </c>
      <c r="AK464" s="12">
        <f t="shared" si="124"/>
        <v>0.31590158727669115</v>
      </c>
      <c r="AL464">
        <f t="shared" si="125"/>
        <v>9</v>
      </c>
      <c r="AM464">
        <f t="shared" si="126"/>
        <v>2024</v>
      </c>
      <c r="AN464" t="str">
        <f t="shared" si="127"/>
        <v>Clean</v>
      </c>
    </row>
    <row r="465" spans="1:40">
      <c r="A465" t="s">
        <v>2268</v>
      </c>
      <c r="B465" s="3" t="s">
        <v>440</v>
      </c>
      <c r="C465" s="10">
        <v>45695</v>
      </c>
      <c r="D465" s="3" t="s">
        <v>2269</v>
      </c>
      <c r="E465" s="10">
        <v>45696</v>
      </c>
      <c r="F465" s="6" t="str">
        <f t="shared" si="112"/>
        <v>Valid</v>
      </c>
      <c r="G465" s="8">
        <f t="shared" si="113"/>
        <v>1</v>
      </c>
      <c r="H465" s="8" t="str">
        <f t="shared" si="114"/>
        <v>Valid</v>
      </c>
      <c r="I465" t="s">
        <v>2270</v>
      </c>
      <c r="J465" t="s">
        <v>60</v>
      </c>
      <c r="K465" t="s">
        <v>60</v>
      </c>
      <c r="L465" t="s">
        <v>107</v>
      </c>
      <c r="M465" s="3" t="str">
        <f t="shared" si="115"/>
        <v>Corporate</v>
      </c>
      <c r="N465" t="s">
        <v>72</v>
      </c>
      <c r="O465" s="3" t="str">
        <f t="shared" si="116"/>
        <v>West</v>
      </c>
      <c r="P465" t="s">
        <v>83</v>
      </c>
      <c r="Q465" t="s">
        <v>84</v>
      </c>
      <c r="R465" t="s">
        <v>85</v>
      </c>
      <c r="S465" s="3" t="str">
        <f t="shared" si="117"/>
        <v>Technology</v>
      </c>
      <c r="T465" t="s">
        <v>222</v>
      </c>
      <c r="U465" t="s">
        <v>2271</v>
      </c>
      <c r="V465" t="s">
        <v>66</v>
      </c>
      <c r="W465" s="3" t="str">
        <f t="shared" si="118"/>
        <v>Standard Class</v>
      </c>
      <c r="X465">
        <v>4</v>
      </c>
      <c r="Y465">
        <v>889.5</v>
      </c>
      <c r="Z465">
        <v>0.2</v>
      </c>
      <c r="AA465">
        <f t="shared" si="122"/>
        <v>0.2</v>
      </c>
      <c r="AB465">
        <f t="shared" si="123"/>
        <v>2846.4</v>
      </c>
      <c r="AC465">
        <v>2846.4</v>
      </c>
      <c r="AD465">
        <v>2132.37</v>
      </c>
      <c r="AE465">
        <v>714.03</v>
      </c>
      <c r="AF465" t="s">
        <v>33</v>
      </c>
      <c r="AG465" t="s">
        <v>34</v>
      </c>
      <c r="AH465" t="str">
        <f t="shared" si="119"/>
        <v>Completed</v>
      </c>
      <c r="AI465" t="str">
        <f t="shared" si="120"/>
        <v>Valid</v>
      </c>
      <c r="AJ465">
        <f t="shared" si="121"/>
        <v>714.0300000000002</v>
      </c>
      <c r="AK465" s="12">
        <f t="shared" si="124"/>
        <v>0.25085370994940986</v>
      </c>
      <c r="AL465">
        <f t="shared" si="125"/>
        <v>2</v>
      </c>
      <c r="AM465">
        <f t="shared" si="126"/>
        <v>2025</v>
      </c>
      <c r="AN465" t="str">
        <f t="shared" si="127"/>
        <v>Clean</v>
      </c>
    </row>
    <row r="466" spans="1:40">
      <c r="A466" t="s">
        <v>2272</v>
      </c>
      <c r="B466" s="3" t="s">
        <v>2273</v>
      </c>
      <c r="C466" s="10">
        <v>45727</v>
      </c>
      <c r="D466" s="3" t="s">
        <v>2274</v>
      </c>
      <c r="E466" s="10">
        <v>45731</v>
      </c>
      <c r="F466" s="6" t="str">
        <f t="shared" si="112"/>
        <v>Valid</v>
      </c>
      <c r="G466" s="8">
        <f t="shared" si="113"/>
        <v>4</v>
      </c>
      <c r="H466" s="8" t="str">
        <f t="shared" si="114"/>
        <v>Valid</v>
      </c>
      <c r="I466" t="s">
        <v>2275</v>
      </c>
      <c r="J466" t="s">
        <v>60</v>
      </c>
      <c r="K466" t="s">
        <v>60</v>
      </c>
      <c r="L466" t="s">
        <v>107</v>
      </c>
      <c r="M466" s="3" t="str">
        <f t="shared" si="115"/>
        <v>Corporate</v>
      </c>
      <c r="N466" t="s">
        <v>41</v>
      </c>
      <c r="O466" s="3" t="str">
        <f t="shared" si="116"/>
        <v>East</v>
      </c>
      <c r="P466" t="s">
        <v>185</v>
      </c>
      <c r="Q466" t="s">
        <v>186</v>
      </c>
      <c r="R466" t="s">
        <v>29</v>
      </c>
      <c r="S466" s="3" t="str">
        <f t="shared" si="117"/>
        <v>Office Supplies</v>
      </c>
      <c r="T466" t="s">
        <v>30</v>
      </c>
      <c r="U466" t="s">
        <v>2276</v>
      </c>
      <c r="V466" t="s">
        <v>47</v>
      </c>
      <c r="W466" s="3" t="str">
        <f t="shared" si="118"/>
        <v>Same Day</v>
      </c>
      <c r="X466">
        <v>3</v>
      </c>
      <c r="Y466">
        <v>3625.08</v>
      </c>
      <c r="Z466">
        <v>0.05</v>
      </c>
      <c r="AA466">
        <f t="shared" si="122"/>
        <v>0.05</v>
      </c>
      <c r="AB466">
        <f t="shared" si="123"/>
        <v>10331.477999999999</v>
      </c>
      <c r="AC466">
        <v>10331.48</v>
      </c>
      <c r="AD466">
        <v>7131.91</v>
      </c>
      <c r="AE466">
        <v>3199.57</v>
      </c>
      <c r="AF466" t="s">
        <v>136</v>
      </c>
      <c r="AG466" t="s">
        <v>77</v>
      </c>
      <c r="AH466" t="str">
        <f t="shared" si="119"/>
        <v>Cancelled</v>
      </c>
      <c r="AI466" t="str">
        <f t="shared" si="120"/>
        <v>Valid</v>
      </c>
      <c r="AJ466">
        <f t="shared" si="121"/>
        <v>3199.5699999999997</v>
      </c>
      <c r="AK466" s="12">
        <f t="shared" si="124"/>
        <v>0.30969141104496373</v>
      </c>
      <c r="AL466">
        <f t="shared" si="125"/>
        <v>3</v>
      </c>
      <c r="AM466">
        <f t="shared" si="126"/>
        <v>2025</v>
      </c>
      <c r="AN466" t="str">
        <f t="shared" si="127"/>
        <v>Clean</v>
      </c>
    </row>
    <row r="467" spans="1:40">
      <c r="A467" t="s">
        <v>2277</v>
      </c>
      <c r="B467" s="3" t="s">
        <v>2278</v>
      </c>
      <c r="C467" s="10">
        <v>45320</v>
      </c>
      <c r="D467" s="3" t="s">
        <v>2279</v>
      </c>
      <c r="E467" s="10">
        <v>45328</v>
      </c>
      <c r="F467" s="6" t="str">
        <f t="shared" si="112"/>
        <v>Valid</v>
      </c>
      <c r="G467" s="8">
        <f t="shared" si="113"/>
        <v>8</v>
      </c>
      <c r="H467" s="8" t="str">
        <f t="shared" si="114"/>
        <v>Valid</v>
      </c>
      <c r="I467" t="s">
        <v>2280</v>
      </c>
      <c r="J467" t="s">
        <v>161</v>
      </c>
      <c r="K467" t="s">
        <v>161</v>
      </c>
      <c r="L467" t="s">
        <v>40</v>
      </c>
      <c r="M467" s="3" t="str">
        <f t="shared" si="115"/>
        <v>Small Business</v>
      </c>
      <c r="N467" t="s">
        <v>72</v>
      </c>
      <c r="O467" s="3" t="str">
        <f t="shared" si="116"/>
        <v>West</v>
      </c>
      <c r="P467" t="s">
        <v>83</v>
      </c>
      <c r="Q467" t="s">
        <v>84</v>
      </c>
      <c r="R467" t="s">
        <v>29</v>
      </c>
      <c r="S467" s="3" t="str">
        <f t="shared" si="117"/>
        <v>Office Supplies</v>
      </c>
      <c r="T467" t="s">
        <v>108</v>
      </c>
      <c r="U467" t="s">
        <v>2281</v>
      </c>
      <c r="V467" t="s">
        <v>66</v>
      </c>
      <c r="W467" s="3" t="str">
        <f t="shared" si="118"/>
        <v>Standard Class</v>
      </c>
      <c r="X467">
        <v>2</v>
      </c>
      <c r="Y467">
        <v>1258.9000000000001</v>
      </c>
      <c r="Z467">
        <v>0</v>
      </c>
      <c r="AA467">
        <f t="shared" si="122"/>
        <v>0</v>
      </c>
      <c r="AB467">
        <f t="shared" si="123"/>
        <v>2517.8000000000002</v>
      </c>
      <c r="AC467">
        <v>2517.8000000000002</v>
      </c>
      <c r="AD467">
        <v>1478.54</v>
      </c>
      <c r="AE467">
        <v>1039.26</v>
      </c>
      <c r="AF467" t="s">
        <v>33</v>
      </c>
      <c r="AG467" t="s">
        <v>34</v>
      </c>
      <c r="AH467" t="str">
        <f t="shared" si="119"/>
        <v>Completed</v>
      </c>
      <c r="AI467" t="str">
        <f t="shared" si="120"/>
        <v>Valid</v>
      </c>
      <c r="AJ467">
        <f t="shared" si="121"/>
        <v>1039.2600000000002</v>
      </c>
      <c r="AK467" s="12">
        <f t="shared" si="124"/>
        <v>0.41276511239971408</v>
      </c>
      <c r="AL467">
        <f t="shared" si="125"/>
        <v>1</v>
      </c>
      <c r="AM467">
        <f t="shared" si="126"/>
        <v>2024</v>
      </c>
      <c r="AN467" t="str">
        <f t="shared" si="127"/>
        <v>Clean</v>
      </c>
    </row>
    <row r="468" spans="1:40">
      <c r="A468" t="s">
        <v>2282</v>
      </c>
      <c r="B468" s="3" t="s">
        <v>2283</v>
      </c>
      <c r="C468" s="10">
        <v>45295</v>
      </c>
      <c r="D468" s="3" t="s">
        <v>2284</v>
      </c>
      <c r="E468" s="10">
        <v>45299</v>
      </c>
      <c r="F468" s="6" t="str">
        <f t="shared" si="112"/>
        <v>Valid</v>
      </c>
      <c r="G468" s="8">
        <f t="shared" si="113"/>
        <v>4</v>
      </c>
      <c r="H468" s="8" t="str">
        <f t="shared" si="114"/>
        <v>Valid</v>
      </c>
      <c r="I468" t="s">
        <v>2285</v>
      </c>
      <c r="J468" t="s">
        <v>39</v>
      </c>
      <c r="K468" t="s">
        <v>39</v>
      </c>
      <c r="L468" t="s">
        <v>40</v>
      </c>
      <c r="M468" s="3" t="str">
        <f t="shared" si="115"/>
        <v>Small Business</v>
      </c>
      <c r="N468" t="s">
        <v>41</v>
      </c>
      <c r="O468" s="3" t="str">
        <f t="shared" si="116"/>
        <v>East</v>
      </c>
      <c r="P468" t="s">
        <v>185</v>
      </c>
      <c r="Q468" t="s">
        <v>186</v>
      </c>
      <c r="R468" t="s">
        <v>85</v>
      </c>
      <c r="S468" s="3" t="str">
        <f t="shared" si="117"/>
        <v>Technology</v>
      </c>
      <c r="T468" t="s">
        <v>86</v>
      </c>
      <c r="U468" t="s">
        <v>2286</v>
      </c>
      <c r="V468" t="s">
        <v>47</v>
      </c>
      <c r="W468" s="3" t="str">
        <f t="shared" si="118"/>
        <v>Same Day</v>
      </c>
      <c r="X468">
        <v>9</v>
      </c>
      <c r="Y468">
        <v>1591.96</v>
      </c>
      <c r="Z468">
        <v>0.2</v>
      </c>
      <c r="AA468">
        <f t="shared" si="122"/>
        <v>0.2</v>
      </c>
      <c r="AB468">
        <f t="shared" si="123"/>
        <v>11462.112000000001</v>
      </c>
      <c r="AC468">
        <v>11462.11</v>
      </c>
      <c r="AD468">
        <v>7105.48</v>
      </c>
      <c r="AE468">
        <v>4356.63</v>
      </c>
      <c r="AF468" t="s">
        <v>33</v>
      </c>
      <c r="AG468" t="s">
        <v>34</v>
      </c>
      <c r="AH468" t="str">
        <f t="shared" si="119"/>
        <v>Completed</v>
      </c>
      <c r="AI468" t="str">
        <f t="shared" si="120"/>
        <v>Valid</v>
      </c>
      <c r="AJ468">
        <f t="shared" si="121"/>
        <v>4356.630000000001</v>
      </c>
      <c r="AK468" s="12">
        <f t="shared" si="124"/>
        <v>0.38008963793060135</v>
      </c>
      <c r="AL468">
        <f t="shared" si="125"/>
        <v>1</v>
      </c>
      <c r="AM468">
        <f t="shared" si="126"/>
        <v>2024</v>
      </c>
      <c r="AN468" t="str">
        <f t="shared" si="127"/>
        <v>Clean</v>
      </c>
    </row>
    <row r="469" spans="1:40">
      <c r="A469" t="s">
        <v>2287</v>
      </c>
      <c r="B469" s="3" t="s">
        <v>2288</v>
      </c>
      <c r="C469" s="10">
        <v>45524</v>
      </c>
      <c r="D469" s="3" t="s">
        <v>1625</v>
      </c>
      <c r="E469" s="10">
        <v>45525</v>
      </c>
      <c r="F469" s="6" t="str">
        <f t="shared" si="112"/>
        <v>Valid</v>
      </c>
      <c r="G469" s="8">
        <f t="shared" si="113"/>
        <v>1</v>
      </c>
      <c r="H469" s="8" t="str">
        <f t="shared" si="114"/>
        <v>Valid</v>
      </c>
      <c r="I469" t="s">
        <v>2289</v>
      </c>
      <c r="J469" t="s">
        <v>106</v>
      </c>
      <c r="K469" t="s">
        <v>106</v>
      </c>
      <c r="L469" t="s">
        <v>107</v>
      </c>
      <c r="M469" s="3" t="str">
        <f t="shared" si="115"/>
        <v>Corporate</v>
      </c>
      <c r="N469" t="s">
        <v>41</v>
      </c>
      <c r="O469" s="3" t="str">
        <f t="shared" si="116"/>
        <v>East</v>
      </c>
      <c r="P469" t="s">
        <v>42</v>
      </c>
      <c r="Q469" t="s">
        <v>43</v>
      </c>
      <c r="R469" t="s">
        <v>85</v>
      </c>
      <c r="S469" s="3" t="str">
        <f t="shared" si="117"/>
        <v>Technology</v>
      </c>
      <c r="T469" t="s">
        <v>93</v>
      </c>
      <c r="U469" t="s">
        <v>2290</v>
      </c>
      <c r="V469" t="s">
        <v>55</v>
      </c>
      <c r="W469" s="3" t="str">
        <f t="shared" si="118"/>
        <v>First Class</v>
      </c>
      <c r="X469">
        <v>5</v>
      </c>
      <c r="Y469">
        <v>4288.33</v>
      </c>
      <c r="Z469">
        <v>0.1</v>
      </c>
      <c r="AA469">
        <f t="shared" si="122"/>
        <v>0.1</v>
      </c>
      <c r="AB469">
        <f t="shared" si="123"/>
        <v>19297.485000000001</v>
      </c>
      <c r="AC469">
        <v>19297.490000000002</v>
      </c>
      <c r="AD469">
        <v>15451.66</v>
      </c>
      <c r="AE469">
        <v>3845.83</v>
      </c>
      <c r="AF469" t="s">
        <v>123</v>
      </c>
      <c r="AG469" t="s">
        <v>77</v>
      </c>
      <c r="AH469" t="str">
        <f t="shared" si="119"/>
        <v>Cancelled</v>
      </c>
      <c r="AI469" t="str">
        <f t="shared" si="120"/>
        <v>Valid</v>
      </c>
      <c r="AJ469">
        <f t="shared" si="121"/>
        <v>3845.8300000000017</v>
      </c>
      <c r="AK469" s="12">
        <f t="shared" si="124"/>
        <v>0.19929177299528936</v>
      </c>
      <c r="AL469">
        <f t="shared" si="125"/>
        <v>8</v>
      </c>
      <c r="AM469">
        <f t="shared" si="126"/>
        <v>2024</v>
      </c>
      <c r="AN469" t="str">
        <f t="shared" si="127"/>
        <v>Clean</v>
      </c>
    </row>
    <row r="470" spans="1:40">
      <c r="A470" t="s">
        <v>2291</v>
      </c>
      <c r="B470" s="3" t="s">
        <v>2292</v>
      </c>
      <c r="C470" s="10">
        <v>45666</v>
      </c>
      <c r="D470" s="3" t="s">
        <v>2293</v>
      </c>
      <c r="E470" s="10">
        <v>45664</v>
      </c>
      <c r="F470" s="6" t="str">
        <f t="shared" si="112"/>
        <v>Invalid Shipping Record</v>
      </c>
      <c r="G470" s="8">
        <f t="shared" si="113"/>
        <v>-2</v>
      </c>
      <c r="H470" s="8" t="str">
        <f t="shared" si="114"/>
        <v>Invalid Shipping Record</v>
      </c>
      <c r="I470" t="s">
        <v>2294</v>
      </c>
      <c r="J470" t="s">
        <v>161</v>
      </c>
      <c r="K470" t="s">
        <v>161</v>
      </c>
      <c r="L470" t="s">
        <v>114</v>
      </c>
      <c r="M470" s="3" t="str">
        <f t="shared" si="115"/>
        <v>Home Office</v>
      </c>
      <c r="N470" t="s">
        <v>41</v>
      </c>
      <c r="O470" s="3" t="str">
        <f t="shared" si="116"/>
        <v>East</v>
      </c>
      <c r="P470" t="s">
        <v>120</v>
      </c>
      <c r="Q470" t="s">
        <v>121</v>
      </c>
      <c r="R470" t="s">
        <v>29</v>
      </c>
      <c r="S470" s="3" t="str">
        <f t="shared" si="117"/>
        <v>Office Supplies</v>
      </c>
      <c r="T470" t="s">
        <v>197</v>
      </c>
      <c r="U470" t="s">
        <v>2295</v>
      </c>
      <c r="V470" t="s">
        <v>32</v>
      </c>
      <c r="W470" s="3" t="str">
        <f t="shared" si="118"/>
        <v>Second Class</v>
      </c>
      <c r="X470">
        <v>3</v>
      </c>
      <c r="Y470">
        <v>2188.33</v>
      </c>
      <c r="Z470">
        <v>0</v>
      </c>
      <c r="AA470">
        <f t="shared" si="122"/>
        <v>0</v>
      </c>
      <c r="AB470">
        <f t="shared" si="123"/>
        <v>6564.99</v>
      </c>
      <c r="AC470">
        <v>6564.99</v>
      </c>
      <c r="AD470">
        <v>5407.24</v>
      </c>
      <c r="AE470">
        <v>1157.75</v>
      </c>
      <c r="AF470" t="s">
        <v>33</v>
      </c>
      <c r="AG470" t="s">
        <v>34</v>
      </c>
      <c r="AH470" t="str">
        <f t="shared" si="119"/>
        <v>Completed</v>
      </c>
      <c r="AI470" t="str">
        <f t="shared" si="120"/>
        <v>Valid</v>
      </c>
      <c r="AJ470">
        <f t="shared" si="121"/>
        <v>1157.75</v>
      </c>
      <c r="AK470" s="12">
        <f t="shared" si="124"/>
        <v>0.17635213458055535</v>
      </c>
      <c r="AL470">
        <f t="shared" si="125"/>
        <v>1</v>
      </c>
      <c r="AM470">
        <f t="shared" si="126"/>
        <v>2025</v>
      </c>
      <c r="AN470" t="str">
        <f t="shared" si="127"/>
        <v>Invalid</v>
      </c>
    </row>
    <row r="471" spans="1:40">
      <c r="A471" t="s">
        <v>2296</v>
      </c>
      <c r="B471" s="3" t="s">
        <v>2297</v>
      </c>
      <c r="C471" s="10">
        <v>45310</v>
      </c>
      <c r="D471" s="3" t="s">
        <v>2050</v>
      </c>
      <c r="E471" s="10">
        <v>45316</v>
      </c>
      <c r="F471" s="6" t="str">
        <f t="shared" si="112"/>
        <v>Valid</v>
      </c>
      <c r="G471" s="8">
        <f t="shared" si="113"/>
        <v>6</v>
      </c>
      <c r="H471" s="8" t="str">
        <f t="shared" si="114"/>
        <v>Valid</v>
      </c>
      <c r="I471" t="s">
        <v>2298</v>
      </c>
      <c r="J471" t="s">
        <v>106</v>
      </c>
      <c r="K471" t="s">
        <v>106</v>
      </c>
      <c r="L471" t="s">
        <v>107</v>
      </c>
      <c r="M471" s="3" t="str">
        <f t="shared" si="115"/>
        <v>Corporate</v>
      </c>
      <c r="N471" t="s">
        <v>72</v>
      </c>
      <c r="O471" s="3" t="str">
        <f t="shared" si="116"/>
        <v>West</v>
      </c>
      <c r="P471" t="s">
        <v>248</v>
      </c>
      <c r="Q471" t="s">
        <v>249</v>
      </c>
      <c r="R471" t="s">
        <v>85</v>
      </c>
      <c r="S471" s="3" t="str">
        <f t="shared" si="117"/>
        <v>Technology</v>
      </c>
      <c r="T471" t="s">
        <v>93</v>
      </c>
      <c r="U471" t="s">
        <v>2299</v>
      </c>
      <c r="V471" t="s">
        <v>55</v>
      </c>
      <c r="W471" s="3" t="str">
        <f t="shared" si="118"/>
        <v>First Class</v>
      </c>
      <c r="X471">
        <v>3</v>
      </c>
      <c r="Y471">
        <v>1041.6600000000001</v>
      </c>
      <c r="Z471">
        <v>0.1</v>
      </c>
      <c r="AA471">
        <f t="shared" si="122"/>
        <v>0.1</v>
      </c>
      <c r="AB471">
        <f t="shared" si="123"/>
        <v>2812.4820000000004</v>
      </c>
      <c r="AC471">
        <v>2812.48</v>
      </c>
      <c r="AD471">
        <v>2282.12</v>
      </c>
      <c r="AE471">
        <v>530.36</v>
      </c>
      <c r="AF471" t="s">
        <v>33</v>
      </c>
      <c r="AG471" t="s">
        <v>34</v>
      </c>
      <c r="AH471" t="str">
        <f t="shared" si="119"/>
        <v>Completed</v>
      </c>
      <c r="AI471" t="str">
        <f t="shared" si="120"/>
        <v>Valid</v>
      </c>
      <c r="AJ471">
        <f t="shared" si="121"/>
        <v>530.36000000000013</v>
      </c>
      <c r="AK471" s="12">
        <f t="shared" si="124"/>
        <v>0.18857365131581288</v>
      </c>
      <c r="AL471">
        <f t="shared" si="125"/>
        <v>1</v>
      </c>
      <c r="AM471">
        <f t="shared" si="126"/>
        <v>2024</v>
      </c>
      <c r="AN471" t="str">
        <f t="shared" si="127"/>
        <v>Clean</v>
      </c>
    </row>
    <row r="472" spans="1:40">
      <c r="A472" t="s">
        <v>2300</v>
      </c>
      <c r="B472" s="3" t="s">
        <v>2301</v>
      </c>
      <c r="C472" s="10">
        <v>45501</v>
      </c>
      <c r="D472" s="3" t="s">
        <v>1593</v>
      </c>
      <c r="E472" s="10">
        <v>45504</v>
      </c>
      <c r="F472" s="6" t="str">
        <f t="shared" si="112"/>
        <v>Valid</v>
      </c>
      <c r="G472" s="8">
        <f t="shared" si="113"/>
        <v>3</v>
      </c>
      <c r="H472" s="8" t="str">
        <f t="shared" si="114"/>
        <v>Valid</v>
      </c>
      <c r="I472" t="s">
        <v>2302</v>
      </c>
      <c r="J472" t="s">
        <v>106</v>
      </c>
      <c r="K472" t="s">
        <v>106</v>
      </c>
      <c r="L472" t="s">
        <v>25</v>
      </c>
      <c r="M472" s="3" t="str">
        <f t="shared" si="115"/>
        <v>Consumer</v>
      </c>
      <c r="N472" t="s">
        <v>26</v>
      </c>
      <c r="O472" s="3" t="str">
        <f t="shared" si="116"/>
        <v>North</v>
      </c>
      <c r="P472" t="s">
        <v>27</v>
      </c>
      <c r="Q472" t="s">
        <v>28</v>
      </c>
      <c r="R472" t="s">
        <v>44</v>
      </c>
      <c r="S472" s="3" t="str">
        <f t="shared" si="117"/>
        <v>Furniture</v>
      </c>
      <c r="T472" t="s">
        <v>45</v>
      </c>
      <c r="U472" t="s">
        <v>2303</v>
      </c>
      <c r="V472" t="s">
        <v>47</v>
      </c>
      <c r="W472" s="3" t="str">
        <f t="shared" si="118"/>
        <v>Same Day</v>
      </c>
      <c r="X472">
        <v>2</v>
      </c>
      <c r="Y472">
        <v>4424.78</v>
      </c>
      <c r="Z472">
        <v>0.2</v>
      </c>
      <c r="AA472">
        <f t="shared" si="122"/>
        <v>0.2</v>
      </c>
      <c r="AB472">
        <f t="shared" si="123"/>
        <v>7079.6480000000001</v>
      </c>
      <c r="AC472">
        <v>7079.65</v>
      </c>
      <c r="AD472">
        <v>4465.91</v>
      </c>
      <c r="AE472">
        <v>2613.7399999999998</v>
      </c>
      <c r="AF472" t="s">
        <v>33</v>
      </c>
      <c r="AG472" t="s">
        <v>34</v>
      </c>
      <c r="AH472" t="str">
        <f t="shared" si="119"/>
        <v>Completed</v>
      </c>
      <c r="AI472" t="str">
        <f t="shared" si="120"/>
        <v>Valid</v>
      </c>
      <c r="AJ472">
        <f t="shared" si="121"/>
        <v>2613.7399999999998</v>
      </c>
      <c r="AK472" s="12">
        <f t="shared" si="124"/>
        <v>0.3691906716266119</v>
      </c>
      <c r="AL472">
        <f t="shared" si="125"/>
        <v>7</v>
      </c>
      <c r="AM472">
        <f t="shared" si="126"/>
        <v>2024</v>
      </c>
      <c r="AN472" t="str">
        <f t="shared" si="127"/>
        <v>Clean</v>
      </c>
    </row>
    <row r="473" spans="1:40">
      <c r="A473" t="s">
        <v>2304</v>
      </c>
      <c r="B473" s="3" t="s">
        <v>2305</v>
      </c>
      <c r="C473" s="10">
        <v>45333</v>
      </c>
      <c r="D473" s="3" t="s">
        <v>2306</v>
      </c>
      <c r="E473" s="10">
        <v>45337</v>
      </c>
      <c r="F473" s="6" t="str">
        <f t="shared" si="112"/>
        <v>Valid</v>
      </c>
      <c r="G473" s="8">
        <f t="shared" si="113"/>
        <v>4</v>
      </c>
      <c r="H473" s="8" t="str">
        <f t="shared" si="114"/>
        <v>Valid</v>
      </c>
      <c r="I473" t="s">
        <v>2307</v>
      </c>
      <c r="J473" t="s">
        <v>365</v>
      </c>
      <c r="K473" t="s">
        <v>365</v>
      </c>
      <c r="L473" t="s">
        <v>25</v>
      </c>
      <c r="M473" s="3" t="str">
        <f t="shared" si="115"/>
        <v>Consumer</v>
      </c>
      <c r="N473" t="s">
        <v>61</v>
      </c>
      <c r="O473" s="3" t="str">
        <f t="shared" si="116"/>
        <v>South</v>
      </c>
      <c r="P473" t="s">
        <v>62</v>
      </c>
      <c r="Q473" t="s">
        <v>63</v>
      </c>
      <c r="R473" t="s">
        <v>29</v>
      </c>
      <c r="S473" s="3" t="str">
        <f t="shared" si="117"/>
        <v>Office Supplies</v>
      </c>
      <c r="T473" t="s">
        <v>197</v>
      </c>
      <c r="U473" t="s">
        <v>2308</v>
      </c>
      <c r="V473" t="s">
        <v>66</v>
      </c>
      <c r="W473" s="3" t="str">
        <f t="shared" si="118"/>
        <v>Standard Class</v>
      </c>
      <c r="X473">
        <v>3</v>
      </c>
      <c r="Y473">
        <v>3019.14</v>
      </c>
      <c r="Z473">
        <v>0.25</v>
      </c>
      <c r="AA473">
        <f t="shared" si="122"/>
        <v>0.25</v>
      </c>
      <c r="AB473">
        <f t="shared" si="123"/>
        <v>6793.0650000000005</v>
      </c>
      <c r="AC473">
        <v>6793.07</v>
      </c>
      <c r="AD473">
        <v>4985.22</v>
      </c>
      <c r="AE473">
        <v>1807.85</v>
      </c>
      <c r="AF473" t="s">
        <v>33</v>
      </c>
      <c r="AG473" t="s">
        <v>34</v>
      </c>
      <c r="AH473" t="str">
        <f t="shared" si="119"/>
        <v>Completed</v>
      </c>
      <c r="AI473" t="str">
        <f t="shared" si="120"/>
        <v>Valid</v>
      </c>
      <c r="AJ473">
        <f t="shared" si="121"/>
        <v>1807.8499999999995</v>
      </c>
      <c r="AK473" s="12">
        <f t="shared" si="124"/>
        <v>0.26613170932414149</v>
      </c>
      <c r="AL473">
        <f t="shared" si="125"/>
        <v>2</v>
      </c>
      <c r="AM473">
        <f t="shared" si="126"/>
        <v>2024</v>
      </c>
      <c r="AN473" t="str">
        <f t="shared" si="127"/>
        <v>Clean</v>
      </c>
    </row>
    <row r="474" spans="1:40">
      <c r="A474" t="s">
        <v>2309</v>
      </c>
      <c r="B474" s="3" t="s">
        <v>2310</v>
      </c>
      <c r="C474" s="10">
        <v>45353</v>
      </c>
      <c r="D474" s="3" t="s">
        <v>1505</v>
      </c>
      <c r="E474" s="10">
        <v>45358</v>
      </c>
      <c r="F474" s="6" t="str">
        <f t="shared" si="112"/>
        <v>Valid</v>
      </c>
      <c r="G474" s="8">
        <f t="shared" si="113"/>
        <v>5</v>
      </c>
      <c r="H474" s="8" t="str">
        <f t="shared" si="114"/>
        <v>Valid</v>
      </c>
      <c r="I474" t="s">
        <v>2311</v>
      </c>
      <c r="J474" t="s">
        <v>179</v>
      </c>
      <c r="K474" t="s">
        <v>179</v>
      </c>
      <c r="L474" t="s">
        <v>107</v>
      </c>
      <c r="M474" s="3" t="str">
        <f t="shared" si="115"/>
        <v>Corporate</v>
      </c>
      <c r="N474" t="s">
        <v>41</v>
      </c>
      <c r="O474" s="3" t="str">
        <f t="shared" si="116"/>
        <v>East</v>
      </c>
      <c r="P474" t="s">
        <v>42</v>
      </c>
      <c r="Q474" t="s">
        <v>43</v>
      </c>
      <c r="R474" t="s">
        <v>29</v>
      </c>
      <c r="S474" s="3" t="str">
        <f t="shared" si="117"/>
        <v>Office Supplies</v>
      </c>
      <c r="T474" t="s">
        <v>155</v>
      </c>
      <c r="U474" t="s">
        <v>2312</v>
      </c>
      <c r="V474" t="s">
        <v>66</v>
      </c>
      <c r="W474" s="3" t="str">
        <f t="shared" si="118"/>
        <v>Standard Class</v>
      </c>
      <c r="X474">
        <v>7</v>
      </c>
      <c r="Y474">
        <v>263.45999999999998</v>
      </c>
      <c r="Z474">
        <v>0</v>
      </c>
      <c r="AA474">
        <f t="shared" si="122"/>
        <v>0</v>
      </c>
      <c r="AB474">
        <f t="shared" si="123"/>
        <v>1844.2199999999998</v>
      </c>
      <c r="AC474">
        <v>1844.22</v>
      </c>
      <c r="AD474">
        <v>1094.21</v>
      </c>
      <c r="AE474">
        <v>750.01</v>
      </c>
      <c r="AF474" t="s">
        <v>33</v>
      </c>
      <c r="AG474" t="s">
        <v>34</v>
      </c>
      <c r="AH474" t="str">
        <f t="shared" si="119"/>
        <v>Completed</v>
      </c>
      <c r="AI474" t="str">
        <f t="shared" si="120"/>
        <v>Valid</v>
      </c>
      <c r="AJ474">
        <f t="shared" si="121"/>
        <v>750.01</v>
      </c>
      <c r="AK474" s="12">
        <f t="shared" si="124"/>
        <v>0.40668141544934988</v>
      </c>
      <c r="AL474">
        <f t="shared" si="125"/>
        <v>3</v>
      </c>
      <c r="AM474">
        <f t="shared" si="126"/>
        <v>2024</v>
      </c>
      <c r="AN474" t="str">
        <f t="shared" si="127"/>
        <v>Clean</v>
      </c>
    </row>
    <row r="475" spans="1:40">
      <c r="A475" t="s">
        <v>2313</v>
      </c>
      <c r="B475" s="3" t="s">
        <v>2314</v>
      </c>
      <c r="C475" s="10">
        <v>45609</v>
      </c>
      <c r="D475" s="3" t="s">
        <v>444</v>
      </c>
      <c r="E475" s="10">
        <v>45609</v>
      </c>
      <c r="F475" s="6" t="str">
        <f t="shared" si="112"/>
        <v>Valid</v>
      </c>
      <c r="G475" s="8">
        <f t="shared" si="113"/>
        <v>0</v>
      </c>
      <c r="H475" s="8" t="str">
        <f t="shared" si="114"/>
        <v>Valid</v>
      </c>
      <c r="I475" t="s">
        <v>2315</v>
      </c>
      <c r="J475" t="s">
        <v>141</v>
      </c>
      <c r="K475" t="s">
        <v>141</v>
      </c>
      <c r="L475" t="s">
        <v>25</v>
      </c>
      <c r="M475" s="3" t="str">
        <f t="shared" si="115"/>
        <v>Consumer</v>
      </c>
      <c r="N475" t="s">
        <v>72</v>
      </c>
      <c r="O475" s="3" t="str">
        <f t="shared" si="116"/>
        <v>West</v>
      </c>
      <c r="P475" t="s">
        <v>248</v>
      </c>
      <c r="Q475" t="s">
        <v>249</v>
      </c>
      <c r="R475" t="s">
        <v>85</v>
      </c>
      <c r="S475" s="3" t="str">
        <f t="shared" si="117"/>
        <v>Technology</v>
      </c>
      <c r="T475" t="s">
        <v>93</v>
      </c>
      <c r="U475" t="s">
        <v>2316</v>
      </c>
      <c r="V475" t="s">
        <v>66</v>
      </c>
      <c r="W475" s="3" t="str">
        <f t="shared" si="118"/>
        <v>Standard Class</v>
      </c>
      <c r="X475">
        <v>6</v>
      </c>
      <c r="Y475">
        <v>191.45</v>
      </c>
      <c r="Z475">
        <v>0.2</v>
      </c>
      <c r="AA475">
        <f t="shared" si="122"/>
        <v>0.2</v>
      </c>
      <c r="AB475">
        <f t="shared" si="123"/>
        <v>918.95999999999992</v>
      </c>
      <c r="AC475">
        <v>918.96</v>
      </c>
      <c r="AD475">
        <v>554.17999999999995</v>
      </c>
      <c r="AE475">
        <v>364.78</v>
      </c>
      <c r="AF475" t="s">
        <v>33</v>
      </c>
      <c r="AG475" t="s">
        <v>34</v>
      </c>
      <c r="AH475" t="str">
        <f t="shared" si="119"/>
        <v>Completed</v>
      </c>
      <c r="AI475" t="str">
        <f t="shared" si="120"/>
        <v>Valid</v>
      </c>
      <c r="AJ475">
        <f t="shared" si="121"/>
        <v>364.78000000000009</v>
      </c>
      <c r="AK475" s="12">
        <f t="shared" si="124"/>
        <v>0.39694872464525127</v>
      </c>
      <c r="AL475">
        <f t="shared" si="125"/>
        <v>11</v>
      </c>
      <c r="AM475">
        <f t="shared" si="126"/>
        <v>2024</v>
      </c>
      <c r="AN475" t="str">
        <f t="shared" si="127"/>
        <v>Clean</v>
      </c>
    </row>
    <row r="476" spans="1:40">
      <c r="A476" t="s">
        <v>2317</v>
      </c>
      <c r="B476" s="3" t="s">
        <v>1219</v>
      </c>
      <c r="C476" s="10">
        <v>45446</v>
      </c>
      <c r="D476" s="3" t="s">
        <v>2318</v>
      </c>
      <c r="E476" s="10">
        <v>45453</v>
      </c>
      <c r="F476" s="6" t="str">
        <f t="shared" si="112"/>
        <v>Valid</v>
      </c>
      <c r="G476" s="8">
        <f t="shared" si="113"/>
        <v>7</v>
      </c>
      <c r="H476" s="8" t="str">
        <f t="shared" si="114"/>
        <v>Valid</v>
      </c>
      <c r="I476" t="s">
        <v>2319</v>
      </c>
      <c r="J476" t="s">
        <v>209</v>
      </c>
      <c r="K476" t="s">
        <v>209</v>
      </c>
      <c r="L476" t="s">
        <v>107</v>
      </c>
      <c r="M476" s="3" t="str">
        <f t="shared" si="115"/>
        <v>Corporate</v>
      </c>
      <c r="N476" t="s">
        <v>26</v>
      </c>
      <c r="O476" s="3" t="str">
        <f t="shared" si="116"/>
        <v>North</v>
      </c>
      <c r="P476" t="s">
        <v>153</v>
      </c>
      <c r="Q476" t="s">
        <v>154</v>
      </c>
      <c r="R476" t="s">
        <v>44</v>
      </c>
      <c r="S476" s="3" t="str">
        <f t="shared" si="117"/>
        <v>Furniture</v>
      </c>
      <c r="T476" t="s">
        <v>64</v>
      </c>
      <c r="U476" t="s">
        <v>2320</v>
      </c>
      <c r="V476" t="s">
        <v>66</v>
      </c>
      <c r="W476" s="3" t="str">
        <f t="shared" si="118"/>
        <v>Standard Class</v>
      </c>
      <c r="X476">
        <v>3</v>
      </c>
      <c r="Y476">
        <v>1633.57</v>
      </c>
      <c r="Z476">
        <v>0</v>
      </c>
      <c r="AA476">
        <f t="shared" si="122"/>
        <v>0</v>
      </c>
      <c r="AB476">
        <f t="shared" si="123"/>
        <v>4900.71</v>
      </c>
      <c r="AC476">
        <v>4900.71</v>
      </c>
      <c r="AD476">
        <v>2713.9</v>
      </c>
      <c r="AE476">
        <v>2186.81</v>
      </c>
      <c r="AF476" t="s">
        <v>33</v>
      </c>
      <c r="AG476" t="s">
        <v>34</v>
      </c>
      <c r="AH476" t="str">
        <f t="shared" si="119"/>
        <v>Completed</v>
      </c>
      <c r="AI476" t="str">
        <f t="shared" si="120"/>
        <v>Valid</v>
      </c>
      <c r="AJ476">
        <f t="shared" si="121"/>
        <v>2186.81</v>
      </c>
      <c r="AK476" s="12">
        <f t="shared" si="124"/>
        <v>0.44622309828575857</v>
      </c>
      <c r="AL476">
        <f t="shared" si="125"/>
        <v>6</v>
      </c>
      <c r="AM476">
        <f t="shared" si="126"/>
        <v>2024</v>
      </c>
      <c r="AN476" t="str">
        <f t="shared" si="127"/>
        <v>Clean</v>
      </c>
    </row>
    <row r="477" spans="1:40">
      <c r="A477" t="s">
        <v>2321</v>
      </c>
      <c r="B477" s="3" t="s">
        <v>2322</v>
      </c>
      <c r="C477" s="10">
        <v>45717</v>
      </c>
      <c r="D477" s="3" t="s">
        <v>2323</v>
      </c>
      <c r="E477" s="10">
        <v>45724</v>
      </c>
      <c r="F477" s="6" t="str">
        <f t="shared" si="112"/>
        <v>Valid</v>
      </c>
      <c r="G477" s="8">
        <f t="shared" si="113"/>
        <v>7</v>
      </c>
      <c r="H477" s="8" t="str">
        <f t="shared" si="114"/>
        <v>Valid</v>
      </c>
      <c r="I477" t="s">
        <v>2324</v>
      </c>
      <c r="J477" t="s">
        <v>82</v>
      </c>
      <c r="K477" t="s">
        <v>82</v>
      </c>
      <c r="L477" t="s">
        <v>25</v>
      </c>
      <c r="M477" s="3" t="str">
        <f t="shared" si="115"/>
        <v>Consumer</v>
      </c>
      <c r="N477" t="s">
        <v>41</v>
      </c>
      <c r="O477" s="3" t="str">
        <f t="shared" si="116"/>
        <v>East</v>
      </c>
      <c r="P477" t="s">
        <v>120</v>
      </c>
      <c r="Q477" t="s">
        <v>121</v>
      </c>
      <c r="R477" t="s">
        <v>44</v>
      </c>
      <c r="S477" s="3" t="str">
        <f t="shared" si="117"/>
        <v>Furniture</v>
      </c>
      <c r="T477" t="s">
        <v>75</v>
      </c>
      <c r="U477" t="s">
        <v>2325</v>
      </c>
      <c r="V477" t="s">
        <v>47</v>
      </c>
      <c r="W477" s="3" t="str">
        <f t="shared" si="118"/>
        <v>Same Day</v>
      </c>
      <c r="X477">
        <v>8</v>
      </c>
      <c r="Y477">
        <v>3378.82</v>
      </c>
      <c r="Z477">
        <v>0.25</v>
      </c>
      <c r="AA477">
        <f t="shared" si="122"/>
        <v>0.25</v>
      </c>
      <c r="AB477">
        <f t="shared" si="123"/>
        <v>20272.920000000002</v>
      </c>
      <c r="AC477">
        <v>20272.919999999998</v>
      </c>
      <c r="AD477">
        <v>15873.38</v>
      </c>
      <c r="AE477">
        <v>4399.54</v>
      </c>
      <c r="AF477" t="s">
        <v>136</v>
      </c>
      <c r="AG477" t="s">
        <v>124</v>
      </c>
      <c r="AH477" t="str">
        <f t="shared" si="119"/>
        <v>Returned</v>
      </c>
      <c r="AI477" t="str">
        <f t="shared" si="120"/>
        <v>Valid</v>
      </c>
      <c r="AJ477">
        <f t="shared" si="121"/>
        <v>4399.5399999999991</v>
      </c>
      <c r="AK477" s="12">
        <f t="shared" si="124"/>
        <v>0.21701560505344067</v>
      </c>
      <c r="AL477">
        <f t="shared" si="125"/>
        <v>3</v>
      </c>
      <c r="AM477">
        <f t="shared" si="126"/>
        <v>2025</v>
      </c>
      <c r="AN477" t="str">
        <f t="shared" si="127"/>
        <v>Clean</v>
      </c>
    </row>
    <row r="478" spans="1:40">
      <c r="A478" t="s">
        <v>2326</v>
      </c>
      <c r="B478" s="3" t="s">
        <v>2327</v>
      </c>
      <c r="C478" s="10">
        <v>45419</v>
      </c>
      <c r="D478" s="3" t="s">
        <v>2328</v>
      </c>
      <c r="E478" s="10">
        <v>45426</v>
      </c>
      <c r="F478" s="6" t="str">
        <f t="shared" si="112"/>
        <v>Valid</v>
      </c>
      <c r="G478" s="8">
        <f t="shared" si="113"/>
        <v>7</v>
      </c>
      <c r="H478" s="8" t="str">
        <f t="shared" si="114"/>
        <v>Valid</v>
      </c>
      <c r="I478" t="s">
        <v>2329</v>
      </c>
      <c r="J478" t="s">
        <v>167</v>
      </c>
      <c r="K478" t="s">
        <v>167</v>
      </c>
      <c r="L478" t="s">
        <v>40</v>
      </c>
      <c r="M478" s="3" t="str">
        <f t="shared" si="115"/>
        <v>Small Business</v>
      </c>
      <c r="N478" t="s">
        <v>26</v>
      </c>
      <c r="O478" s="3" t="str">
        <f t="shared" si="116"/>
        <v>North</v>
      </c>
      <c r="P478" t="s">
        <v>27</v>
      </c>
      <c r="Q478" t="s">
        <v>28</v>
      </c>
      <c r="R478" t="s">
        <v>29</v>
      </c>
      <c r="S478" s="3" t="str">
        <f t="shared" si="117"/>
        <v>Office Supplies</v>
      </c>
      <c r="T478" t="s">
        <v>155</v>
      </c>
      <c r="U478" t="s">
        <v>2330</v>
      </c>
      <c r="V478" t="s">
        <v>55</v>
      </c>
      <c r="W478" s="3" t="str">
        <f t="shared" si="118"/>
        <v>First Class</v>
      </c>
      <c r="X478">
        <v>3</v>
      </c>
      <c r="Y478">
        <v>383.58</v>
      </c>
      <c r="Z478">
        <v>0.1</v>
      </c>
      <c r="AA478">
        <f t="shared" si="122"/>
        <v>0.1</v>
      </c>
      <c r="AB478">
        <f t="shared" si="123"/>
        <v>1035.6659999999999</v>
      </c>
      <c r="AC478">
        <v>1035.67</v>
      </c>
      <c r="AD478">
        <v>595.41999999999996</v>
      </c>
      <c r="AE478">
        <v>440.25</v>
      </c>
      <c r="AF478" t="s">
        <v>33</v>
      </c>
      <c r="AG478" t="s">
        <v>34</v>
      </c>
      <c r="AH478" t="str">
        <f t="shared" si="119"/>
        <v>Completed</v>
      </c>
      <c r="AI478" t="str">
        <f t="shared" si="120"/>
        <v>Valid</v>
      </c>
      <c r="AJ478">
        <f t="shared" si="121"/>
        <v>440.25000000000011</v>
      </c>
      <c r="AK478" s="12">
        <f t="shared" si="124"/>
        <v>0.42508878344949058</v>
      </c>
      <c r="AL478">
        <f t="shared" si="125"/>
        <v>5</v>
      </c>
      <c r="AM478">
        <f t="shared" si="126"/>
        <v>2024</v>
      </c>
      <c r="AN478" t="str">
        <f t="shared" si="127"/>
        <v>Clean</v>
      </c>
    </row>
    <row r="479" spans="1:40">
      <c r="A479" t="s">
        <v>2331</v>
      </c>
      <c r="B479" s="3" t="s">
        <v>2332</v>
      </c>
      <c r="C479" s="10">
        <v>45892</v>
      </c>
      <c r="D479" s="3" t="s">
        <v>2333</v>
      </c>
      <c r="E479" s="10">
        <v>45897</v>
      </c>
      <c r="F479" s="6" t="str">
        <f t="shared" si="112"/>
        <v>Valid</v>
      </c>
      <c r="G479" s="8">
        <f t="shared" si="113"/>
        <v>5</v>
      </c>
      <c r="H479" s="8" t="str">
        <f t="shared" si="114"/>
        <v>Valid</v>
      </c>
      <c r="I479" t="s">
        <v>2334</v>
      </c>
      <c r="J479" t="s">
        <v>82</v>
      </c>
      <c r="K479" t="s">
        <v>82</v>
      </c>
      <c r="L479" t="s">
        <v>107</v>
      </c>
      <c r="M479" s="3" t="str">
        <f t="shared" si="115"/>
        <v>Corporate</v>
      </c>
      <c r="N479" t="s">
        <v>72</v>
      </c>
      <c r="O479" s="3" t="str">
        <f t="shared" si="116"/>
        <v>West</v>
      </c>
      <c r="P479" t="s">
        <v>234</v>
      </c>
      <c r="Q479" t="s">
        <v>235</v>
      </c>
      <c r="R479" t="s">
        <v>44</v>
      </c>
      <c r="S479" s="3" t="str">
        <f t="shared" si="117"/>
        <v>Furniture</v>
      </c>
      <c r="T479" t="s">
        <v>75</v>
      </c>
      <c r="U479" t="s">
        <v>2335</v>
      </c>
      <c r="V479" t="s">
        <v>66</v>
      </c>
      <c r="W479" s="3" t="str">
        <f t="shared" si="118"/>
        <v>Standard Class</v>
      </c>
      <c r="X479">
        <v>6</v>
      </c>
      <c r="Y479">
        <v>2193.23</v>
      </c>
      <c r="Z479">
        <v>0.1</v>
      </c>
      <c r="AA479">
        <f t="shared" si="122"/>
        <v>0.1</v>
      </c>
      <c r="AB479">
        <f t="shared" si="123"/>
        <v>11843.442000000001</v>
      </c>
      <c r="AC479">
        <v>11843.44</v>
      </c>
      <c r="AD479">
        <v>9356.8799999999992</v>
      </c>
      <c r="AE479">
        <v>2486.56</v>
      </c>
      <c r="AF479" t="s">
        <v>33</v>
      </c>
      <c r="AG479" t="s">
        <v>77</v>
      </c>
      <c r="AH479" t="str">
        <f t="shared" si="119"/>
        <v>Cancelled</v>
      </c>
      <c r="AI479" t="str">
        <f t="shared" si="120"/>
        <v>Valid</v>
      </c>
      <c r="AJ479">
        <f t="shared" si="121"/>
        <v>2486.5600000000013</v>
      </c>
      <c r="AK479" s="12">
        <f t="shared" si="124"/>
        <v>0.20995247834202263</v>
      </c>
      <c r="AL479">
        <f t="shared" si="125"/>
        <v>8</v>
      </c>
      <c r="AM479">
        <f t="shared" si="126"/>
        <v>2025</v>
      </c>
      <c r="AN479" t="str">
        <f t="shared" si="127"/>
        <v>Clean</v>
      </c>
    </row>
    <row r="480" spans="1:40">
      <c r="A480" t="s">
        <v>2336</v>
      </c>
      <c r="B480" s="3" t="s">
        <v>2337</v>
      </c>
      <c r="C480" s="10">
        <v>45452</v>
      </c>
      <c r="D480" s="3" t="s">
        <v>2338</v>
      </c>
      <c r="E480" s="10">
        <v>45456</v>
      </c>
      <c r="F480" s="6" t="str">
        <f t="shared" si="112"/>
        <v>Valid</v>
      </c>
      <c r="G480" s="8">
        <f t="shared" si="113"/>
        <v>4</v>
      </c>
      <c r="H480" s="8" t="str">
        <f t="shared" si="114"/>
        <v>Valid</v>
      </c>
      <c r="I480" t="s">
        <v>2339</v>
      </c>
      <c r="J480" t="s">
        <v>39</v>
      </c>
      <c r="K480" t="s">
        <v>39</v>
      </c>
      <c r="L480" t="s">
        <v>114</v>
      </c>
      <c r="M480" s="3" t="str">
        <f t="shared" si="115"/>
        <v>Home Office</v>
      </c>
      <c r="O480" s="3" t="str">
        <f t="shared" si="116"/>
        <v>Unknown</v>
      </c>
      <c r="P480" t="s">
        <v>173</v>
      </c>
      <c r="Q480" t="s">
        <v>174</v>
      </c>
      <c r="R480" t="s">
        <v>85</v>
      </c>
      <c r="S480" s="3" t="str">
        <f t="shared" si="117"/>
        <v>Technology</v>
      </c>
      <c r="T480" t="s">
        <v>381</v>
      </c>
      <c r="U480" t="s">
        <v>2340</v>
      </c>
      <c r="V480" t="s">
        <v>47</v>
      </c>
      <c r="W480" s="3" t="str">
        <f t="shared" si="118"/>
        <v>Same Day</v>
      </c>
      <c r="X480">
        <v>7</v>
      </c>
      <c r="Y480">
        <v>4079.71</v>
      </c>
      <c r="Z480">
        <v>0.1</v>
      </c>
      <c r="AA480">
        <f t="shared" si="122"/>
        <v>0.1</v>
      </c>
      <c r="AB480">
        <f t="shared" si="123"/>
        <v>25702.173000000003</v>
      </c>
      <c r="AC480">
        <v>25702.17</v>
      </c>
      <c r="AD480">
        <v>14571.48</v>
      </c>
      <c r="AE480">
        <v>11130.69</v>
      </c>
      <c r="AF480" t="s">
        <v>123</v>
      </c>
      <c r="AG480" t="s">
        <v>124</v>
      </c>
      <c r="AH480" t="str">
        <f t="shared" si="119"/>
        <v>Returned</v>
      </c>
      <c r="AI480" t="str">
        <f t="shared" si="120"/>
        <v>Valid</v>
      </c>
      <c r="AJ480">
        <f t="shared" si="121"/>
        <v>11130.689999999999</v>
      </c>
      <c r="AK480" s="12">
        <f t="shared" si="124"/>
        <v>0.43306416153995997</v>
      </c>
      <c r="AL480">
        <f t="shared" si="125"/>
        <v>6</v>
      </c>
      <c r="AM480">
        <f t="shared" si="126"/>
        <v>2024</v>
      </c>
      <c r="AN480" t="str">
        <f t="shared" si="127"/>
        <v>Clean</v>
      </c>
    </row>
    <row r="481" spans="1:40">
      <c r="A481" t="s">
        <v>2341</v>
      </c>
      <c r="B481" s="3" t="s">
        <v>2342</v>
      </c>
      <c r="C481" s="10">
        <v>45345</v>
      </c>
      <c r="D481" s="3" t="s">
        <v>2087</v>
      </c>
      <c r="E481" s="10">
        <v>45342</v>
      </c>
      <c r="F481" s="6" t="str">
        <f t="shared" si="112"/>
        <v>Invalid Shipping Record</v>
      </c>
      <c r="G481" s="8">
        <f t="shared" si="113"/>
        <v>-3</v>
      </c>
      <c r="H481" s="8" t="str">
        <f t="shared" si="114"/>
        <v>Invalid Shipping Record</v>
      </c>
      <c r="I481" t="s">
        <v>2343</v>
      </c>
      <c r="J481" t="s">
        <v>60</v>
      </c>
      <c r="K481" t="s">
        <v>60</v>
      </c>
      <c r="L481" t="s">
        <v>107</v>
      </c>
      <c r="M481" s="3" t="str">
        <f t="shared" si="115"/>
        <v>Corporate</v>
      </c>
      <c r="N481" t="s">
        <v>41</v>
      </c>
      <c r="O481" s="3" t="str">
        <f t="shared" si="116"/>
        <v>East</v>
      </c>
      <c r="P481" t="s">
        <v>42</v>
      </c>
      <c r="Q481" t="s">
        <v>43</v>
      </c>
      <c r="R481" t="s">
        <v>44</v>
      </c>
      <c r="S481" s="3" t="str">
        <f t="shared" si="117"/>
        <v>Furniture</v>
      </c>
      <c r="T481" t="s">
        <v>75</v>
      </c>
      <c r="U481" t="s">
        <v>2344</v>
      </c>
      <c r="V481" t="s">
        <v>32</v>
      </c>
      <c r="W481" s="3" t="str">
        <f t="shared" si="118"/>
        <v>Second Class</v>
      </c>
      <c r="X481">
        <v>1</v>
      </c>
      <c r="Y481">
        <v>2202.5500000000002</v>
      </c>
      <c r="AA481">
        <f t="shared" si="122"/>
        <v>0</v>
      </c>
      <c r="AB481">
        <f t="shared" si="123"/>
        <v>2202.5500000000002</v>
      </c>
      <c r="AC481">
        <v>1651.91</v>
      </c>
      <c r="AD481">
        <v>1034.57</v>
      </c>
      <c r="AE481">
        <v>617.34</v>
      </c>
      <c r="AF481" t="s">
        <v>33</v>
      </c>
      <c r="AG481" t="s">
        <v>34</v>
      </c>
      <c r="AH481" t="str">
        <f t="shared" si="119"/>
        <v>Completed</v>
      </c>
      <c r="AI481" t="str">
        <f t="shared" si="120"/>
        <v>Valid</v>
      </c>
      <c r="AJ481">
        <f t="shared" si="121"/>
        <v>617.34000000000015</v>
      </c>
      <c r="AK481" s="12">
        <f t="shared" si="124"/>
        <v>0.28028421602233777</v>
      </c>
      <c r="AL481">
        <f t="shared" si="125"/>
        <v>2</v>
      </c>
      <c r="AM481">
        <f t="shared" si="126"/>
        <v>2024</v>
      </c>
      <c r="AN481" t="str">
        <f t="shared" si="127"/>
        <v>Invalid</v>
      </c>
    </row>
    <row r="482" spans="1:40">
      <c r="A482" t="s">
        <v>2345</v>
      </c>
      <c r="B482" s="3" t="s">
        <v>384</v>
      </c>
      <c r="C482" s="10">
        <v>45662</v>
      </c>
      <c r="D482" s="3" t="s">
        <v>2292</v>
      </c>
      <c r="E482" s="10">
        <v>45666</v>
      </c>
      <c r="F482" s="6" t="str">
        <f t="shared" si="112"/>
        <v>Valid</v>
      </c>
      <c r="G482" s="8">
        <f t="shared" si="113"/>
        <v>4</v>
      </c>
      <c r="H482" s="8" t="str">
        <f t="shared" si="114"/>
        <v>Valid</v>
      </c>
      <c r="I482" t="s">
        <v>2346</v>
      </c>
      <c r="J482" t="s">
        <v>92</v>
      </c>
      <c r="K482" t="s">
        <v>92</v>
      </c>
      <c r="L482" t="s">
        <v>40</v>
      </c>
      <c r="M482" s="3" t="str">
        <f t="shared" si="115"/>
        <v>Small Business</v>
      </c>
      <c r="N482" t="s">
        <v>61</v>
      </c>
      <c r="O482" s="3" t="str">
        <f t="shared" si="116"/>
        <v>South</v>
      </c>
      <c r="P482" t="s">
        <v>338</v>
      </c>
      <c r="Q482" t="s">
        <v>339</v>
      </c>
      <c r="R482" t="s">
        <v>29</v>
      </c>
      <c r="S482" s="3" t="str">
        <f t="shared" si="117"/>
        <v>Office Supplies</v>
      </c>
      <c r="T482" t="s">
        <v>155</v>
      </c>
      <c r="U482" t="s">
        <v>2347</v>
      </c>
      <c r="W482" s="3" t="str">
        <f t="shared" si="118"/>
        <v>Unknown</v>
      </c>
      <c r="X482">
        <v>5</v>
      </c>
      <c r="Y482">
        <v>905.16</v>
      </c>
      <c r="Z482">
        <v>0</v>
      </c>
      <c r="AA482">
        <f t="shared" si="122"/>
        <v>0</v>
      </c>
      <c r="AB482">
        <f t="shared" si="123"/>
        <v>4525.8</v>
      </c>
      <c r="AC482">
        <v>4525.8</v>
      </c>
      <c r="AD482">
        <v>2714.51</v>
      </c>
      <c r="AE482">
        <v>1811.29</v>
      </c>
      <c r="AF482" t="s">
        <v>33</v>
      </c>
      <c r="AG482" t="s">
        <v>34</v>
      </c>
      <c r="AH482" t="str">
        <f t="shared" si="119"/>
        <v>Completed</v>
      </c>
      <c r="AI482" t="str">
        <f t="shared" si="120"/>
        <v>Valid</v>
      </c>
      <c r="AJ482">
        <f t="shared" si="121"/>
        <v>1811.29</v>
      </c>
      <c r="AK482" s="12">
        <f t="shared" si="124"/>
        <v>0.40021432674886204</v>
      </c>
      <c r="AL482">
        <f t="shared" si="125"/>
        <v>1</v>
      </c>
      <c r="AM482">
        <f t="shared" si="126"/>
        <v>2025</v>
      </c>
      <c r="AN482" t="str">
        <f t="shared" si="127"/>
        <v>Clean</v>
      </c>
    </row>
    <row r="483" spans="1:40">
      <c r="A483" t="s">
        <v>2348</v>
      </c>
      <c r="B483" s="3" t="s">
        <v>2349</v>
      </c>
      <c r="C483" s="10">
        <v>45813</v>
      </c>
      <c r="D483" s="3" t="s">
        <v>2350</v>
      </c>
      <c r="E483" s="10">
        <v>45821</v>
      </c>
      <c r="F483" s="6" t="str">
        <f t="shared" si="112"/>
        <v>Valid</v>
      </c>
      <c r="G483" s="8">
        <f t="shared" si="113"/>
        <v>8</v>
      </c>
      <c r="H483" s="8" t="str">
        <f t="shared" si="114"/>
        <v>Valid</v>
      </c>
      <c r="I483" t="s">
        <v>2351</v>
      </c>
      <c r="J483" t="s">
        <v>52</v>
      </c>
      <c r="K483" t="s">
        <v>52</v>
      </c>
      <c r="L483" t="s">
        <v>25</v>
      </c>
      <c r="M483" s="3" t="str">
        <f t="shared" si="115"/>
        <v>Consumer</v>
      </c>
      <c r="N483" t="s">
        <v>26</v>
      </c>
      <c r="O483" s="3" t="str">
        <f t="shared" si="116"/>
        <v>North</v>
      </c>
      <c r="P483" t="s">
        <v>173</v>
      </c>
      <c r="Q483" t="s">
        <v>174</v>
      </c>
      <c r="R483" t="s">
        <v>85</v>
      </c>
      <c r="S483" s="3" t="str">
        <f t="shared" si="117"/>
        <v>Technology</v>
      </c>
      <c r="T483" t="s">
        <v>381</v>
      </c>
      <c r="U483" t="s">
        <v>2352</v>
      </c>
      <c r="V483" t="s">
        <v>47</v>
      </c>
      <c r="W483" s="3" t="str">
        <f t="shared" si="118"/>
        <v>Same Day</v>
      </c>
      <c r="X483">
        <v>4</v>
      </c>
      <c r="Y483">
        <v>2793.88</v>
      </c>
      <c r="Z483" t="s">
        <v>1169</v>
      </c>
      <c r="AA483" t="str">
        <f t="shared" si="122"/>
        <v>85%</v>
      </c>
      <c r="AB483">
        <f t="shared" si="123"/>
        <v>1676.3280000000002</v>
      </c>
      <c r="AC483">
        <v>10616.74</v>
      </c>
      <c r="AD483">
        <v>6353.59</v>
      </c>
      <c r="AE483">
        <v>4263.1499999999996</v>
      </c>
      <c r="AF483" t="s">
        <v>33</v>
      </c>
      <c r="AG483" t="s">
        <v>34</v>
      </c>
      <c r="AH483" t="str">
        <f t="shared" si="119"/>
        <v>Completed</v>
      </c>
      <c r="AI483" t="str">
        <f t="shared" si="120"/>
        <v>Invalid - Discount Above Range</v>
      </c>
      <c r="AJ483">
        <f t="shared" si="121"/>
        <v>4263.1499999999996</v>
      </c>
      <c r="AK483" s="12">
        <f t="shared" si="124"/>
        <v>2.5431478803670875</v>
      </c>
      <c r="AL483">
        <f t="shared" si="125"/>
        <v>6</v>
      </c>
      <c r="AM483">
        <f t="shared" si="126"/>
        <v>2025</v>
      </c>
      <c r="AN483" t="str">
        <f t="shared" si="127"/>
        <v>Clean</v>
      </c>
    </row>
    <row r="484" spans="1:40">
      <c r="A484" t="s">
        <v>2353</v>
      </c>
      <c r="B484" s="3" t="s">
        <v>262</v>
      </c>
      <c r="C484" s="10">
        <v>45495</v>
      </c>
      <c r="D484" s="3" t="s">
        <v>262</v>
      </c>
      <c r="E484" s="10">
        <v>45495</v>
      </c>
      <c r="F484" s="6" t="str">
        <f t="shared" si="112"/>
        <v>Valid</v>
      </c>
      <c r="G484" s="8">
        <f t="shared" si="113"/>
        <v>0</v>
      </c>
      <c r="H484" s="8" t="str">
        <f t="shared" si="114"/>
        <v>Valid</v>
      </c>
      <c r="I484" t="s">
        <v>2354</v>
      </c>
      <c r="J484" t="s">
        <v>141</v>
      </c>
      <c r="K484" t="s">
        <v>141</v>
      </c>
      <c r="L484" t="s">
        <v>25</v>
      </c>
      <c r="M484" s="3" t="str">
        <f t="shared" si="115"/>
        <v>Consumer</v>
      </c>
      <c r="N484" t="s">
        <v>61</v>
      </c>
      <c r="O484" s="3" t="str">
        <f t="shared" si="116"/>
        <v>South</v>
      </c>
      <c r="P484" t="s">
        <v>228</v>
      </c>
      <c r="Q484" t="s">
        <v>229</v>
      </c>
      <c r="R484" t="s">
        <v>85</v>
      </c>
      <c r="S484" s="3" t="str">
        <f t="shared" si="117"/>
        <v>Technology</v>
      </c>
      <c r="T484" t="s">
        <v>86</v>
      </c>
      <c r="U484" t="s">
        <v>2355</v>
      </c>
      <c r="V484" t="s">
        <v>32</v>
      </c>
      <c r="W484" s="3" t="str">
        <f t="shared" si="118"/>
        <v>Second Class</v>
      </c>
      <c r="X484">
        <v>3</v>
      </c>
      <c r="Y484">
        <v>1286.22</v>
      </c>
      <c r="Z484">
        <v>0.25</v>
      </c>
      <c r="AA484">
        <f t="shared" si="122"/>
        <v>0.25</v>
      </c>
      <c r="AB484">
        <f t="shared" si="123"/>
        <v>2893.9949999999999</v>
      </c>
      <c r="AC484">
        <v>2893.99</v>
      </c>
      <c r="AD484">
        <v>1856.03</v>
      </c>
      <c r="AE484">
        <v>1037.96</v>
      </c>
      <c r="AF484" t="s">
        <v>33</v>
      </c>
      <c r="AG484" t="s">
        <v>34</v>
      </c>
      <c r="AH484" t="str">
        <f t="shared" si="119"/>
        <v>Completed</v>
      </c>
      <c r="AI484" t="str">
        <f t="shared" si="120"/>
        <v>Valid</v>
      </c>
      <c r="AJ484">
        <f t="shared" si="121"/>
        <v>1037.9599999999998</v>
      </c>
      <c r="AK484" s="12">
        <f t="shared" si="124"/>
        <v>0.35865991475451747</v>
      </c>
      <c r="AL484">
        <f t="shared" si="125"/>
        <v>7</v>
      </c>
      <c r="AM484">
        <f t="shared" si="126"/>
        <v>2024</v>
      </c>
      <c r="AN484" t="str">
        <f t="shared" si="127"/>
        <v>Clean</v>
      </c>
    </row>
    <row r="485" spans="1:40">
      <c r="A485" t="s">
        <v>2356</v>
      </c>
      <c r="B485" s="3" t="s">
        <v>1404</v>
      </c>
      <c r="C485" s="10">
        <v>45651</v>
      </c>
      <c r="D485" s="3" t="s">
        <v>2357</v>
      </c>
      <c r="E485" s="10">
        <v>45651</v>
      </c>
      <c r="F485" s="6" t="str">
        <f t="shared" si="112"/>
        <v>Valid</v>
      </c>
      <c r="G485" s="8">
        <f t="shared" si="113"/>
        <v>0</v>
      </c>
      <c r="H485" s="8" t="str">
        <f t="shared" si="114"/>
        <v>Valid</v>
      </c>
      <c r="I485" t="s">
        <v>2358</v>
      </c>
      <c r="J485" t="s">
        <v>39</v>
      </c>
      <c r="K485" t="s">
        <v>39</v>
      </c>
      <c r="L485" t="s">
        <v>107</v>
      </c>
      <c r="M485" s="3" t="str">
        <f t="shared" si="115"/>
        <v>Corporate</v>
      </c>
      <c r="N485" t="s">
        <v>41</v>
      </c>
      <c r="O485" s="3" t="str">
        <f t="shared" si="116"/>
        <v>East</v>
      </c>
      <c r="P485" t="s">
        <v>185</v>
      </c>
      <c r="Q485" t="s">
        <v>186</v>
      </c>
      <c r="R485" t="s">
        <v>85</v>
      </c>
      <c r="S485" s="3" t="str">
        <f t="shared" si="117"/>
        <v>Technology</v>
      </c>
      <c r="T485" t="s">
        <v>93</v>
      </c>
      <c r="U485" t="s">
        <v>2359</v>
      </c>
      <c r="V485" t="s">
        <v>66</v>
      </c>
      <c r="W485" s="3" t="str">
        <f t="shared" si="118"/>
        <v>Standard Class</v>
      </c>
      <c r="X485">
        <v>1</v>
      </c>
      <c r="Y485">
        <v>829.66</v>
      </c>
      <c r="Z485">
        <v>0.15</v>
      </c>
      <c r="AA485">
        <f t="shared" si="122"/>
        <v>0.15</v>
      </c>
      <c r="AB485">
        <f t="shared" si="123"/>
        <v>705.2109999999999</v>
      </c>
      <c r="AC485">
        <v>705.21</v>
      </c>
      <c r="AD485">
        <v>438.32</v>
      </c>
      <c r="AE485">
        <v>266.89</v>
      </c>
      <c r="AF485" t="s">
        <v>33</v>
      </c>
      <c r="AG485" t="s">
        <v>34</v>
      </c>
      <c r="AH485" t="str">
        <f t="shared" si="119"/>
        <v>Completed</v>
      </c>
      <c r="AI485" t="str">
        <f t="shared" si="120"/>
        <v>Valid</v>
      </c>
      <c r="AJ485">
        <f t="shared" si="121"/>
        <v>266.89000000000004</v>
      </c>
      <c r="AK485" s="12">
        <f t="shared" si="124"/>
        <v>0.37845410806127538</v>
      </c>
      <c r="AL485">
        <f t="shared" si="125"/>
        <v>12</v>
      </c>
      <c r="AM485">
        <f t="shared" si="126"/>
        <v>2024</v>
      </c>
      <c r="AN485" t="str">
        <f t="shared" si="127"/>
        <v>Clean</v>
      </c>
    </row>
    <row r="486" spans="1:40">
      <c r="A486" t="s">
        <v>2360</v>
      </c>
      <c r="B486" s="3" t="s">
        <v>2361</v>
      </c>
      <c r="C486" s="10">
        <v>45654</v>
      </c>
      <c r="D486" s="3" t="s">
        <v>2362</v>
      </c>
      <c r="E486" s="10">
        <v>45657</v>
      </c>
      <c r="F486" s="6" t="str">
        <f t="shared" si="112"/>
        <v>Valid</v>
      </c>
      <c r="G486" s="8">
        <f t="shared" si="113"/>
        <v>3</v>
      </c>
      <c r="H486" s="8" t="str">
        <f t="shared" si="114"/>
        <v>Valid</v>
      </c>
      <c r="I486" t="s">
        <v>2363</v>
      </c>
      <c r="J486" t="s">
        <v>39</v>
      </c>
      <c r="K486" t="s">
        <v>39</v>
      </c>
      <c r="L486" t="s">
        <v>40</v>
      </c>
      <c r="M486" s="3" t="str">
        <f t="shared" si="115"/>
        <v>Small Business</v>
      </c>
      <c r="N486" t="s">
        <v>61</v>
      </c>
      <c r="O486" s="3" t="str">
        <f t="shared" si="116"/>
        <v>South</v>
      </c>
      <c r="P486" t="s">
        <v>99</v>
      </c>
      <c r="Q486" t="s">
        <v>100</v>
      </c>
      <c r="R486" t="s">
        <v>44</v>
      </c>
      <c r="S486" s="3" t="str">
        <f t="shared" si="117"/>
        <v>Furniture</v>
      </c>
      <c r="T486" t="s">
        <v>64</v>
      </c>
      <c r="U486" t="s">
        <v>2364</v>
      </c>
      <c r="V486" t="s">
        <v>55</v>
      </c>
      <c r="W486" s="3" t="str">
        <f t="shared" si="118"/>
        <v>First Class</v>
      </c>
      <c r="X486">
        <v>6</v>
      </c>
      <c r="Y486">
        <v>3641.22</v>
      </c>
      <c r="Z486">
        <v>0.25</v>
      </c>
      <c r="AA486">
        <f t="shared" si="122"/>
        <v>0.25</v>
      </c>
      <c r="AB486">
        <f t="shared" si="123"/>
        <v>16385.489999999998</v>
      </c>
      <c r="AC486">
        <v>16385.490000000002</v>
      </c>
      <c r="AD486">
        <v>13679.24</v>
      </c>
      <c r="AE486">
        <v>2706.25</v>
      </c>
      <c r="AF486" t="s">
        <v>33</v>
      </c>
      <c r="AG486" t="s">
        <v>34</v>
      </c>
      <c r="AH486" t="str">
        <f t="shared" si="119"/>
        <v>Completed</v>
      </c>
      <c r="AI486" t="str">
        <f t="shared" si="120"/>
        <v>Valid</v>
      </c>
      <c r="AJ486">
        <f t="shared" si="121"/>
        <v>2706.2500000000018</v>
      </c>
      <c r="AK486" s="12">
        <f t="shared" si="124"/>
        <v>0.16516137143289594</v>
      </c>
      <c r="AL486">
        <f t="shared" si="125"/>
        <v>12</v>
      </c>
      <c r="AM486">
        <f t="shared" si="126"/>
        <v>2024</v>
      </c>
      <c r="AN486" t="str">
        <f t="shared" si="127"/>
        <v>Clean</v>
      </c>
    </row>
    <row r="487" spans="1:40">
      <c r="A487" t="s">
        <v>2365</v>
      </c>
      <c r="B487" s="3" t="s">
        <v>1836</v>
      </c>
      <c r="C487" s="10">
        <v>45679</v>
      </c>
      <c r="D487" s="3" t="s">
        <v>183</v>
      </c>
      <c r="E487" s="10">
        <v>45680</v>
      </c>
      <c r="F487" s="6" t="str">
        <f t="shared" si="112"/>
        <v>Valid</v>
      </c>
      <c r="G487" s="8">
        <f t="shared" si="113"/>
        <v>1</v>
      </c>
      <c r="H487" s="8" t="str">
        <f t="shared" si="114"/>
        <v>Valid</v>
      </c>
      <c r="I487" t="s">
        <v>2366</v>
      </c>
      <c r="J487" t="s">
        <v>147</v>
      </c>
      <c r="K487" t="s">
        <v>147</v>
      </c>
      <c r="L487" t="s">
        <v>107</v>
      </c>
      <c r="M487" s="3" t="str">
        <f t="shared" si="115"/>
        <v>Corporate</v>
      </c>
      <c r="N487" t="s">
        <v>72</v>
      </c>
      <c r="O487" s="3" t="str">
        <f t="shared" si="116"/>
        <v>West</v>
      </c>
      <c r="P487" t="s">
        <v>248</v>
      </c>
      <c r="Q487" t="s">
        <v>249</v>
      </c>
      <c r="R487" t="s">
        <v>44</v>
      </c>
      <c r="S487" s="3" t="str">
        <f t="shared" si="117"/>
        <v>Furniture</v>
      </c>
      <c r="T487" t="s">
        <v>203</v>
      </c>
      <c r="U487" t="s">
        <v>2367</v>
      </c>
      <c r="V487" t="s">
        <v>66</v>
      </c>
      <c r="W487" s="3" t="str">
        <f t="shared" si="118"/>
        <v>Standard Class</v>
      </c>
      <c r="X487">
        <v>4</v>
      </c>
      <c r="Y487">
        <v>2555.19</v>
      </c>
      <c r="Z487">
        <v>0.25</v>
      </c>
      <c r="AA487">
        <f t="shared" si="122"/>
        <v>0.25</v>
      </c>
      <c r="AB487">
        <f t="shared" si="123"/>
        <v>7665.57</v>
      </c>
      <c r="AC487">
        <v>7665.57</v>
      </c>
      <c r="AD487">
        <v>5595.6</v>
      </c>
      <c r="AE487">
        <v>2069.9699999999998</v>
      </c>
      <c r="AF487" t="s">
        <v>33</v>
      </c>
      <c r="AG487" t="s">
        <v>34</v>
      </c>
      <c r="AH487" t="str">
        <f t="shared" si="119"/>
        <v>Completed</v>
      </c>
      <c r="AI487" t="str">
        <f t="shared" si="120"/>
        <v>Valid</v>
      </c>
      <c r="AJ487">
        <f t="shared" si="121"/>
        <v>2069.9699999999993</v>
      </c>
      <c r="AK487" s="12">
        <f t="shared" si="124"/>
        <v>0.27003471366121495</v>
      </c>
      <c r="AL487">
        <f t="shared" si="125"/>
        <v>1</v>
      </c>
      <c r="AM487">
        <f t="shared" si="126"/>
        <v>2025</v>
      </c>
      <c r="AN487" t="str">
        <f t="shared" si="127"/>
        <v>Clean</v>
      </c>
    </row>
    <row r="488" spans="1:40">
      <c r="A488" t="s">
        <v>2368</v>
      </c>
      <c r="B488" s="3" t="s">
        <v>2369</v>
      </c>
      <c r="C488" s="10">
        <v>45830</v>
      </c>
      <c r="D488" s="3" t="s">
        <v>2370</v>
      </c>
      <c r="E488" s="10">
        <v>45834</v>
      </c>
      <c r="F488" s="6" t="str">
        <f t="shared" si="112"/>
        <v>Valid</v>
      </c>
      <c r="G488" s="8">
        <f t="shared" si="113"/>
        <v>4</v>
      </c>
      <c r="H488" s="8" t="str">
        <f t="shared" si="114"/>
        <v>Valid</v>
      </c>
      <c r="I488" t="s">
        <v>2371</v>
      </c>
      <c r="J488" t="s">
        <v>147</v>
      </c>
      <c r="K488" t="s">
        <v>147</v>
      </c>
      <c r="L488" t="s">
        <v>107</v>
      </c>
      <c r="M488" s="3" t="str">
        <f t="shared" si="115"/>
        <v>Corporate</v>
      </c>
      <c r="N488" t="s">
        <v>72</v>
      </c>
      <c r="O488" s="3" t="str">
        <f t="shared" si="116"/>
        <v>West</v>
      </c>
      <c r="P488" t="s">
        <v>248</v>
      </c>
      <c r="Q488" t="s">
        <v>249</v>
      </c>
      <c r="R488" t="s">
        <v>44</v>
      </c>
      <c r="S488" s="3" t="str">
        <f t="shared" si="117"/>
        <v>Furniture</v>
      </c>
      <c r="T488" t="s">
        <v>45</v>
      </c>
      <c r="U488" t="s">
        <v>2372</v>
      </c>
      <c r="V488" t="s">
        <v>66</v>
      </c>
      <c r="W488" s="3" t="str">
        <f t="shared" si="118"/>
        <v>Standard Class</v>
      </c>
      <c r="X488">
        <v>3</v>
      </c>
      <c r="Y488">
        <v>1946.18</v>
      </c>
      <c r="Z488">
        <v>0.2</v>
      </c>
      <c r="AA488">
        <f t="shared" si="122"/>
        <v>0.2</v>
      </c>
      <c r="AB488">
        <f t="shared" si="123"/>
        <v>4670.8320000000003</v>
      </c>
      <c r="AC488">
        <v>4670.83</v>
      </c>
      <c r="AD488">
        <v>3166.49</v>
      </c>
      <c r="AE488">
        <v>1504.34</v>
      </c>
      <c r="AF488" t="s">
        <v>33</v>
      </c>
      <c r="AG488" t="s">
        <v>34</v>
      </c>
      <c r="AH488" t="str">
        <f t="shared" si="119"/>
        <v>Completed</v>
      </c>
      <c r="AI488" t="str">
        <f t="shared" si="120"/>
        <v>Valid</v>
      </c>
      <c r="AJ488">
        <f t="shared" si="121"/>
        <v>1504.3400000000001</v>
      </c>
      <c r="AK488" s="12">
        <f t="shared" si="124"/>
        <v>0.32207109996677252</v>
      </c>
      <c r="AL488">
        <f t="shared" si="125"/>
        <v>6</v>
      </c>
      <c r="AM488">
        <f t="shared" si="126"/>
        <v>2025</v>
      </c>
      <c r="AN488" t="str">
        <f t="shared" si="127"/>
        <v>Clean</v>
      </c>
    </row>
    <row r="489" spans="1:40">
      <c r="A489" t="s">
        <v>2373</v>
      </c>
      <c r="B489" s="3" t="s">
        <v>1967</v>
      </c>
      <c r="C489" s="10">
        <v>45818</v>
      </c>
      <c r="D489" s="3" t="s">
        <v>2374</v>
      </c>
      <c r="E489" s="10">
        <v>45825</v>
      </c>
      <c r="F489" s="6" t="str">
        <f t="shared" si="112"/>
        <v>Valid</v>
      </c>
      <c r="G489" s="8">
        <f t="shared" si="113"/>
        <v>7</v>
      </c>
      <c r="H489" s="8" t="str">
        <f t="shared" si="114"/>
        <v>Valid</v>
      </c>
      <c r="I489" t="s">
        <v>2375</v>
      </c>
      <c r="J489" t="s">
        <v>147</v>
      </c>
      <c r="K489" t="s">
        <v>147</v>
      </c>
      <c r="L489" t="s">
        <v>107</v>
      </c>
      <c r="M489" s="3" t="str">
        <f t="shared" si="115"/>
        <v>Corporate</v>
      </c>
      <c r="N489" t="s">
        <v>61</v>
      </c>
      <c r="O489" s="3" t="str">
        <f t="shared" si="116"/>
        <v>South</v>
      </c>
      <c r="P489" t="s">
        <v>62</v>
      </c>
      <c r="Q489" t="s">
        <v>63</v>
      </c>
      <c r="R489" t="s">
        <v>44</v>
      </c>
      <c r="S489" s="3" t="str">
        <f t="shared" si="117"/>
        <v>Furniture</v>
      </c>
      <c r="T489" t="s">
        <v>64</v>
      </c>
      <c r="U489" t="s">
        <v>2376</v>
      </c>
      <c r="V489" t="s">
        <v>66</v>
      </c>
      <c r="W489" s="3" t="str">
        <f t="shared" si="118"/>
        <v>Standard Class</v>
      </c>
      <c r="X489">
        <v>5</v>
      </c>
      <c r="Y489">
        <v>1231.0999999999999</v>
      </c>
      <c r="Z489">
        <v>0</v>
      </c>
      <c r="AA489">
        <f t="shared" si="122"/>
        <v>0</v>
      </c>
      <c r="AB489">
        <f t="shared" si="123"/>
        <v>6155.5</v>
      </c>
      <c r="AC489">
        <v>6155.5</v>
      </c>
      <c r="AD489">
        <v>4282.09</v>
      </c>
      <c r="AE489">
        <v>1873.41</v>
      </c>
      <c r="AF489" t="s">
        <v>123</v>
      </c>
      <c r="AG489" t="s">
        <v>124</v>
      </c>
      <c r="AH489" t="str">
        <f t="shared" si="119"/>
        <v>Returned</v>
      </c>
      <c r="AI489" t="str">
        <f t="shared" si="120"/>
        <v>Valid</v>
      </c>
      <c r="AJ489">
        <f t="shared" si="121"/>
        <v>1873.4099999999999</v>
      </c>
      <c r="AK489" s="12">
        <f t="shared" si="124"/>
        <v>0.3043473316546178</v>
      </c>
      <c r="AL489">
        <f t="shared" si="125"/>
        <v>6</v>
      </c>
      <c r="AM489">
        <f t="shared" si="126"/>
        <v>2025</v>
      </c>
      <c r="AN489" t="str">
        <f t="shared" si="127"/>
        <v>Clean</v>
      </c>
    </row>
    <row r="490" spans="1:40">
      <c r="A490" t="s">
        <v>2377</v>
      </c>
      <c r="B490" s="3" t="s">
        <v>2378</v>
      </c>
      <c r="C490" s="10">
        <v>45579</v>
      </c>
      <c r="D490" s="3" t="s">
        <v>2379</v>
      </c>
      <c r="E490" s="10">
        <v>45585</v>
      </c>
      <c r="F490" s="6" t="str">
        <f t="shared" si="112"/>
        <v>Valid</v>
      </c>
      <c r="G490" s="8">
        <f t="shared" si="113"/>
        <v>6</v>
      </c>
      <c r="H490" s="8" t="str">
        <f t="shared" si="114"/>
        <v>Valid</v>
      </c>
      <c r="I490" t="s">
        <v>2380</v>
      </c>
      <c r="J490" t="s">
        <v>106</v>
      </c>
      <c r="K490" t="s">
        <v>106</v>
      </c>
      <c r="L490" t="s">
        <v>40</v>
      </c>
      <c r="M490" s="3" t="str">
        <f t="shared" si="115"/>
        <v>Small Business</v>
      </c>
      <c r="N490" t="s">
        <v>26</v>
      </c>
      <c r="O490" s="3" t="str">
        <f t="shared" si="116"/>
        <v>North</v>
      </c>
      <c r="P490" t="s">
        <v>27</v>
      </c>
      <c r="Q490" t="s">
        <v>28</v>
      </c>
      <c r="R490" t="s">
        <v>44</v>
      </c>
      <c r="S490" s="3" t="str">
        <f t="shared" si="117"/>
        <v>Furniture</v>
      </c>
      <c r="T490" t="s">
        <v>45</v>
      </c>
      <c r="U490" t="s">
        <v>2381</v>
      </c>
      <c r="V490" t="s">
        <v>47</v>
      </c>
      <c r="W490" s="3" t="str">
        <f t="shared" si="118"/>
        <v>Same Day</v>
      </c>
      <c r="X490">
        <v>7</v>
      </c>
      <c r="Y490">
        <v>1547.6</v>
      </c>
      <c r="Z490">
        <v>0.2</v>
      </c>
      <c r="AA490">
        <f t="shared" si="122"/>
        <v>0.2</v>
      </c>
      <c r="AB490">
        <f t="shared" si="123"/>
        <v>8666.56</v>
      </c>
      <c r="AC490">
        <v>8666.56</v>
      </c>
      <c r="AD490">
        <v>5967.44</v>
      </c>
      <c r="AE490">
        <v>2699.12</v>
      </c>
      <c r="AF490" t="s">
        <v>33</v>
      </c>
      <c r="AG490" t="s">
        <v>34</v>
      </c>
      <c r="AH490" t="str">
        <f t="shared" si="119"/>
        <v>Completed</v>
      </c>
      <c r="AI490" t="str">
        <f t="shared" si="120"/>
        <v>Valid</v>
      </c>
      <c r="AJ490">
        <f t="shared" si="121"/>
        <v>2699.12</v>
      </c>
      <c r="AK490" s="12">
        <f t="shared" si="124"/>
        <v>0.31144075619392242</v>
      </c>
      <c r="AL490">
        <f t="shared" si="125"/>
        <v>10</v>
      </c>
      <c r="AM490">
        <f t="shared" si="126"/>
        <v>2024</v>
      </c>
      <c r="AN490" t="str">
        <f t="shared" si="127"/>
        <v>Clean</v>
      </c>
    </row>
    <row r="491" spans="1:40">
      <c r="A491" t="s">
        <v>2382</v>
      </c>
      <c r="B491" s="3" t="s">
        <v>389</v>
      </c>
      <c r="C491" s="10">
        <v>45329</v>
      </c>
      <c r="D491" s="3" t="s">
        <v>2383</v>
      </c>
      <c r="E491" s="10">
        <v>45334</v>
      </c>
      <c r="F491" s="6" t="str">
        <f t="shared" si="112"/>
        <v>Valid</v>
      </c>
      <c r="G491" s="8">
        <f t="shared" si="113"/>
        <v>5</v>
      </c>
      <c r="H491" s="8" t="str">
        <f t="shared" si="114"/>
        <v>Valid</v>
      </c>
      <c r="I491" t="s">
        <v>2384</v>
      </c>
      <c r="J491" t="s">
        <v>60</v>
      </c>
      <c r="K491" t="s">
        <v>60</v>
      </c>
      <c r="L491" t="s">
        <v>114</v>
      </c>
      <c r="M491" s="3" t="str">
        <f t="shared" si="115"/>
        <v>Home Office</v>
      </c>
      <c r="N491" t="s">
        <v>41</v>
      </c>
      <c r="O491" s="3" t="str">
        <f t="shared" si="116"/>
        <v>East</v>
      </c>
      <c r="P491" t="s">
        <v>120</v>
      </c>
      <c r="Q491" t="s">
        <v>121</v>
      </c>
      <c r="R491" t="s">
        <v>85</v>
      </c>
      <c r="S491" s="3" t="str">
        <f t="shared" si="117"/>
        <v>Technology</v>
      </c>
      <c r="T491" t="s">
        <v>86</v>
      </c>
      <c r="U491" t="s">
        <v>2385</v>
      </c>
      <c r="V491" t="s">
        <v>32</v>
      </c>
      <c r="W491" s="3" t="str">
        <f t="shared" si="118"/>
        <v>Second Class</v>
      </c>
      <c r="X491">
        <v>1</v>
      </c>
      <c r="Y491">
        <v>452.19</v>
      </c>
      <c r="Z491">
        <v>0.2</v>
      </c>
      <c r="AA491">
        <f t="shared" si="122"/>
        <v>0.2</v>
      </c>
      <c r="AB491">
        <f t="shared" si="123"/>
        <v>361.75200000000001</v>
      </c>
      <c r="AC491">
        <v>361.75</v>
      </c>
      <c r="AD491">
        <v>262.52999999999997</v>
      </c>
      <c r="AE491">
        <v>99.22</v>
      </c>
      <c r="AF491" t="s">
        <v>33</v>
      </c>
      <c r="AG491" t="s">
        <v>34</v>
      </c>
      <c r="AH491" t="str">
        <f t="shared" si="119"/>
        <v>Completed</v>
      </c>
      <c r="AI491" t="str">
        <f t="shared" si="120"/>
        <v>Valid</v>
      </c>
      <c r="AJ491">
        <f t="shared" si="121"/>
        <v>99.220000000000027</v>
      </c>
      <c r="AK491" s="12">
        <f t="shared" si="124"/>
        <v>0.27427629978548845</v>
      </c>
      <c r="AL491">
        <f t="shared" si="125"/>
        <v>2</v>
      </c>
      <c r="AM491">
        <f t="shared" si="126"/>
        <v>2024</v>
      </c>
      <c r="AN491" t="str">
        <f t="shared" si="127"/>
        <v>Clean</v>
      </c>
    </row>
    <row r="492" spans="1:40">
      <c r="A492" t="s">
        <v>2386</v>
      </c>
      <c r="B492" s="3" t="s">
        <v>2387</v>
      </c>
      <c r="C492" s="10">
        <v>45551</v>
      </c>
      <c r="D492" s="3" t="s">
        <v>1888</v>
      </c>
      <c r="E492" s="10">
        <v>45554</v>
      </c>
      <c r="F492" s="6" t="str">
        <f t="shared" si="112"/>
        <v>Valid</v>
      </c>
      <c r="G492" s="8">
        <f t="shared" si="113"/>
        <v>3</v>
      </c>
      <c r="H492" s="8" t="str">
        <f t="shared" si="114"/>
        <v>Valid</v>
      </c>
      <c r="I492" t="s">
        <v>2388</v>
      </c>
      <c r="J492" t="s">
        <v>106</v>
      </c>
      <c r="K492" t="s">
        <v>106</v>
      </c>
      <c r="L492" t="s">
        <v>25</v>
      </c>
      <c r="M492" s="3" t="str">
        <f t="shared" si="115"/>
        <v>Consumer</v>
      </c>
      <c r="N492" t="s">
        <v>72</v>
      </c>
      <c r="O492" s="3" t="str">
        <f t="shared" si="116"/>
        <v>West</v>
      </c>
      <c r="P492" t="s">
        <v>27</v>
      </c>
      <c r="Q492" t="s">
        <v>134</v>
      </c>
      <c r="R492" t="s">
        <v>29</v>
      </c>
      <c r="S492" s="3" t="str">
        <f t="shared" si="117"/>
        <v>Office Supplies</v>
      </c>
      <c r="T492" t="s">
        <v>197</v>
      </c>
      <c r="U492" t="s">
        <v>2389</v>
      </c>
      <c r="V492" t="s">
        <v>55</v>
      </c>
      <c r="W492" s="3" t="str">
        <f t="shared" si="118"/>
        <v>First Class</v>
      </c>
      <c r="X492">
        <v>7</v>
      </c>
      <c r="Y492">
        <v>406.42</v>
      </c>
      <c r="Z492">
        <v>0.15</v>
      </c>
      <c r="AA492">
        <f t="shared" si="122"/>
        <v>0.15</v>
      </c>
      <c r="AB492">
        <f t="shared" si="123"/>
        <v>2418.1990000000001</v>
      </c>
      <c r="AC492">
        <v>2418.1999999999998</v>
      </c>
      <c r="AD492">
        <v>1613.82</v>
      </c>
      <c r="AE492">
        <v>804.38</v>
      </c>
      <c r="AF492" t="s">
        <v>33</v>
      </c>
      <c r="AG492" t="s">
        <v>34</v>
      </c>
      <c r="AH492" t="str">
        <f t="shared" si="119"/>
        <v>Completed</v>
      </c>
      <c r="AI492" t="str">
        <f t="shared" si="120"/>
        <v>Valid</v>
      </c>
      <c r="AJ492">
        <f t="shared" si="121"/>
        <v>804.37999999999988</v>
      </c>
      <c r="AK492" s="12">
        <f t="shared" si="124"/>
        <v>0.33263598239847086</v>
      </c>
      <c r="AL492">
        <f t="shared" si="125"/>
        <v>9</v>
      </c>
      <c r="AM492">
        <f t="shared" si="126"/>
        <v>2024</v>
      </c>
      <c r="AN492" t="str">
        <f t="shared" si="127"/>
        <v>Clean</v>
      </c>
    </row>
    <row r="493" spans="1:40">
      <c r="A493" t="s">
        <v>2390</v>
      </c>
      <c r="B493" s="3" t="s">
        <v>1977</v>
      </c>
      <c r="C493" s="10">
        <v>45776</v>
      </c>
      <c r="D493" s="3" t="s">
        <v>2391</v>
      </c>
      <c r="E493" s="10">
        <v>45777</v>
      </c>
      <c r="F493" s="6" t="str">
        <f t="shared" si="112"/>
        <v>Valid</v>
      </c>
      <c r="G493" s="8">
        <f t="shared" si="113"/>
        <v>1</v>
      </c>
      <c r="H493" s="8" t="str">
        <f t="shared" si="114"/>
        <v>Valid</v>
      </c>
      <c r="I493" t="s">
        <v>2392</v>
      </c>
      <c r="J493" t="s">
        <v>39</v>
      </c>
      <c r="K493" t="s">
        <v>39</v>
      </c>
      <c r="L493" t="s">
        <v>107</v>
      </c>
      <c r="M493" s="3" t="str">
        <f t="shared" si="115"/>
        <v>Corporate</v>
      </c>
      <c r="N493" t="s">
        <v>61</v>
      </c>
      <c r="O493" s="3" t="str">
        <f t="shared" si="116"/>
        <v>South</v>
      </c>
      <c r="P493" t="s">
        <v>241</v>
      </c>
      <c r="Q493" t="s">
        <v>242</v>
      </c>
      <c r="R493" t="s">
        <v>85</v>
      </c>
      <c r="S493" s="3" t="str">
        <f t="shared" si="117"/>
        <v>Technology</v>
      </c>
      <c r="T493" t="s">
        <v>86</v>
      </c>
      <c r="U493" t="s">
        <v>2393</v>
      </c>
      <c r="V493" t="s">
        <v>66</v>
      </c>
      <c r="W493" s="3" t="str">
        <f t="shared" si="118"/>
        <v>Standard Class</v>
      </c>
      <c r="X493">
        <v>4</v>
      </c>
      <c r="Y493">
        <v>606.58000000000004</v>
      </c>
      <c r="Z493">
        <v>0.2</v>
      </c>
      <c r="AA493">
        <f t="shared" si="122"/>
        <v>0.2</v>
      </c>
      <c r="AB493">
        <f t="shared" si="123"/>
        <v>1941.0560000000003</v>
      </c>
      <c r="AC493">
        <v>1941.06</v>
      </c>
      <c r="AD493">
        <v>1207.42</v>
      </c>
      <c r="AE493">
        <v>733.64</v>
      </c>
      <c r="AF493" t="s">
        <v>33</v>
      </c>
      <c r="AG493" t="s">
        <v>34</v>
      </c>
      <c r="AH493" t="str">
        <f t="shared" si="119"/>
        <v>Completed</v>
      </c>
      <c r="AI493" t="str">
        <f t="shared" si="120"/>
        <v>Valid</v>
      </c>
      <c r="AJ493">
        <f t="shared" si="121"/>
        <v>733.63999999999987</v>
      </c>
      <c r="AK493" s="12">
        <f t="shared" si="124"/>
        <v>0.37795921395364163</v>
      </c>
      <c r="AL493">
        <f t="shared" si="125"/>
        <v>4</v>
      </c>
      <c r="AM493">
        <f t="shared" si="126"/>
        <v>2025</v>
      </c>
      <c r="AN493" t="str">
        <f t="shared" si="127"/>
        <v>Clean</v>
      </c>
    </row>
    <row r="494" spans="1:40">
      <c r="A494" t="s">
        <v>2394</v>
      </c>
      <c r="B494" s="3" t="s">
        <v>2395</v>
      </c>
      <c r="C494" s="10">
        <v>45836</v>
      </c>
      <c r="D494" s="3" t="s">
        <v>2396</v>
      </c>
      <c r="E494" s="10">
        <v>45840</v>
      </c>
      <c r="F494" s="6" t="str">
        <f t="shared" si="112"/>
        <v>Valid</v>
      </c>
      <c r="G494" s="8">
        <f t="shared" si="113"/>
        <v>4</v>
      </c>
      <c r="H494" s="8" t="str">
        <f t="shared" si="114"/>
        <v>Valid</v>
      </c>
      <c r="I494" t="s">
        <v>2397</v>
      </c>
      <c r="J494" t="s">
        <v>71</v>
      </c>
      <c r="K494" t="s">
        <v>71</v>
      </c>
      <c r="L494" t="s">
        <v>107</v>
      </c>
      <c r="M494" s="3" t="str">
        <f t="shared" si="115"/>
        <v>Corporate</v>
      </c>
      <c r="N494" t="s">
        <v>61</v>
      </c>
      <c r="O494" s="3" t="str">
        <f t="shared" si="116"/>
        <v>South</v>
      </c>
      <c r="P494" t="s">
        <v>99</v>
      </c>
      <c r="Q494" t="s">
        <v>100</v>
      </c>
      <c r="R494" t="s">
        <v>29</v>
      </c>
      <c r="S494" s="3" t="str">
        <f t="shared" si="117"/>
        <v>Office Supplies</v>
      </c>
      <c r="T494" t="s">
        <v>155</v>
      </c>
      <c r="U494" t="s">
        <v>2398</v>
      </c>
      <c r="V494" t="s">
        <v>32</v>
      </c>
      <c r="W494" s="3" t="str">
        <f t="shared" si="118"/>
        <v>Second Class</v>
      </c>
      <c r="X494">
        <v>2</v>
      </c>
      <c r="Y494">
        <v>2725.44</v>
      </c>
      <c r="Z494">
        <v>0.25</v>
      </c>
      <c r="AA494">
        <f t="shared" si="122"/>
        <v>0.25</v>
      </c>
      <c r="AB494">
        <f t="shared" si="123"/>
        <v>4088.16</v>
      </c>
      <c r="AC494">
        <v>4088.16</v>
      </c>
      <c r="AD494">
        <v>3205.68</v>
      </c>
      <c r="AE494">
        <v>882.48</v>
      </c>
      <c r="AF494" t="s">
        <v>33</v>
      </c>
      <c r="AG494" t="s">
        <v>34</v>
      </c>
      <c r="AH494" t="str">
        <f t="shared" si="119"/>
        <v>Completed</v>
      </c>
      <c r="AI494" t="str">
        <f t="shared" si="120"/>
        <v>Valid</v>
      </c>
      <c r="AJ494">
        <f t="shared" si="121"/>
        <v>882.48</v>
      </c>
      <c r="AK494" s="12">
        <f t="shared" si="124"/>
        <v>0.21586239286133616</v>
      </c>
      <c r="AL494">
        <f t="shared" si="125"/>
        <v>6</v>
      </c>
      <c r="AM494">
        <f t="shared" si="126"/>
        <v>2025</v>
      </c>
      <c r="AN494" t="str">
        <f t="shared" si="127"/>
        <v>Clean</v>
      </c>
    </row>
    <row r="495" spans="1:40">
      <c r="A495" t="s">
        <v>2399</v>
      </c>
      <c r="B495" s="3" t="s">
        <v>1414</v>
      </c>
      <c r="C495" s="10">
        <v>45701</v>
      </c>
      <c r="D495" s="3" t="s">
        <v>2400</v>
      </c>
      <c r="E495" s="10">
        <v>45701</v>
      </c>
      <c r="F495" s="6" t="str">
        <f t="shared" si="112"/>
        <v>Valid</v>
      </c>
      <c r="G495" s="8">
        <f t="shared" si="113"/>
        <v>0</v>
      </c>
      <c r="H495" s="8" t="str">
        <f t="shared" si="114"/>
        <v>Valid</v>
      </c>
      <c r="I495" t="s">
        <v>2401</v>
      </c>
      <c r="J495" t="s">
        <v>365</v>
      </c>
      <c r="K495" t="s">
        <v>365</v>
      </c>
      <c r="L495" t="s">
        <v>107</v>
      </c>
      <c r="M495" s="3" t="str">
        <f t="shared" si="115"/>
        <v>Corporate</v>
      </c>
      <c r="N495" t="s">
        <v>41</v>
      </c>
      <c r="O495" s="3" t="str">
        <f t="shared" si="116"/>
        <v>East</v>
      </c>
      <c r="P495" t="s">
        <v>42</v>
      </c>
      <c r="Q495" t="s">
        <v>43</v>
      </c>
      <c r="R495" t="s">
        <v>29</v>
      </c>
      <c r="S495" s="3" t="str">
        <f t="shared" si="117"/>
        <v>Office Supplies</v>
      </c>
      <c r="T495" t="s">
        <v>30</v>
      </c>
      <c r="U495" t="s">
        <v>2402</v>
      </c>
      <c r="V495" t="s">
        <v>32</v>
      </c>
      <c r="W495" s="3" t="str">
        <f t="shared" si="118"/>
        <v>Second Class</v>
      </c>
      <c r="X495">
        <v>7</v>
      </c>
      <c r="Y495">
        <v>2296.6999999999998</v>
      </c>
      <c r="Z495">
        <v>0.05</v>
      </c>
      <c r="AA495">
        <f t="shared" si="122"/>
        <v>0.05</v>
      </c>
      <c r="AB495">
        <f t="shared" si="123"/>
        <v>15273.054999999997</v>
      </c>
      <c r="AC495">
        <v>15273.05</v>
      </c>
      <c r="AD495">
        <v>11088.76</v>
      </c>
      <c r="AE495">
        <v>4184.29</v>
      </c>
      <c r="AF495" t="s">
        <v>33</v>
      </c>
      <c r="AG495" t="s">
        <v>2403</v>
      </c>
      <c r="AH495" t="str">
        <f t="shared" si="119"/>
        <v>Completed</v>
      </c>
      <c r="AI495" t="str">
        <f t="shared" si="120"/>
        <v>Valid</v>
      </c>
      <c r="AJ495">
        <f t="shared" si="121"/>
        <v>4184.2899999999991</v>
      </c>
      <c r="AK495" s="12">
        <f t="shared" si="124"/>
        <v>0.27396549020480843</v>
      </c>
      <c r="AL495">
        <f t="shared" si="125"/>
        <v>2</v>
      </c>
      <c r="AM495">
        <f t="shared" si="126"/>
        <v>2025</v>
      </c>
      <c r="AN495" t="str">
        <f t="shared" si="127"/>
        <v>Clean</v>
      </c>
    </row>
    <row r="496" spans="1:40">
      <c r="A496" t="s">
        <v>2404</v>
      </c>
      <c r="B496" s="3" t="s">
        <v>2405</v>
      </c>
      <c r="C496" s="10">
        <v>45610</v>
      </c>
      <c r="D496" s="3" t="s">
        <v>2406</v>
      </c>
      <c r="E496" s="10">
        <v>45618</v>
      </c>
      <c r="F496" s="6" t="str">
        <f t="shared" si="112"/>
        <v>Valid</v>
      </c>
      <c r="G496" s="8">
        <f t="shared" si="113"/>
        <v>8</v>
      </c>
      <c r="H496" s="8" t="str">
        <f t="shared" si="114"/>
        <v>Valid</v>
      </c>
      <c r="I496" t="s">
        <v>2407</v>
      </c>
      <c r="J496" t="s">
        <v>52</v>
      </c>
      <c r="K496" t="s">
        <v>52</v>
      </c>
      <c r="L496" t="s">
        <v>25</v>
      </c>
      <c r="M496" s="3" t="str">
        <f t="shared" si="115"/>
        <v>Consumer</v>
      </c>
      <c r="N496" t="s">
        <v>72</v>
      </c>
      <c r="O496" s="3" t="str">
        <f t="shared" si="116"/>
        <v>West</v>
      </c>
      <c r="P496" t="s">
        <v>83</v>
      </c>
      <c r="Q496" t="s">
        <v>84</v>
      </c>
      <c r="R496" t="s">
        <v>85</v>
      </c>
      <c r="S496" s="3" t="str">
        <f t="shared" si="117"/>
        <v>Technology</v>
      </c>
      <c r="T496" t="s">
        <v>222</v>
      </c>
      <c r="U496" t="s">
        <v>2408</v>
      </c>
      <c r="V496" t="s">
        <v>66</v>
      </c>
      <c r="W496" s="3" t="str">
        <f t="shared" si="118"/>
        <v>Standard Class</v>
      </c>
      <c r="X496">
        <v>3</v>
      </c>
      <c r="Y496">
        <v>671.68</v>
      </c>
      <c r="Z496">
        <v>-0.13</v>
      </c>
      <c r="AA496">
        <f t="shared" si="122"/>
        <v>-0.13</v>
      </c>
      <c r="AB496">
        <f t="shared" si="123"/>
        <v>2276.9951999999998</v>
      </c>
      <c r="AC496">
        <v>1712.78</v>
      </c>
      <c r="AD496">
        <v>1569.38</v>
      </c>
      <c r="AE496">
        <v>360.66</v>
      </c>
      <c r="AF496" t="s">
        <v>199</v>
      </c>
      <c r="AG496" t="s">
        <v>77</v>
      </c>
      <c r="AH496" t="str">
        <f t="shared" si="119"/>
        <v>Cancelled</v>
      </c>
      <c r="AI496" t="str">
        <f t="shared" si="120"/>
        <v>Invalid - Negative Discount</v>
      </c>
      <c r="AJ496">
        <f t="shared" si="121"/>
        <v>143.39999999999986</v>
      </c>
      <c r="AK496" s="12">
        <f t="shared" si="124"/>
        <v>6.2977734867425222E-2</v>
      </c>
      <c r="AL496">
        <f t="shared" si="125"/>
        <v>11</v>
      </c>
      <c r="AM496">
        <f t="shared" si="126"/>
        <v>2024</v>
      </c>
      <c r="AN496" t="str">
        <f t="shared" si="127"/>
        <v>Clean</v>
      </c>
    </row>
    <row r="497" spans="1:40">
      <c r="A497" t="s">
        <v>2409</v>
      </c>
      <c r="B497" s="3" t="s">
        <v>2190</v>
      </c>
      <c r="C497" s="10">
        <v>45421</v>
      </c>
      <c r="D497" s="3" t="s">
        <v>2410</v>
      </c>
      <c r="E497" s="10">
        <v>45427</v>
      </c>
      <c r="F497" s="6" t="str">
        <f t="shared" si="112"/>
        <v>Valid</v>
      </c>
      <c r="G497" s="8">
        <f t="shared" si="113"/>
        <v>6</v>
      </c>
      <c r="H497" s="8" t="str">
        <f t="shared" si="114"/>
        <v>Valid</v>
      </c>
      <c r="I497" t="s">
        <v>2411</v>
      </c>
      <c r="J497" t="s">
        <v>39</v>
      </c>
      <c r="K497" t="s">
        <v>39</v>
      </c>
      <c r="L497" t="s">
        <v>40</v>
      </c>
      <c r="M497" s="3" t="str">
        <f t="shared" si="115"/>
        <v>Small Business</v>
      </c>
      <c r="N497" t="s">
        <v>41</v>
      </c>
      <c r="O497" s="3" t="str">
        <f t="shared" si="116"/>
        <v>East</v>
      </c>
      <c r="P497" t="s">
        <v>215</v>
      </c>
      <c r="Q497" t="s">
        <v>216</v>
      </c>
      <c r="R497" t="s">
        <v>85</v>
      </c>
      <c r="S497" s="3" t="str">
        <f t="shared" si="117"/>
        <v>Technology</v>
      </c>
      <c r="T497" t="s">
        <v>222</v>
      </c>
      <c r="U497" t="s">
        <v>2412</v>
      </c>
      <c r="V497" t="s">
        <v>32</v>
      </c>
      <c r="W497" s="3" t="str">
        <f t="shared" si="118"/>
        <v>Second Class</v>
      </c>
      <c r="X497">
        <v>4</v>
      </c>
      <c r="Y497">
        <v>995.98</v>
      </c>
      <c r="Z497">
        <v>0.05</v>
      </c>
      <c r="AA497">
        <f t="shared" si="122"/>
        <v>0.05</v>
      </c>
      <c r="AB497">
        <f t="shared" si="123"/>
        <v>3784.7239999999997</v>
      </c>
      <c r="AC497">
        <v>3784.72</v>
      </c>
      <c r="AD497">
        <v>2419.2399999999998</v>
      </c>
      <c r="AE497">
        <v>1365.48</v>
      </c>
      <c r="AF497" t="s">
        <v>123</v>
      </c>
      <c r="AG497" t="s">
        <v>124</v>
      </c>
      <c r="AH497" t="str">
        <f t="shared" si="119"/>
        <v>Returned</v>
      </c>
      <c r="AI497" t="str">
        <f t="shared" si="120"/>
        <v>Valid</v>
      </c>
      <c r="AJ497">
        <f t="shared" si="121"/>
        <v>1365.48</v>
      </c>
      <c r="AK497" s="12">
        <f t="shared" si="124"/>
        <v>0.36078720667610109</v>
      </c>
      <c r="AL497">
        <f t="shared" si="125"/>
        <v>5</v>
      </c>
      <c r="AM497">
        <f t="shared" si="126"/>
        <v>2024</v>
      </c>
      <c r="AN497" t="str">
        <f t="shared" si="127"/>
        <v>Clean</v>
      </c>
    </row>
    <row r="498" spans="1:40">
      <c r="A498" t="s">
        <v>2413</v>
      </c>
      <c r="B498" s="3" t="s">
        <v>2414</v>
      </c>
      <c r="C498" s="10">
        <v>45842</v>
      </c>
      <c r="D498" s="3" t="s">
        <v>2415</v>
      </c>
      <c r="E498" s="10">
        <v>45844</v>
      </c>
      <c r="F498" s="6" t="str">
        <f t="shared" si="112"/>
        <v>Valid</v>
      </c>
      <c r="G498" s="8">
        <f t="shared" si="113"/>
        <v>2</v>
      </c>
      <c r="H498" s="8" t="str">
        <f t="shared" si="114"/>
        <v>Valid</v>
      </c>
      <c r="I498" t="s">
        <v>2416</v>
      </c>
      <c r="J498" t="s">
        <v>365</v>
      </c>
      <c r="K498" t="s">
        <v>365</v>
      </c>
      <c r="L498" t="s">
        <v>40</v>
      </c>
      <c r="M498" s="3" t="str">
        <f t="shared" si="115"/>
        <v>Small Business</v>
      </c>
      <c r="N498" t="s">
        <v>41</v>
      </c>
      <c r="O498" s="3" t="str">
        <f t="shared" si="116"/>
        <v>East</v>
      </c>
      <c r="P498" t="s">
        <v>310</v>
      </c>
      <c r="Q498" t="s">
        <v>311</v>
      </c>
      <c r="R498" t="s">
        <v>44</v>
      </c>
      <c r="S498" s="3" t="str">
        <f t="shared" si="117"/>
        <v>Furniture</v>
      </c>
      <c r="T498" t="s">
        <v>75</v>
      </c>
      <c r="U498" t="s">
        <v>2417</v>
      </c>
      <c r="V498" t="s">
        <v>32</v>
      </c>
      <c r="W498" s="3" t="str">
        <f t="shared" si="118"/>
        <v>Second Class</v>
      </c>
      <c r="X498">
        <v>2</v>
      </c>
      <c r="Y498">
        <v>3686.42</v>
      </c>
      <c r="Z498">
        <v>0.1</v>
      </c>
      <c r="AA498">
        <f t="shared" si="122"/>
        <v>0.1</v>
      </c>
      <c r="AB498">
        <f t="shared" si="123"/>
        <v>6635.5560000000005</v>
      </c>
      <c r="AC498">
        <v>6635.56</v>
      </c>
      <c r="AD498">
        <v>3652.91</v>
      </c>
      <c r="AE498">
        <v>2982.65</v>
      </c>
      <c r="AF498" t="s">
        <v>33</v>
      </c>
      <c r="AG498" t="s">
        <v>34</v>
      </c>
      <c r="AH498" t="str">
        <f t="shared" si="119"/>
        <v>Completed</v>
      </c>
      <c r="AI498" t="str">
        <f t="shared" si="120"/>
        <v>Valid</v>
      </c>
      <c r="AJ498">
        <f t="shared" si="121"/>
        <v>2982.6500000000005</v>
      </c>
      <c r="AK498" s="12">
        <f t="shared" si="124"/>
        <v>0.44949511389851887</v>
      </c>
      <c r="AL498">
        <f t="shared" si="125"/>
        <v>7</v>
      </c>
      <c r="AM498">
        <f t="shared" si="126"/>
        <v>2025</v>
      </c>
      <c r="AN498" t="str">
        <f t="shared" si="127"/>
        <v>Clean</v>
      </c>
    </row>
    <row r="499" spans="1:40">
      <c r="A499" t="s">
        <v>2418</v>
      </c>
      <c r="B499" s="3" t="s">
        <v>2419</v>
      </c>
      <c r="C499" s="10">
        <v>45533</v>
      </c>
      <c r="D499" s="3" t="s">
        <v>2419</v>
      </c>
      <c r="E499" s="10">
        <v>45533</v>
      </c>
      <c r="F499" s="6" t="str">
        <f t="shared" si="112"/>
        <v>Valid</v>
      </c>
      <c r="G499" s="8">
        <f t="shared" si="113"/>
        <v>0</v>
      </c>
      <c r="H499" s="8" t="str">
        <f t="shared" si="114"/>
        <v>Valid</v>
      </c>
      <c r="I499" t="s">
        <v>2420</v>
      </c>
      <c r="J499" t="s">
        <v>167</v>
      </c>
      <c r="K499" t="s">
        <v>167</v>
      </c>
      <c r="L499" t="s">
        <v>40</v>
      </c>
      <c r="M499" s="3" t="str">
        <f t="shared" si="115"/>
        <v>Small Business</v>
      </c>
      <c r="N499" t="s">
        <v>711</v>
      </c>
      <c r="O499" s="3" t="str">
        <f t="shared" si="116"/>
        <v>North</v>
      </c>
      <c r="P499" t="s">
        <v>173</v>
      </c>
      <c r="Q499" t="s">
        <v>174</v>
      </c>
      <c r="R499" t="s">
        <v>85</v>
      </c>
      <c r="S499" s="3" t="str">
        <f t="shared" si="117"/>
        <v>Technology</v>
      </c>
      <c r="T499" t="s">
        <v>86</v>
      </c>
      <c r="U499" t="s">
        <v>2421</v>
      </c>
      <c r="V499" t="s">
        <v>32</v>
      </c>
      <c r="W499" s="3" t="str">
        <f t="shared" si="118"/>
        <v>Second Class</v>
      </c>
      <c r="X499">
        <v>1</v>
      </c>
      <c r="Y499">
        <v>3106.88</v>
      </c>
      <c r="Z499">
        <v>0.2</v>
      </c>
      <c r="AA499">
        <f t="shared" si="122"/>
        <v>0.2</v>
      </c>
      <c r="AB499">
        <f t="shared" si="123"/>
        <v>2485.5040000000004</v>
      </c>
      <c r="AC499">
        <v>2485.5</v>
      </c>
      <c r="AD499">
        <v>2028.43</v>
      </c>
      <c r="AE499">
        <v>457.07</v>
      </c>
      <c r="AF499" t="s">
        <v>33</v>
      </c>
      <c r="AG499" t="s">
        <v>77</v>
      </c>
      <c r="AH499" t="str">
        <f t="shared" si="119"/>
        <v>Cancelled</v>
      </c>
      <c r="AI499" t="str">
        <f t="shared" si="120"/>
        <v>Valid</v>
      </c>
      <c r="AJ499">
        <f t="shared" si="121"/>
        <v>457.06999999999994</v>
      </c>
      <c r="AK499" s="12">
        <f t="shared" si="124"/>
        <v>0.18389429266659796</v>
      </c>
      <c r="AL499">
        <f t="shared" si="125"/>
        <v>8</v>
      </c>
      <c r="AM499">
        <f t="shared" si="126"/>
        <v>2024</v>
      </c>
      <c r="AN499" t="str">
        <f t="shared" si="127"/>
        <v>Clean</v>
      </c>
    </row>
    <row r="500" spans="1:40">
      <c r="A500" t="s">
        <v>2422</v>
      </c>
      <c r="B500" s="3" t="s">
        <v>2423</v>
      </c>
      <c r="C500" s="10">
        <v>45907</v>
      </c>
      <c r="D500" s="3" t="s">
        <v>2424</v>
      </c>
      <c r="E500" s="10">
        <v>45910</v>
      </c>
      <c r="F500" s="6" t="str">
        <f t="shared" si="112"/>
        <v>Valid</v>
      </c>
      <c r="G500" s="8">
        <f t="shared" si="113"/>
        <v>3</v>
      </c>
      <c r="H500" s="8" t="str">
        <f t="shared" si="114"/>
        <v>Valid</v>
      </c>
      <c r="I500" t="s">
        <v>2425</v>
      </c>
      <c r="J500" t="s">
        <v>24</v>
      </c>
      <c r="K500" t="s">
        <v>24</v>
      </c>
      <c r="L500" t="s">
        <v>25</v>
      </c>
      <c r="M500" s="3" t="str">
        <f t="shared" si="115"/>
        <v>Consumer</v>
      </c>
      <c r="N500" t="s">
        <v>26</v>
      </c>
      <c r="O500" s="3" t="str">
        <f t="shared" si="116"/>
        <v>North</v>
      </c>
      <c r="P500" t="s">
        <v>153</v>
      </c>
      <c r="Q500" t="s">
        <v>154</v>
      </c>
      <c r="R500" t="s">
        <v>44</v>
      </c>
      <c r="S500" s="3" t="str">
        <f t="shared" si="117"/>
        <v>Furniture</v>
      </c>
      <c r="T500" t="s">
        <v>75</v>
      </c>
      <c r="U500" t="s">
        <v>2426</v>
      </c>
      <c r="V500" t="s">
        <v>47</v>
      </c>
      <c r="W500" s="3" t="str">
        <f t="shared" si="118"/>
        <v>Same Day</v>
      </c>
      <c r="X500">
        <v>2</v>
      </c>
      <c r="Y500">
        <v>447.55</v>
      </c>
      <c r="Z500">
        <v>0.05</v>
      </c>
      <c r="AA500">
        <f t="shared" si="122"/>
        <v>0.05</v>
      </c>
      <c r="AB500">
        <f t="shared" si="123"/>
        <v>850.34500000000003</v>
      </c>
      <c r="AC500">
        <v>850.35</v>
      </c>
      <c r="AD500">
        <v>600.98</v>
      </c>
      <c r="AE500">
        <v>249.37</v>
      </c>
      <c r="AF500" t="s">
        <v>123</v>
      </c>
      <c r="AG500" t="s">
        <v>2427</v>
      </c>
      <c r="AH500" t="str">
        <f t="shared" si="119"/>
        <v>Cancelled</v>
      </c>
      <c r="AI500" t="str">
        <f t="shared" si="120"/>
        <v>Valid</v>
      </c>
      <c r="AJ500">
        <f t="shared" si="121"/>
        <v>249.37</v>
      </c>
      <c r="AK500" s="12">
        <f t="shared" si="124"/>
        <v>0.29325744256742853</v>
      </c>
      <c r="AL500">
        <f t="shared" si="125"/>
        <v>9</v>
      </c>
      <c r="AM500">
        <f t="shared" si="126"/>
        <v>2025</v>
      </c>
      <c r="AN500" t="str">
        <f t="shared" si="127"/>
        <v>Clean</v>
      </c>
    </row>
    <row r="501" spans="1:40">
      <c r="A501" t="s">
        <v>2428</v>
      </c>
      <c r="B501" s="3" t="s">
        <v>2429</v>
      </c>
      <c r="C501" s="10">
        <v>45648</v>
      </c>
      <c r="D501" s="3" t="s">
        <v>1444</v>
      </c>
      <c r="E501" s="10">
        <v>45652</v>
      </c>
      <c r="F501" s="6" t="str">
        <f t="shared" si="112"/>
        <v>Valid</v>
      </c>
      <c r="G501" s="8">
        <f t="shared" si="113"/>
        <v>4</v>
      </c>
      <c r="H501" s="8" t="str">
        <f t="shared" si="114"/>
        <v>Valid</v>
      </c>
      <c r="I501" t="s">
        <v>2430</v>
      </c>
      <c r="J501" t="s">
        <v>147</v>
      </c>
      <c r="K501" t="s">
        <v>147</v>
      </c>
      <c r="L501" t="s">
        <v>114</v>
      </c>
      <c r="M501" s="3" t="str">
        <f t="shared" si="115"/>
        <v>Home Office</v>
      </c>
      <c r="N501" t="s">
        <v>26</v>
      </c>
      <c r="O501" s="3" t="str">
        <f t="shared" si="116"/>
        <v>North</v>
      </c>
      <c r="P501" t="s">
        <v>173</v>
      </c>
      <c r="Q501" t="s">
        <v>174</v>
      </c>
      <c r="R501" t="s">
        <v>44</v>
      </c>
      <c r="S501" s="3" t="str">
        <f t="shared" si="117"/>
        <v>Furniture</v>
      </c>
      <c r="T501" t="s">
        <v>75</v>
      </c>
      <c r="U501" t="s">
        <v>2431</v>
      </c>
      <c r="V501" t="s">
        <v>66</v>
      </c>
      <c r="W501" s="3" t="str">
        <f t="shared" si="118"/>
        <v>Standard Class</v>
      </c>
      <c r="X501">
        <v>9</v>
      </c>
      <c r="Y501">
        <v>1110.8699999999999</v>
      </c>
      <c r="AA501">
        <f t="shared" si="122"/>
        <v>0</v>
      </c>
      <c r="AB501">
        <f t="shared" si="123"/>
        <v>9997.8299999999981</v>
      </c>
      <c r="AC501">
        <v>7498.37</v>
      </c>
      <c r="AD501">
        <v>6059.07</v>
      </c>
      <c r="AE501">
        <v>1439.3</v>
      </c>
      <c r="AF501" t="s">
        <v>33</v>
      </c>
      <c r="AG501" t="s">
        <v>77</v>
      </c>
      <c r="AH501" t="str">
        <f t="shared" si="119"/>
        <v>Cancelled</v>
      </c>
      <c r="AI501" t="str">
        <f t="shared" si="120"/>
        <v>Valid</v>
      </c>
      <c r="AJ501">
        <f t="shared" si="121"/>
        <v>1439.3000000000002</v>
      </c>
      <c r="AK501" s="12">
        <f t="shared" si="124"/>
        <v>0.14396123958899085</v>
      </c>
      <c r="AL501">
        <f t="shared" si="125"/>
        <v>12</v>
      </c>
      <c r="AM501">
        <f t="shared" si="126"/>
        <v>2024</v>
      </c>
      <c r="AN501" t="str">
        <f t="shared" si="127"/>
        <v>Clean</v>
      </c>
    </row>
    <row r="502" spans="1:40">
      <c r="A502" t="s">
        <v>2432</v>
      </c>
      <c r="B502" s="3" t="s">
        <v>1128</v>
      </c>
      <c r="C502" s="10">
        <v>45429</v>
      </c>
      <c r="D502" s="3" t="s">
        <v>2433</v>
      </c>
      <c r="E502" s="10">
        <v>45434</v>
      </c>
      <c r="F502" s="6" t="str">
        <f t="shared" si="112"/>
        <v>Valid</v>
      </c>
      <c r="G502" s="8">
        <f t="shared" si="113"/>
        <v>5</v>
      </c>
      <c r="H502" s="8" t="str">
        <f t="shared" si="114"/>
        <v>Valid</v>
      </c>
      <c r="I502" t="s">
        <v>2434</v>
      </c>
      <c r="J502" t="s">
        <v>167</v>
      </c>
      <c r="K502" t="s">
        <v>167</v>
      </c>
      <c r="L502" t="s">
        <v>25</v>
      </c>
      <c r="M502" s="3" t="str">
        <f t="shared" si="115"/>
        <v>Consumer</v>
      </c>
      <c r="N502" t="s">
        <v>61</v>
      </c>
      <c r="O502" s="3" t="str">
        <f t="shared" si="116"/>
        <v>South</v>
      </c>
      <c r="P502" t="s">
        <v>241</v>
      </c>
      <c r="Q502" t="s">
        <v>242</v>
      </c>
      <c r="R502" t="s">
        <v>85</v>
      </c>
      <c r="S502" s="3" t="str">
        <f t="shared" si="117"/>
        <v>Technology</v>
      </c>
      <c r="T502" t="s">
        <v>222</v>
      </c>
      <c r="U502" t="s">
        <v>2435</v>
      </c>
      <c r="V502" t="s">
        <v>47</v>
      </c>
      <c r="W502" s="3" t="str">
        <f t="shared" si="118"/>
        <v>Same Day</v>
      </c>
      <c r="X502">
        <v>9</v>
      </c>
      <c r="Y502">
        <v>3795.99</v>
      </c>
      <c r="Z502" t="s">
        <v>1169</v>
      </c>
      <c r="AA502" t="str">
        <f t="shared" si="122"/>
        <v>85%</v>
      </c>
      <c r="AB502">
        <f t="shared" si="123"/>
        <v>5124.5865000000003</v>
      </c>
      <c r="AC502">
        <v>34163.910000000003</v>
      </c>
      <c r="AD502">
        <v>28577.15</v>
      </c>
      <c r="AE502">
        <v>5586.76</v>
      </c>
      <c r="AF502" t="s">
        <v>33</v>
      </c>
      <c r="AG502" t="s">
        <v>34</v>
      </c>
      <c r="AH502" t="str">
        <f t="shared" si="119"/>
        <v>Completed</v>
      </c>
      <c r="AI502" t="str">
        <f t="shared" si="120"/>
        <v>Invalid - Discount Above Range</v>
      </c>
      <c r="AJ502">
        <f t="shared" si="121"/>
        <v>5586.760000000002</v>
      </c>
      <c r="AK502" s="12">
        <f t="shared" si="124"/>
        <v>1.0901874717111326</v>
      </c>
      <c r="AL502">
        <f t="shared" si="125"/>
        <v>5</v>
      </c>
      <c r="AM502">
        <f t="shared" si="126"/>
        <v>2024</v>
      </c>
      <c r="AN502" t="str">
        <f t="shared" si="127"/>
        <v>Clean</v>
      </c>
    </row>
    <row r="503" spans="1:40">
      <c r="A503" t="s">
        <v>2436</v>
      </c>
      <c r="B503" s="3" t="s">
        <v>2437</v>
      </c>
      <c r="C503" s="10">
        <v>45515</v>
      </c>
      <c r="D503" s="3" t="s">
        <v>2438</v>
      </c>
      <c r="E503" s="10">
        <v>45521</v>
      </c>
      <c r="F503" s="6" t="str">
        <f t="shared" si="112"/>
        <v>Valid</v>
      </c>
      <c r="G503" s="8">
        <f t="shared" si="113"/>
        <v>6</v>
      </c>
      <c r="H503" s="8" t="str">
        <f t="shared" si="114"/>
        <v>Valid</v>
      </c>
      <c r="I503" t="s">
        <v>1236</v>
      </c>
      <c r="J503" t="s">
        <v>92</v>
      </c>
      <c r="K503" t="s">
        <v>92</v>
      </c>
      <c r="L503" t="s">
        <v>25</v>
      </c>
      <c r="M503" s="3" t="str">
        <f t="shared" si="115"/>
        <v>Consumer</v>
      </c>
      <c r="N503" t="s">
        <v>41</v>
      </c>
      <c r="O503" s="3" t="str">
        <f t="shared" si="116"/>
        <v>East</v>
      </c>
      <c r="P503" t="s">
        <v>310</v>
      </c>
      <c r="Q503" t="s">
        <v>311</v>
      </c>
      <c r="R503" t="s">
        <v>29</v>
      </c>
      <c r="S503" s="3" t="str">
        <f t="shared" si="117"/>
        <v>Office Supplies</v>
      </c>
      <c r="T503" t="s">
        <v>53</v>
      </c>
      <c r="U503" t="s">
        <v>2439</v>
      </c>
      <c r="V503" t="s">
        <v>32</v>
      </c>
      <c r="W503" s="3" t="str">
        <f t="shared" si="118"/>
        <v>Second Class</v>
      </c>
      <c r="X503">
        <v>6</v>
      </c>
      <c r="Y503">
        <v>3497.54</v>
      </c>
      <c r="Z503">
        <v>0.15</v>
      </c>
      <c r="AA503">
        <f t="shared" si="122"/>
        <v>0.15</v>
      </c>
      <c r="AB503">
        <f t="shared" si="123"/>
        <v>17837.453999999998</v>
      </c>
      <c r="AC503">
        <v>17837.45</v>
      </c>
      <c r="AD503">
        <v>13627.02</v>
      </c>
      <c r="AE503">
        <v>4210.43</v>
      </c>
      <c r="AF503" t="s">
        <v>33</v>
      </c>
      <c r="AG503" t="s">
        <v>34</v>
      </c>
      <c r="AH503" t="str">
        <f t="shared" si="119"/>
        <v>Completed</v>
      </c>
      <c r="AI503" t="str">
        <f t="shared" si="120"/>
        <v>Valid</v>
      </c>
      <c r="AJ503">
        <f t="shared" si="121"/>
        <v>4210.43</v>
      </c>
      <c r="AK503" s="12">
        <f t="shared" si="124"/>
        <v>0.23604433682071449</v>
      </c>
      <c r="AL503">
        <f t="shared" si="125"/>
        <v>8</v>
      </c>
      <c r="AM503">
        <f t="shared" si="126"/>
        <v>2024</v>
      </c>
      <c r="AN503" t="str">
        <f t="shared" si="127"/>
        <v>Clean</v>
      </c>
    </row>
    <row r="504" spans="1:40">
      <c r="A504" t="s">
        <v>2440</v>
      </c>
      <c r="B504" s="3" t="s">
        <v>2441</v>
      </c>
      <c r="C504" s="10">
        <v>45383</v>
      </c>
      <c r="D504" s="3" t="s">
        <v>2442</v>
      </c>
      <c r="E504" s="10">
        <v>45391</v>
      </c>
      <c r="F504" s="6" t="str">
        <f t="shared" si="112"/>
        <v>Valid</v>
      </c>
      <c r="G504" s="8">
        <f t="shared" si="113"/>
        <v>8</v>
      </c>
      <c r="H504" s="8" t="str">
        <f t="shared" si="114"/>
        <v>Valid</v>
      </c>
      <c r="I504" t="s">
        <v>2443</v>
      </c>
      <c r="J504" t="s">
        <v>141</v>
      </c>
      <c r="K504" t="s">
        <v>141</v>
      </c>
      <c r="L504" t="s">
        <v>40</v>
      </c>
      <c r="M504" s="3" t="str">
        <f t="shared" si="115"/>
        <v>Small Business</v>
      </c>
      <c r="N504" t="s">
        <v>41</v>
      </c>
      <c r="O504" s="3" t="str">
        <f t="shared" si="116"/>
        <v>East</v>
      </c>
      <c r="P504" t="s">
        <v>42</v>
      </c>
      <c r="Q504" t="s">
        <v>43</v>
      </c>
      <c r="R504" t="s">
        <v>85</v>
      </c>
      <c r="S504" s="3" t="str">
        <f t="shared" si="117"/>
        <v>Technology</v>
      </c>
      <c r="T504" t="s">
        <v>93</v>
      </c>
      <c r="U504" t="s">
        <v>2444</v>
      </c>
      <c r="V504" t="s">
        <v>32</v>
      </c>
      <c r="W504" s="3" t="str">
        <f t="shared" si="118"/>
        <v>Second Class</v>
      </c>
      <c r="X504">
        <v>6</v>
      </c>
      <c r="Y504">
        <v>826.93</v>
      </c>
      <c r="Z504">
        <v>0.1</v>
      </c>
      <c r="AA504">
        <f t="shared" si="122"/>
        <v>0.1</v>
      </c>
      <c r="AB504">
        <f t="shared" si="123"/>
        <v>4465.4220000000005</v>
      </c>
      <c r="AC504">
        <v>4465.42</v>
      </c>
      <c r="AD504">
        <v>3377.1</v>
      </c>
      <c r="AE504">
        <v>1088.32</v>
      </c>
      <c r="AF504" t="s">
        <v>33</v>
      </c>
      <c r="AG504" t="s">
        <v>34</v>
      </c>
      <c r="AH504" t="str">
        <f t="shared" si="119"/>
        <v>Completed</v>
      </c>
      <c r="AI504" t="str">
        <f t="shared" si="120"/>
        <v>Valid</v>
      </c>
      <c r="AJ504">
        <f t="shared" si="121"/>
        <v>1088.3200000000002</v>
      </c>
      <c r="AK504" s="12">
        <f t="shared" si="124"/>
        <v>0.24372164601688262</v>
      </c>
      <c r="AL504">
        <f t="shared" si="125"/>
        <v>4</v>
      </c>
      <c r="AM504">
        <f t="shared" si="126"/>
        <v>2024</v>
      </c>
      <c r="AN504" t="str">
        <f t="shared" si="127"/>
        <v>Clean</v>
      </c>
    </row>
    <row r="505" spans="1:40">
      <c r="A505" t="s">
        <v>2445</v>
      </c>
      <c r="B505" s="3" t="s">
        <v>2446</v>
      </c>
      <c r="C505" s="10">
        <v>45563</v>
      </c>
      <c r="D505" s="3" t="s">
        <v>2447</v>
      </c>
      <c r="E505" s="10">
        <v>45570</v>
      </c>
      <c r="F505" s="6" t="str">
        <f t="shared" si="112"/>
        <v>Valid</v>
      </c>
      <c r="G505" s="8">
        <f t="shared" si="113"/>
        <v>7</v>
      </c>
      <c r="H505" s="8" t="str">
        <f t="shared" si="114"/>
        <v>Valid</v>
      </c>
      <c r="I505" t="s">
        <v>2448</v>
      </c>
      <c r="J505" t="s">
        <v>161</v>
      </c>
      <c r="K505" t="s">
        <v>161</v>
      </c>
      <c r="L505" t="s">
        <v>25</v>
      </c>
      <c r="M505" s="3" t="str">
        <f t="shared" si="115"/>
        <v>Consumer</v>
      </c>
      <c r="N505" t="s">
        <v>61</v>
      </c>
      <c r="O505" s="3" t="str">
        <f t="shared" si="116"/>
        <v>South</v>
      </c>
      <c r="P505" t="s">
        <v>338</v>
      </c>
      <c r="Q505" t="s">
        <v>339</v>
      </c>
      <c r="R505" t="s">
        <v>85</v>
      </c>
      <c r="S505" s="3" t="str">
        <f t="shared" si="117"/>
        <v>Technology</v>
      </c>
      <c r="T505" t="s">
        <v>222</v>
      </c>
      <c r="U505" t="s">
        <v>2449</v>
      </c>
      <c r="V505" t="s">
        <v>66</v>
      </c>
      <c r="W505" s="3" t="str">
        <f t="shared" si="118"/>
        <v>Standard Class</v>
      </c>
      <c r="X505">
        <v>7</v>
      </c>
      <c r="Y505">
        <v>1681.6</v>
      </c>
      <c r="Z505">
        <v>0.1</v>
      </c>
      <c r="AA505">
        <f t="shared" si="122"/>
        <v>0.1</v>
      </c>
      <c r="AB505">
        <f t="shared" si="123"/>
        <v>10594.08</v>
      </c>
      <c r="AC505">
        <v>10594.08</v>
      </c>
      <c r="AD505">
        <v>7160.31</v>
      </c>
      <c r="AE505">
        <v>3433.77</v>
      </c>
      <c r="AF505" t="s">
        <v>33</v>
      </c>
      <c r="AG505" t="s">
        <v>34</v>
      </c>
      <c r="AH505" t="str">
        <f t="shared" si="119"/>
        <v>Completed</v>
      </c>
      <c r="AI505" t="str">
        <f t="shared" si="120"/>
        <v>Valid</v>
      </c>
      <c r="AJ505">
        <f t="shared" si="121"/>
        <v>3433.7699999999995</v>
      </c>
      <c r="AK505" s="12">
        <f t="shared" si="124"/>
        <v>0.32412158488514337</v>
      </c>
      <c r="AL505">
        <f t="shared" si="125"/>
        <v>9</v>
      </c>
      <c r="AM505">
        <f t="shared" si="126"/>
        <v>2024</v>
      </c>
      <c r="AN505" t="str">
        <f t="shared" si="127"/>
        <v>Clean</v>
      </c>
    </row>
    <row r="506" spans="1:40">
      <c r="A506" t="s">
        <v>2450</v>
      </c>
      <c r="B506" s="3" t="s">
        <v>2451</v>
      </c>
      <c r="C506" s="10">
        <v>45700</v>
      </c>
      <c r="D506" s="3" t="s">
        <v>2452</v>
      </c>
      <c r="E506" s="10">
        <v>45705</v>
      </c>
      <c r="F506" s="6" t="str">
        <f t="shared" si="112"/>
        <v>Valid</v>
      </c>
      <c r="G506" s="8">
        <f t="shared" si="113"/>
        <v>5</v>
      </c>
      <c r="H506" s="8" t="str">
        <f t="shared" si="114"/>
        <v>Valid</v>
      </c>
      <c r="I506" t="s">
        <v>2453</v>
      </c>
      <c r="J506" t="s">
        <v>60</v>
      </c>
      <c r="K506" t="s">
        <v>60</v>
      </c>
      <c r="L506" t="s">
        <v>107</v>
      </c>
      <c r="M506" s="3" t="str">
        <f t="shared" si="115"/>
        <v>Corporate</v>
      </c>
      <c r="N506" t="s">
        <v>72</v>
      </c>
      <c r="O506" s="3" t="str">
        <f t="shared" si="116"/>
        <v>West</v>
      </c>
      <c r="P506" t="s">
        <v>234</v>
      </c>
      <c r="Q506" t="s">
        <v>235</v>
      </c>
      <c r="R506" t="s">
        <v>29</v>
      </c>
      <c r="S506" s="3" t="str">
        <f t="shared" si="117"/>
        <v>Office Supplies</v>
      </c>
      <c r="T506" t="s">
        <v>53</v>
      </c>
      <c r="U506" t="s">
        <v>2454</v>
      </c>
      <c r="V506" t="s">
        <v>66</v>
      </c>
      <c r="W506" s="3" t="str">
        <f t="shared" si="118"/>
        <v>Standard Class</v>
      </c>
      <c r="X506">
        <v>4</v>
      </c>
      <c r="Y506">
        <v>4328.12</v>
      </c>
      <c r="Z506">
        <v>0</v>
      </c>
      <c r="AA506">
        <f t="shared" si="122"/>
        <v>0</v>
      </c>
      <c r="AB506">
        <f t="shared" si="123"/>
        <v>17312.48</v>
      </c>
      <c r="AC506">
        <v>17312.48</v>
      </c>
      <c r="AD506">
        <v>14424.22</v>
      </c>
      <c r="AE506">
        <v>2888.26</v>
      </c>
      <c r="AF506" t="s">
        <v>33</v>
      </c>
      <c r="AG506" t="s">
        <v>34</v>
      </c>
      <c r="AH506" t="str">
        <f t="shared" si="119"/>
        <v>Completed</v>
      </c>
      <c r="AI506" t="str">
        <f t="shared" si="120"/>
        <v>Valid</v>
      </c>
      <c r="AJ506">
        <f t="shared" si="121"/>
        <v>2888.26</v>
      </c>
      <c r="AK506" s="12">
        <f t="shared" si="124"/>
        <v>0.16683109525613893</v>
      </c>
      <c r="AL506">
        <f t="shared" si="125"/>
        <v>2</v>
      </c>
      <c r="AM506">
        <f t="shared" si="126"/>
        <v>2025</v>
      </c>
      <c r="AN506" t="str">
        <f t="shared" si="127"/>
        <v>Clean</v>
      </c>
    </row>
    <row r="507" spans="1:40">
      <c r="A507" t="s">
        <v>2455</v>
      </c>
      <c r="B507" s="3" t="s">
        <v>2456</v>
      </c>
      <c r="C507" s="10">
        <v>45605</v>
      </c>
      <c r="D507" s="3" t="s">
        <v>1379</v>
      </c>
      <c r="E507" s="10">
        <v>45610</v>
      </c>
      <c r="F507" s="6" t="str">
        <f t="shared" si="112"/>
        <v>Valid</v>
      </c>
      <c r="G507" s="8">
        <f t="shared" si="113"/>
        <v>5</v>
      </c>
      <c r="H507" s="8" t="str">
        <f t="shared" si="114"/>
        <v>Valid</v>
      </c>
      <c r="I507" t="s">
        <v>2457</v>
      </c>
      <c r="J507" t="s">
        <v>92</v>
      </c>
      <c r="K507" t="s">
        <v>92</v>
      </c>
      <c r="L507" t="s">
        <v>107</v>
      </c>
      <c r="M507" s="3" t="str">
        <f t="shared" si="115"/>
        <v>Corporate</v>
      </c>
      <c r="N507" t="s">
        <v>72</v>
      </c>
      <c r="O507" s="3" t="str">
        <f t="shared" si="116"/>
        <v>West</v>
      </c>
      <c r="P507" t="s">
        <v>83</v>
      </c>
      <c r="Q507" t="s">
        <v>84</v>
      </c>
      <c r="R507" t="s">
        <v>29</v>
      </c>
      <c r="S507" s="3" t="str">
        <f t="shared" si="117"/>
        <v>Office Supplies</v>
      </c>
      <c r="T507" t="s">
        <v>53</v>
      </c>
      <c r="U507" t="s">
        <v>2458</v>
      </c>
      <c r="V507" t="s">
        <v>55</v>
      </c>
      <c r="W507" s="3" t="str">
        <f t="shared" si="118"/>
        <v>First Class</v>
      </c>
      <c r="X507">
        <v>9</v>
      </c>
      <c r="Y507">
        <v>2438.29</v>
      </c>
      <c r="Z507">
        <v>0.2</v>
      </c>
      <c r="AA507">
        <f t="shared" si="122"/>
        <v>0.2</v>
      </c>
      <c r="AB507">
        <f t="shared" si="123"/>
        <v>17555.688000000002</v>
      </c>
      <c r="AC507">
        <v>17555.689999999999</v>
      </c>
      <c r="AD507">
        <v>13293.2</v>
      </c>
      <c r="AE507">
        <v>4262.49</v>
      </c>
      <c r="AF507" t="s">
        <v>33</v>
      </c>
      <c r="AG507" t="s">
        <v>77</v>
      </c>
      <c r="AH507" t="str">
        <f t="shared" si="119"/>
        <v>Cancelled</v>
      </c>
      <c r="AI507" t="str">
        <f t="shared" si="120"/>
        <v>Valid</v>
      </c>
      <c r="AJ507">
        <f t="shared" si="121"/>
        <v>4262.489999999998</v>
      </c>
      <c r="AK507" s="12">
        <f t="shared" si="124"/>
        <v>0.24279823154751881</v>
      </c>
      <c r="AL507">
        <f t="shared" si="125"/>
        <v>11</v>
      </c>
      <c r="AM507">
        <f t="shared" si="126"/>
        <v>2024</v>
      </c>
      <c r="AN507" t="str">
        <f t="shared" si="127"/>
        <v>Clean</v>
      </c>
    </row>
    <row r="508" spans="1:40">
      <c r="A508" t="s">
        <v>2459</v>
      </c>
      <c r="B508" s="3" t="s">
        <v>2460</v>
      </c>
      <c r="C508" s="10">
        <v>45641</v>
      </c>
      <c r="D508" s="3" t="s">
        <v>2461</v>
      </c>
      <c r="E508" s="10">
        <v>45641</v>
      </c>
      <c r="F508" s="6" t="str">
        <f t="shared" si="112"/>
        <v>Valid</v>
      </c>
      <c r="G508" s="8">
        <f t="shared" si="113"/>
        <v>0</v>
      </c>
      <c r="H508" s="8" t="str">
        <f t="shared" si="114"/>
        <v>Valid</v>
      </c>
      <c r="I508" t="s">
        <v>2462</v>
      </c>
      <c r="J508" t="s">
        <v>161</v>
      </c>
      <c r="K508" t="s">
        <v>161</v>
      </c>
      <c r="L508" t="s">
        <v>40</v>
      </c>
      <c r="M508" s="3" t="str">
        <f t="shared" si="115"/>
        <v>Small Business</v>
      </c>
      <c r="N508" t="s">
        <v>26</v>
      </c>
      <c r="O508" s="3" t="str">
        <f t="shared" si="116"/>
        <v>North</v>
      </c>
      <c r="P508" t="s">
        <v>153</v>
      </c>
      <c r="Q508" t="s">
        <v>154</v>
      </c>
      <c r="R508" t="s">
        <v>44</v>
      </c>
      <c r="S508" s="3" t="str">
        <f t="shared" si="117"/>
        <v>Furniture</v>
      </c>
      <c r="T508" t="s">
        <v>64</v>
      </c>
      <c r="U508" t="s">
        <v>2463</v>
      </c>
      <c r="V508" t="s">
        <v>55</v>
      </c>
      <c r="W508" s="3" t="str">
        <f t="shared" si="118"/>
        <v>First Class</v>
      </c>
      <c r="X508">
        <v>2</v>
      </c>
      <c r="Y508">
        <v>669.8</v>
      </c>
      <c r="Z508">
        <v>0.1</v>
      </c>
      <c r="AA508">
        <f t="shared" si="122"/>
        <v>0.1</v>
      </c>
      <c r="AB508">
        <f t="shared" si="123"/>
        <v>1205.6399999999999</v>
      </c>
      <c r="AC508">
        <v>1205.6400000000001</v>
      </c>
      <c r="AD508">
        <v>842.07</v>
      </c>
      <c r="AE508">
        <v>363.57</v>
      </c>
      <c r="AF508" t="s">
        <v>123</v>
      </c>
      <c r="AG508" t="s">
        <v>124</v>
      </c>
      <c r="AH508" t="str">
        <f t="shared" si="119"/>
        <v>Returned</v>
      </c>
      <c r="AI508" t="str">
        <f t="shared" si="120"/>
        <v>Valid</v>
      </c>
      <c r="AJ508">
        <f t="shared" si="121"/>
        <v>363.57000000000005</v>
      </c>
      <c r="AK508" s="12">
        <f t="shared" si="124"/>
        <v>0.30155767890912716</v>
      </c>
      <c r="AL508">
        <f t="shared" si="125"/>
        <v>12</v>
      </c>
      <c r="AM508">
        <f t="shared" si="126"/>
        <v>2024</v>
      </c>
      <c r="AN508" t="str">
        <f t="shared" si="127"/>
        <v>Clean</v>
      </c>
    </row>
    <row r="509" spans="1:40">
      <c r="A509" t="s">
        <v>2464</v>
      </c>
      <c r="B509" s="3" t="s">
        <v>2142</v>
      </c>
      <c r="C509" s="10">
        <v>45762</v>
      </c>
      <c r="D509" s="3" t="s">
        <v>2108</v>
      </c>
      <c r="E509" s="10">
        <v>45769</v>
      </c>
      <c r="F509" s="6" t="str">
        <f t="shared" si="112"/>
        <v>Valid</v>
      </c>
      <c r="G509" s="8">
        <f t="shared" si="113"/>
        <v>7</v>
      </c>
      <c r="H509" s="8" t="str">
        <f t="shared" si="114"/>
        <v>Valid</v>
      </c>
      <c r="I509" t="s">
        <v>2465</v>
      </c>
      <c r="J509" t="s">
        <v>52</v>
      </c>
      <c r="K509" t="s">
        <v>52</v>
      </c>
      <c r="L509" t="s">
        <v>40</v>
      </c>
      <c r="M509" s="3" t="str">
        <f t="shared" si="115"/>
        <v>Small Business</v>
      </c>
      <c r="N509" t="s">
        <v>26</v>
      </c>
      <c r="O509" s="3" t="str">
        <f t="shared" si="116"/>
        <v>North</v>
      </c>
      <c r="P509" t="s">
        <v>322</v>
      </c>
      <c r="Q509" t="s">
        <v>323</v>
      </c>
      <c r="R509" t="s">
        <v>29</v>
      </c>
      <c r="S509" s="3" t="str">
        <f t="shared" si="117"/>
        <v>Office Supplies</v>
      </c>
      <c r="T509" t="s">
        <v>197</v>
      </c>
      <c r="U509" t="s">
        <v>2466</v>
      </c>
      <c r="V509" t="s">
        <v>47</v>
      </c>
      <c r="W509" s="3" t="str">
        <f t="shared" si="118"/>
        <v>Same Day</v>
      </c>
      <c r="X509">
        <v>4</v>
      </c>
      <c r="Y509">
        <v>2990.42</v>
      </c>
      <c r="Z509">
        <v>0.25</v>
      </c>
      <c r="AA509">
        <f t="shared" si="122"/>
        <v>0.25</v>
      </c>
      <c r="AB509">
        <f t="shared" si="123"/>
        <v>8971.26</v>
      </c>
      <c r="AC509">
        <v>8971.26</v>
      </c>
      <c r="AD509">
        <v>6814.35</v>
      </c>
      <c r="AE509">
        <v>2156.91</v>
      </c>
      <c r="AF509" t="s">
        <v>33</v>
      </c>
      <c r="AG509" t="s">
        <v>34</v>
      </c>
      <c r="AH509" t="str">
        <f t="shared" si="119"/>
        <v>Completed</v>
      </c>
      <c r="AI509" t="str">
        <f t="shared" si="120"/>
        <v>Valid</v>
      </c>
      <c r="AJ509">
        <f t="shared" si="121"/>
        <v>2156.91</v>
      </c>
      <c r="AK509" s="12">
        <f t="shared" si="124"/>
        <v>0.24042442198754688</v>
      </c>
      <c r="AL509">
        <f t="shared" si="125"/>
        <v>4</v>
      </c>
      <c r="AM509">
        <f t="shared" si="126"/>
        <v>2025</v>
      </c>
      <c r="AN509" t="str">
        <f t="shared" si="127"/>
        <v>Clean</v>
      </c>
    </row>
    <row r="510" spans="1:40">
      <c r="A510" t="s">
        <v>2467</v>
      </c>
      <c r="B510" s="3" t="s">
        <v>2468</v>
      </c>
      <c r="C510" s="10">
        <v>45382</v>
      </c>
      <c r="D510" s="3" t="s">
        <v>1418</v>
      </c>
      <c r="E510" s="10">
        <v>45389</v>
      </c>
      <c r="F510" s="6" t="str">
        <f t="shared" si="112"/>
        <v>Valid</v>
      </c>
      <c r="G510" s="8">
        <f t="shared" si="113"/>
        <v>7</v>
      </c>
      <c r="H510" s="8" t="str">
        <f t="shared" si="114"/>
        <v>Valid</v>
      </c>
      <c r="I510" t="s">
        <v>2469</v>
      </c>
      <c r="J510" t="s">
        <v>52</v>
      </c>
      <c r="K510" t="s">
        <v>52</v>
      </c>
      <c r="L510" t="s">
        <v>40</v>
      </c>
      <c r="M510" s="3" t="str">
        <f t="shared" si="115"/>
        <v>Small Business</v>
      </c>
      <c r="N510" t="s">
        <v>26</v>
      </c>
      <c r="O510" s="3" t="str">
        <f t="shared" si="116"/>
        <v>North</v>
      </c>
      <c r="P510" t="s">
        <v>322</v>
      </c>
      <c r="Q510" t="s">
        <v>323</v>
      </c>
      <c r="R510" t="s">
        <v>85</v>
      </c>
      <c r="S510" s="3" t="str">
        <f t="shared" si="117"/>
        <v>Technology</v>
      </c>
      <c r="T510" t="s">
        <v>381</v>
      </c>
      <c r="U510" t="s">
        <v>2470</v>
      </c>
      <c r="V510" t="s">
        <v>32</v>
      </c>
      <c r="W510" s="3" t="str">
        <f t="shared" si="118"/>
        <v>Second Class</v>
      </c>
      <c r="X510">
        <v>4</v>
      </c>
      <c r="Y510">
        <v>1831</v>
      </c>
      <c r="Z510">
        <v>0</v>
      </c>
      <c r="AA510">
        <f t="shared" si="122"/>
        <v>0</v>
      </c>
      <c r="AB510">
        <f t="shared" si="123"/>
        <v>7324</v>
      </c>
      <c r="AC510">
        <v>7324</v>
      </c>
      <c r="AD510">
        <v>4179.63</v>
      </c>
      <c r="AE510">
        <v>3144.37</v>
      </c>
      <c r="AF510" t="s">
        <v>33</v>
      </c>
      <c r="AG510" t="s">
        <v>34</v>
      </c>
      <c r="AH510" t="str">
        <f t="shared" si="119"/>
        <v>Completed</v>
      </c>
      <c r="AI510" t="str">
        <f t="shared" si="120"/>
        <v>Valid</v>
      </c>
      <c r="AJ510">
        <f t="shared" si="121"/>
        <v>3144.37</v>
      </c>
      <c r="AK510" s="12">
        <f t="shared" si="124"/>
        <v>0.42932413981430911</v>
      </c>
      <c r="AL510">
        <f t="shared" si="125"/>
        <v>3</v>
      </c>
      <c r="AM510">
        <f t="shared" si="126"/>
        <v>2024</v>
      </c>
      <c r="AN510" t="str">
        <f t="shared" si="127"/>
        <v>Clean</v>
      </c>
    </row>
    <row r="511" spans="1:40">
      <c r="A511" t="s">
        <v>2471</v>
      </c>
      <c r="B511" s="3" t="s">
        <v>2472</v>
      </c>
      <c r="C511" s="10">
        <v>45789</v>
      </c>
      <c r="D511" s="3" t="s">
        <v>2473</v>
      </c>
      <c r="E511" s="10">
        <v>45791</v>
      </c>
      <c r="F511" s="6" t="str">
        <f t="shared" si="112"/>
        <v>Valid</v>
      </c>
      <c r="G511" s="8">
        <f t="shared" si="113"/>
        <v>2</v>
      </c>
      <c r="H511" s="8" t="str">
        <f t="shared" si="114"/>
        <v>Valid</v>
      </c>
      <c r="I511" t="s">
        <v>2474</v>
      </c>
      <c r="J511" t="s">
        <v>92</v>
      </c>
      <c r="K511" t="s">
        <v>92</v>
      </c>
      <c r="L511" t="s">
        <v>25</v>
      </c>
      <c r="M511" s="3" t="str">
        <f t="shared" si="115"/>
        <v>Consumer</v>
      </c>
      <c r="N511" t="s">
        <v>72</v>
      </c>
      <c r="O511" s="3" t="str">
        <f t="shared" si="116"/>
        <v>West</v>
      </c>
      <c r="P511" t="s">
        <v>234</v>
      </c>
      <c r="Q511" t="s">
        <v>235</v>
      </c>
      <c r="R511" t="s">
        <v>85</v>
      </c>
      <c r="S511" s="3" t="str">
        <f t="shared" si="117"/>
        <v>Technology</v>
      </c>
      <c r="T511" t="s">
        <v>381</v>
      </c>
      <c r="U511" t="s">
        <v>2475</v>
      </c>
      <c r="V511" t="s">
        <v>47</v>
      </c>
      <c r="W511" s="3" t="str">
        <f t="shared" si="118"/>
        <v>Same Day</v>
      </c>
      <c r="X511">
        <v>8</v>
      </c>
      <c r="Y511">
        <v>3631.44</v>
      </c>
      <c r="Z511">
        <v>0.2</v>
      </c>
      <c r="AA511">
        <f t="shared" si="122"/>
        <v>0.2</v>
      </c>
      <c r="AB511">
        <f t="shared" si="123"/>
        <v>23241.216</v>
      </c>
      <c r="AC511">
        <v>23241.22</v>
      </c>
      <c r="AD511">
        <v>17220.900000000001</v>
      </c>
      <c r="AE511">
        <v>6020.32</v>
      </c>
      <c r="AF511" t="s">
        <v>33</v>
      </c>
      <c r="AG511" t="s">
        <v>34</v>
      </c>
      <c r="AH511" t="str">
        <f t="shared" si="119"/>
        <v>Completed</v>
      </c>
      <c r="AI511" t="str">
        <f t="shared" si="120"/>
        <v>Valid</v>
      </c>
      <c r="AJ511">
        <f t="shared" si="121"/>
        <v>6020.32</v>
      </c>
      <c r="AK511" s="12">
        <f t="shared" si="124"/>
        <v>0.2590363602317538</v>
      </c>
      <c r="AL511">
        <f t="shared" si="125"/>
        <v>5</v>
      </c>
      <c r="AM511">
        <f t="shared" si="126"/>
        <v>2025</v>
      </c>
      <c r="AN511" t="str">
        <f t="shared" si="127"/>
        <v>Clean</v>
      </c>
    </row>
    <row r="512" spans="1:40">
      <c r="A512" t="s">
        <v>2476</v>
      </c>
      <c r="B512" s="3" t="s">
        <v>643</v>
      </c>
      <c r="C512" s="10">
        <v>45583</v>
      </c>
      <c r="D512" s="3" t="s">
        <v>2477</v>
      </c>
      <c r="E512" s="10">
        <v>45586</v>
      </c>
      <c r="F512" s="6" t="str">
        <f t="shared" si="112"/>
        <v>Valid</v>
      </c>
      <c r="G512" s="8">
        <f t="shared" si="113"/>
        <v>3</v>
      </c>
      <c r="H512" s="8" t="str">
        <f t="shared" si="114"/>
        <v>Valid</v>
      </c>
      <c r="I512" t="s">
        <v>2478</v>
      </c>
      <c r="J512" t="s">
        <v>2479</v>
      </c>
      <c r="K512" t="s">
        <v>161</v>
      </c>
      <c r="L512" t="s">
        <v>25</v>
      </c>
      <c r="M512" s="3" t="str">
        <f t="shared" si="115"/>
        <v>Consumer</v>
      </c>
      <c r="N512" t="s">
        <v>61</v>
      </c>
      <c r="O512" s="3" t="str">
        <f t="shared" si="116"/>
        <v>South</v>
      </c>
      <c r="P512" t="s">
        <v>228</v>
      </c>
      <c r="Q512" t="s">
        <v>229</v>
      </c>
      <c r="R512" t="s">
        <v>29</v>
      </c>
      <c r="S512" s="3" t="str">
        <f t="shared" si="117"/>
        <v>Office Supplies</v>
      </c>
      <c r="T512" t="s">
        <v>155</v>
      </c>
      <c r="U512" t="s">
        <v>2480</v>
      </c>
      <c r="V512" t="s">
        <v>32</v>
      </c>
      <c r="W512" s="3" t="str">
        <f t="shared" si="118"/>
        <v>Second Class</v>
      </c>
      <c r="X512">
        <v>2</v>
      </c>
      <c r="Y512">
        <v>4238.51</v>
      </c>
      <c r="Z512">
        <v>0</v>
      </c>
      <c r="AA512">
        <f t="shared" si="122"/>
        <v>0</v>
      </c>
      <c r="AB512">
        <f t="shared" si="123"/>
        <v>8477.02</v>
      </c>
      <c r="AC512">
        <v>8477.02</v>
      </c>
      <c r="AD512">
        <v>6884.96</v>
      </c>
      <c r="AE512">
        <v>1592.06</v>
      </c>
      <c r="AF512" t="s">
        <v>33</v>
      </c>
      <c r="AG512" t="s">
        <v>34</v>
      </c>
      <c r="AH512" t="str">
        <f t="shared" si="119"/>
        <v>Completed</v>
      </c>
      <c r="AI512" t="str">
        <f t="shared" si="120"/>
        <v>Valid</v>
      </c>
      <c r="AJ512">
        <f t="shared" si="121"/>
        <v>1592.0600000000004</v>
      </c>
      <c r="AK512" s="12">
        <f t="shared" si="124"/>
        <v>0.18780892341884298</v>
      </c>
      <c r="AL512">
        <f t="shared" si="125"/>
        <v>10</v>
      </c>
      <c r="AM512">
        <f t="shared" si="126"/>
        <v>2024</v>
      </c>
      <c r="AN512" t="str">
        <f t="shared" si="127"/>
        <v>Clean</v>
      </c>
    </row>
    <row r="513" spans="1:40">
      <c r="A513" t="s">
        <v>2481</v>
      </c>
      <c r="B513" s="3" t="s">
        <v>2482</v>
      </c>
      <c r="C513" s="10">
        <v>45588</v>
      </c>
      <c r="D513" s="3" t="s">
        <v>2483</v>
      </c>
      <c r="E513" s="10">
        <v>45591</v>
      </c>
      <c r="F513" s="6" t="str">
        <f t="shared" si="112"/>
        <v>Valid</v>
      </c>
      <c r="G513" s="8">
        <f t="shared" si="113"/>
        <v>3</v>
      </c>
      <c r="H513" s="8" t="str">
        <f t="shared" si="114"/>
        <v>Valid</v>
      </c>
      <c r="I513" t="s">
        <v>2484</v>
      </c>
      <c r="J513" t="s">
        <v>167</v>
      </c>
      <c r="K513" t="s">
        <v>167</v>
      </c>
      <c r="L513" t="s">
        <v>25</v>
      </c>
      <c r="M513" s="3" t="str">
        <f t="shared" si="115"/>
        <v>Consumer</v>
      </c>
      <c r="N513" t="s">
        <v>72</v>
      </c>
      <c r="O513" s="3" t="str">
        <f t="shared" si="116"/>
        <v>West</v>
      </c>
      <c r="P513" t="s">
        <v>83</v>
      </c>
      <c r="Q513" t="s">
        <v>84</v>
      </c>
      <c r="R513" t="s">
        <v>44</v>
      </c>
      <c r="S513" s="3" t="str">
        <f t="shared" si="117"/>
        <v>Furniture</v>
      </c>
      <c r="T513" t="s">
        <v>203</v>
      </c>
      <c r="U513" t="s">
        <v>2485</v>
      </c>
      <c r="V513" t="s">
        <v>66</v>
      </c>
      <c r="W513" s="3" t="str">
        <f t="shared" si="118"/>
        <v>Standard Class</v>
      </c>
      <c r="X513">
        <v>9</v>
      </c>
      <c r="Y513">
        <v>544.27</v>
      </c>
      <c r="Z513">
        <v>0.25</v>
      </c>
      <c r="AA513">
        <f t="shared" si="122"/>
        <v>0.25</v>
      </c>
      <c r="AB513">
        <f t="shared" si="123"/>
        <v>3673.8225000000002</v>
      </c>
      <c r="AC513">
        <v>3673.82</v>
      </c>
      <c r="AD513">
        <v>2088.15</v>
      </c>
      <c r="AE513">
        <v>1585.67</v>
      </c>
      <c r="AF513" t="s">
        <v>33</v>
      </c>
      <c r="AG513" t="s">
        <v>34</v>
      </c>
      <c r="AH513" t="str">
        <f t="shared" si="119"/>
        <v>Completed</v>
      </c>
      <c r="AI513" t="str">
        <f t="shared" si="120"/>
        <v>Valid</v>
      </c>
      <c r="AJ513">
        <f t="shared" si="121"/>
        <v>1585.67</v>
      </c>
      <c r="AK513" s="12">
        <f t="shared" si="124"/>
        <v>0.43161312229973003</v>
      </c>
      <c r="AL513">
        <f t="shared" si="125"/>
        <v>10</v>
      </c>
      <c r="AM513">
        <f t="shared" si="126"/>
        <v>2024</v>
      </c>
      <c r="AN513" t="str">
        <f t="shared" si="127"/>
        <v>Clean</v>
      </c>
    </row>
    <row r="514" spans="1:40">
      <c r="A514" t="s">
        <v>2486</v>
      </c>
      <c r="B514" s="3" t="s">
        <v>785</v>
      </c>
      <c r="C514" s="10">
        <v>45718</v>
      </c>
      <c r="D514" s="3" t="s">
        <v>2487</v>
      </c>
      <c r="E514" s="10">
        <v>45719</v>
      </c>
      <c r="F514" s="6" t="str">
        <f t="shared" ref="F514:F577" si="128">IF(E514&lt;C514,"Invalid Shipping Record","Valid")</f>
        <v>Valid</v>
      </c>
      <c r="G514" s="8">
        <f t="shared" ref="G514:G577" si="129">E514-C514</f>
        <v>1</v>
      </c>
      <c r="H514" s="8" t="str">
        <f t="shared" ref="H514:H577" si="130">IF(OR(C514="",E514=""),"Missing Date",IF(OR(NOT(ISNUMBER(C514)),NOT(ISNUMBER(E514))),"Invalid Date",IF(E514&lt;C514,"Invalid Shipping Record","Valid")))</f>
        <v>Valid</v>
      </c>
      <c r="I514" t="s">
        <v>1899</v>
      </c>
      <c r="J514" t="s">
        <v>52</v>
      </c>
      <c r="K514" t="s">
        <v>52</v>
      </c>
      <c r="L514" t="s">
        <v>107</v>
      </c>
      <c r="M514" s="3" t="str">
        <f t="shared" ref="M514:M577" si="131">PROPER(TRIM(L514))</f>
        <v>Corporate</v>
      </c>
      <c r="N514" t="s">
        <v>61</v>
      </c>
      <c r="O514" s="3" t="str">
        <f t="shared" ref="O514:O577" si="132">IF(TRIM(N514)="","Unknown",PROPER(TRIM(N514)))</f>
        <v>South</v>
      </c>
      <c r="P514" t="s">
        <v>241</v>
      </c>
      <c r="Q514" t="s">
        <v>242</v>
      </c>
      <c r="R514" t="s">
        <v>29</v>
      </c>
      <c r="S514" s="3" t="str">
        <f t="shared" ref="S514:S577" si="133">PROPER(TRIM(R514))</f>
        <v>Office Supplies</v>
      </c>
      <c r="T514" t="s">
        <v>108</v>
      </c>
      <c r="U514" t="s">
        <v>2488</v>
      </c>
      <c r="V514" t="s">
        <v>32</v>
      </c>
      <c r="W514" s="3" t="str">
        <f t="shared" ref="W514:W577" si="134">IF(TRIM(V514)="","Unknown",PROPER(TRIM(V514)))</f>
        <v>Second Class</v>
      </c>
      <c r="X514">
        <v>2</v>
      </c>
      <c r="Y514">
        <v>4031.45</v>
      </c>
      <c r="Z514">
        <v>0.25</v>
      </c>
      <c r="AA514">
        <f t="shared" si="122"/>
        <v>0.25</v>
      </c>
      <c r="AB514">
        <f t="shared" si="123"/>
        <v>6047.1749999999993</v>
      </c>
      <c r="AC514">
        <v>6047.17</v>
      </c>
      <c r="AD514">
        <v>3368.79</v>
      </c>
      <c r="AE514">
        <v>2678.38</v>
      </c>
      <c r="AF514" t="s">
        <v>33</v>
      </c>
      <c r="AG514" t="s">
        <v>34</v>
      </c>
      <c r="AH514" t="str">
        <f t="shared" ref="AH514:AH577" si="135">PROPER(TRIM(AG514))</f>
        <v>Completed</v>
      </c>
      <c r="AI514" t="str">
        <f t="shared" ref="AI514:AI577" si="136">IF(Z514&lt;0,"Invalid - Negative Discount",IF(Z514&gt;1,"Invalid - Discount Above Range","Valid"))</f>
        <v>Valid</v>
      </c>
      <c r="AJ514">
        <f t="shared" ref="AJ514:AJ577" si="137">AC514-AD514</f>
        <v>2678.38</v>
      </c>
      <c r="AK514" s="12">
        <f t="shared" si="124"/>
        <v>0.44291425334970469</v>
      </c>
      <c r="AL514">
        <f t="shared" si="125"/>
        <v>3</v>
      </c>
      <c r="AM514">
        <f t="shared" si="126"/>
        <v>2025</v>
      </c>
      <c r="AN514" t="str">
        <f t="shared" si="127"/>
        <v>Clean</v>
      </c>
    </row>
    <row r="515" spans="1:40">
      <c r="A515" t="s">
        <v>2489</v>
      </c>
      <c r="B515" s="3" t="s">
        <v>996</v>
      </c>
      <c r="C515" s="10">
        <v>45835</v>
      </c>
      <c r="D515" s="3" t="s">
        <v>2396</v>
      </c>
      <c r="E515" s="10">
        <v>45840</v>
      </c>
      <c r="F515" s="6" t="str">
        <f t="shared" si="128"/>
        <v>Valid</v>
      </c>
      <c r="G515" s="8">
        <f t="shared" si="129"/>
        <v>5</v>
      </c>
      <c r="H515" s="8" t="str">
        <f t="shared" si="130"/>
        <v>Valid</v>
      </c>
      <c r="I515" t="s">
        <v>2490</v>
      </c>
      <c r="J515" t="s">
        <v>161</v>
      </c>
      <c r="K515" t="s">
        <v>161</v>
      </c>
      <c r="L515" t="s">
        <v>107</v>
      </c>
      <c r="M515" s="3" t="str">
        <f t="shared" si="131"/>
        <v>Corporate</v>
      </c>
      <c r="N515" t="s">
        <v>61</v>
      </c>
      <c r="O515" s="3" t="str">
        <f t="shared" si="132"/>
        <v>South</v>
      </c>
      <c r="P515" t="s">
        <v>241</v>
      </c>
      <c r="Q515" t="s">
        <v>242</v>
      </c>
      <c r="R515" t="s">
        <v>85</v>
      </c>
      <c r="S515" s="3" t="str">
        <f t="shared" si="133"/>
        <v>Technology</v>
      </c>
      <c r="T515" t="s">
        <v>86</v>
      </c>
      <c r="U515" t="s">
        <v>2491</v>
      </c>
      <c r="V515" t="s">
        <v>55</v>
      </c>
      <c r="W515" s="3" t="str">
        <f t="shared" si="134"/>
        <v>First Class</v>
      </c>
      <c r="X515">
        <v>6</v>
      </c>
      <c r="Y515">
        <v>1099.49</v>
      </c>
      <c r="Z515">
        <v>0.1</v>
      </c>
      <c r="AA515">
        <f t="shared" ref="AA515:AA578" si="138">IF(Z515="",0,Z515)</f>
        <v>0.1</v>
      </c>
      <c r="AB515">
        <f t="shared" ref="AB515:AB578" si="139">X515*Y515*(1-Z515)</f>
        <v>5937.246000000001</v>
      </c>
      <c r="AC515">
        <v>6212.38</v>
      </c>
      <c r="AD515">
        <v>4088.46</v>
      </c>
      <c r="AE515">
        <v>1848.79</v>
      </c>
      <c r="AF515" t="s">
        <v>33</v>
      </c>
      <c r="AG515" t="s">
        <v>34</v>
      </c>
      <c r="AH515" t="str">
        <f t="shared" si="135"/>
        <v>Completed</v>
      </c>
      <c r="AI515" t="str">
        <f t="shared" si="136"/>
        <v>Valid</v>
      </c>
      <c r="AJ515">
        <f t="shared" si="137"/>
        <v>2123.92</v>
      </c>
      <c r="AK515" s="12">
        <f t="shared" ref="AK515:AK578" si="140">IF(AB515=0,"",AJ515/AB515)</f>
        <v>0.35772814533876474</v>
      </c>
      <c r="AL515">
        <f t="shared" ref="AL515:AL578" si="141">MONTH(C515)</f>
        <v>6</v>
      </c>
      <c r="AM515">
        <f t="shared" ref="AM515:AM578" si="142">YEAR(C515)</f>
        <v>2025</v>
      </c>
      <c r="AN515" t="str">
        <f t="shared" ref="AN515:AN578" si="143">IF(H515="Invalid Shipping Record","Invalid","Clean")</f>
        <v>Clean</v>
      </c>
    </row>
    <row r="516" spans="1:40">
      <c r="A516" t="s">
        <v>2492</v>
      </c>
      <c r="B516" s="3" t="s">
        <v>2493</v>
      </c>
      <c r="C516" s="10">
        <v>45614</v>
      </c>
      <c r="D516" s="3" t="s">
        <v>2406</v>
      </c>
      <c r="E516" s="10">
        <v>45618</v>
      </c>
      <c r="F516" s="6" t="str">
        <f t="shared" si="128"/>
        <v>Valid</v>
      </c>
      <c r="G516" s="8">
        <f t="shared" si="129"/>
        <v>4</v>
      </c>
      <c r="H516" s="8" t="str">
        <f t="shared" si="130"/>
        <v>Valid</v>
      </c>
      <c r="I516" t="s">
        <v>2494</v>
      </c>
      <c r="J516" t="s">
        <v>24</v>
      </c>
      <c r="K516" t="s">
        <v>24</v>
      </c>
      <c r="L516" t="s">
        <v>114</v>
      </c>
      <c r="M516" s="3" t="str">
        <f t="shared" si="131"/>
        <v>Home Office</v>
      </c>
      <c r="N516" t="s">
        <v>61</v>
      </c>
      <c r="O516" s="3" t="str">
        <f t="shared" si="132"/>
        <v>South</v>
      </c>
      <c r="P516" t="s">
        <v>241</v>
      </c>
      <c r="Q516" t="s">
        <v>242</v>
      </c>
      <c r="R516" t="s">
        <v>85</v>
      </c>
      <c r="S516" s="3" t="str">
        <f t="shared" si="133"/>
        <v>Technology</v>
      </c>
      <c r="T516" t="s">
        <v>86</v>
      </c>
      <c r="U516" t="s">
        <v>2495</v>
      </c>
      <c r="V516" t="s">
        <v>66</v>
      </c>
      <c r="W516" s="3" t="str">
        <f t="shared" si="134"/>
        <v>Standard Class</v>
      </c>
      <c r="X516">
        <v>6</v>
      </c>
      <c r="Y516">
        <v>3872.94</v>
      </c>
      <c r="Z516">
        <v>0.1</v>
      </c>
      <c r="AA516">
        <f t="shared" si="138"/>
        <v>0.1</v>
      </c>
      <c r="AB516">
        <f t="shared" si="139"/>
        <v>20913.876</v>
      </c>
      <c r="AC516">
        <v>20913.88</v>
      </c>
      <c r="AD516">
        <v>11684.68</v>
      </c>
      <c r="AE516">
        <v>9229.2000000000007</v>
      </c>
      <c r="AF516" t="s">
        <v>33</v>
      </c>
      <c r="AG516" t="s">
        <v>34</v>
      </c>
      <c r="AH516" t="str">
        <f t="shared" si="135"/>
        <v>Completed</v>
      </c>
      <c r="AI516" t="str">
        <f t="shared" si="136"/>
        <v>Valid</v>
      </c>
      <c r="AJ516">
        <f t="shared" si="137"/>
        <v>9229.2000000000007</v>
      </c>
      <c r="AK516" s="12">
        <f t="shared" si="140"/>
        <v>0.44129553029768376</v>
      </c>
      <c r="AL516">
        <f t="shared" si="141"/>
        <v>11</v>
      </c>
      <c r="AM516">
        <f t="shared" si="142"/>
        <v>2024</v>
      </c>
      <c r="AN516" t="str">
        <f t="shared" si="143"/>
        <v>Clean</v>
      </c>
    </row>
    <row r="517" spans="1:40">
      <c r="A517" t="s">
        <v>2496</v>
      </c>
      <c r="B517" s="3" t="s">
        <v>2141</v>
      </c>
      <c r="C517" s="10">
        <v>45758</v>
      </c>
      <c r="D517" s="3" t="s">
        <v>2497</v>
      </c>
      <c r="E517" s="10">
        <v>45758</v>
      </c>
      <c r="F517" s="6" t="str">
        <f t="shared" si="128"/>
        <v>Valid</v>
      </c>
      <c r="G517" s="8">
        <f t="shared" si="129"/>
        <v>0</v>
      </c>
      <c r="H517" s="8" t="str">
        <f t="shared" si="130"/>
        <v>Valid</v>
      </c>
      <c r="I517" t="s">
        <v>2498</v>
      </c>
      <c r="J517" t="s">
        <v>147</v>
      </c>
      <c r="K517" t="s">
        <v>147</v>
      </c>
      <c r="L517" t="s">
        <v>107</v>
      </c>
      <c r="M517" s="3" t="str">
        <f t="shared" si="131"/>
        <v>Corporate</v>
      </c>
      <c r="N517" t="s">
        <v>26</v>
      </c>
      <c r="O517" s="3" t="str">
        <f t="shared" si="132"/>
        <v>North</v>
      </c>
      <c r="P517" t="s">
        <v>505</v>
      </c>
      <c r="Q517" t="s">
        <v>506</v>
      </c>
      <c r="R517" t="s">
        <v>29</v>
      </c>
      <c r="S517" s="3" t="str">
        <f t="shared" si="133"/>
        <v>Office Supplies</v>
      </c>
      <c r="T517" t="s">
        <v>30</v>
      </c>
      <c r="U517" t="s">
        <v>2499</v>
      </c>
      <c r="V517" t="s">
        <v>66</v>
      </c>
      <c r="W517" s="3" t="str">
        <f t="shared" si="134"/>
        <v>Standard Class</v>
      </c>
      <c r="X517">
        <v>1</v>
      </c>
      <c r="Y517">
        <v>4458.49</v>
      </c>
      <c r="Z517">
        <v>-7.0000000000000007E-2</v>
      </c>
      <c r="AA517">
        <f t="shared" si="138"/>
        <v>-7.0000000000000007E-2</v>
      </c>
      <c r="AB517">
        <f t="shared" si="139"/>
        <v>4770.5843000000004</v>
      </c>
      <c r="AC517">
        <v>3566.79</v>
      </c>
      <c r="AD517">
        <v>2083.41</v>
      </c>
      <c r="AE517">
        <v>1483.38</v>
      </c>
      <c r="AF517" t="s">
        <v>33</v>
      </c>
      <c r="AG517" t="s">
        <v>34</v>
      </c>
      <c r="AH517" t="str">
        <f t="shared" si="135"/>
        <v>Completed</v>
      </c>
      <c r="AI517" t="str">
        <f t="shared" si="136"/>
        <v>Invalid - Negative Discount</v>
      </c>
      <c r="AJ517">
        <f t="shared" si="137"/>
        <v>1483.38</v>
      </c>
      <c r="AK517" s="12">
        <f t="shared" si="140"/>
        <v>0.31094304318236238</v>
      </c>
      <c r="AL517">
        <f t="shared" si="141"/>
        <v>4</v>
      </c>
      <c r="AM517">
        <f t="shared" si="142"/>
        <v>2025</v>
      </c>
      <c r="AN517" t="str">
        <f t="shared" si="143"/>
        <v>Clean</v>
      </c>
    </row>
    <row r="518" spans="1:40">
      <c r="A518" t="s">
        <v>2500</v>
      </c>
      <c r="B518" s="3" t="s">
        <v>2501</v>
      </c>
      <c r="C518" s="10">
        <v>45563</v>
      </c>
      <c r="D518" s="3" t="s">
        <v>2502</v>
      </c>
      <c r="E518" s="10">
        <v>45569</v>
      </c>
      <c r="F518" s="6" t="str">
        <f t="shared" si="128"/>
        <v>Valid</v>
      </c>
      <c r="G518" s="8">
        <f t="shared" si="129"/>
        <v>6</v>
      </c>
      <c r="H518" s="8" t="str">
        <f t="shared" si="130"/>
        <v>Valid</v>
      </c>
      <c r="I518" t="s">
        <v>2503</v>
      </c>
      <c r="J518" t="s">
        <v>365</v>
      </c>
      <c r="K518" t="s">
        <v>365</v>
      </c>
      <c r="L518" t="s">
        <v>114</v>
      </c>
      <c r="M518" s="3" t="str">
        <f t="shared" si="131"/>
        <v>Home Office</v>
      </c>
      <c r="N518" t="s">
        <v>26</v>
      </c>
      <c r="O518" s="3" t="str">
        <f t="shared" si="132"/>
        <v>North</v>
      </c>
      <c r="P518" t="s">
        <v>505</v>
      </c>
      <c r="Q518" t="s">
        <v>506</v>
      </c>
      <c r="R518" t="s">
        <v>85</v>
      </c>
      <c r="S518" s="3" t="str">
        <f t="shared" si="133"/>
        <v>Technology</v>
      </c>
      <c r="T518" t="s">
        <v>93</v>
      </c>
      <c r="U518" t="s">
        <v>2504</v>
      </c>
      <c r="V518" t="s">
        <v>66</v>
      </c>
      <c r="W518" s="3" t="str">
        <f t="shared" si="134"/>
        <v>Standard Class</v>
      </c>
      <c r="X518">
        <v>1</v>
      </c>
      <c r="Y518">
        <v>2233.1799999999998</v>
      </c>
      <c r="Z518">
        <v>0</v>
      </c>
      <c r="AA518">
        <f t="shared" si="138"/>
        <v>0</v>
      </c>
      <c r="AB518">
        <f t="shared" si="139"/>
        <v>2233.1799999999998</v>
      </c>
      <c r="AC518">
        <v>2233.1799999999998</v>
      </c>
      <c r="AD518">
        <v>1585.82</v>
      </c>
      <c r="AE518">
        <v>647.36</v>
      </c>
      <c r="AF518" t="s">
        <v>199</v>
      </c>
      <c r="AG518" t="s">
        <v>124</v>
      </c>
      <c r="AH518" t="str">
        <f t="shared" si="135"/>
        <v>Returned</v>
      </c>
      <c r="AI518" t="str">
        <f t="shared" si="136"/>
        <v>Valid</v>
      </c>
      <c r="AJ518">
        <f t="shared" si="137"/>
        <v>647.3599999999999</v>
      </c>
      <c r="AK518" s="12">
        <f t="shared" si="140"/>
        <v>0.28988258895386843</v>
      </c>
      <c r="AL518">
        <f t="shared" si="141"/>
        <v>9</v>
      </c>
      <c r="AM518">
        <f t="shared" si="142"/>
        <v>2024</v>
      </c>
      <c r="AN518" t="str">
        <f t="shared" si="143"/>
        <v>Clean</v>
      </c>
    </row>
    <row r="519" spans="1:40">
      <c r="A519" t="s">
        <v>2505</v>
      </c>
      <c r="B519" s="3" t="s">
        <v>2506</v>
      </c>
      <c r="C519" s="10">
        <v>45802</v>
      </c>
      <c r="D519" s="3" t="s">
        <v>1681</v>
      </c>
      <c r="E519" s="10">
        <v>45804</v>
      </c>
      <c r="F519" s="6" t="str">
        <f t="shared" si="128"/>
        <v>Valid</v>
      </c>
      <c r="G519" s="8">
        <f t="shared" si="129"/>
        <v>2</v>
      </c>
      <c r="H519" s="8" t="str">
        <f t="shared" si="130"/>
        <v>Valid</v>
      </c>
      <c r="I519" t="s">
        <v>2507</v>
      </c>
      <c r="J519" t="s">
        <v>147</v>
      </c>
      <c r="K519" t="s">
        <v>147</v>
      </c>
      <c r="L519" t="s">
        <v>25</v>
      </c>
      <c r="M519" s="3" t="str">
        <f t="shared" si="131"/>
        <v>Consumer</v>
      </c>
      <c r="N519" t="s">
        <v>41</v>
      </c>
      <c r="O519" s="3" t="str">
        <f t="shared" si="132"/>
        <v>East</v>
      </c>
      <c r="P519" t="s">
        <v>42</v>
      </c>
      <c r="Q519" t="s">
        <v>43</v>
      </c>
      <c r="R519" t="s">
        <v>44</v>
      </c>
      <c r="S519" s="3" t="str">
        <f t="shared" si="133"/>
        <v>Furniture</v>
      </c>
      <c r="T519" t="s">
        <v>64</v>
      </c>
      <c r="U519" t="s">
        <v>2508</v>
      </c>
      <c r="V519" t="s">
        <v>32</v>
      </c>
      <c r="W519" s="3" t="str">
        <f t="shared" si="134"/>
        <v>Second Class</v>
      </c>
      <c r="X519">
        <v>7</v>
      </c>
      <c r="Y519">
        <v>2123.2800000000002</v>
      </c>
      <c r="Z519">
        <v>0.2</v>
      </c>
      <c r="AA519">
        <f t="shared" si="138"/>
        <v>0.2</v>
      </c>
      <c r="AB519">
        <f t="shared" si="139"/>
        <v>11890.368000000002</v>
      </c>
      <c r="AC519">
        <v>11890.37</v>
      </c>
      <c r="AD519">
        <v>9234.5300000000007</v>
      </c>
      <c r="AE519">
        <v>2655.84</v>
      </c>
      <c r="AF519" t="s">
        <v>123</v>
      </c>
      <c r="AG519" t="s">
        <v>124</v>
      </c>
      <c r="AH519" t="str">
        <f t="shared" si="135"/>
        <v>Returned</v>
      </c>
      <c r="AI519" t="str">
        <f t="shared" si="136"/>
        <v>Valid</v>
      </c>
      <c r="AJ519">
        <f t="shared" si="137"/>
        <v>2655.84</v>
      </c>
      <c r="AK519" s="12">
        <f t="shared" si="140"/>
        <v>0.22336062264851683</v>
      </c>
      <c r="AL519">
        <f t="shared" si="141"/>
        <v>5</v>
      </c>
      <c r="AM519">
        <f t="shared" si="142"/>
        <v>2025</v>
      </c>
      <c r="AN519" t="str">
        <f t="shared" si="143"/>
        <v>Clean</v>
      </c>
    </row>
    <row r="520" spans="1:40">
      <c r="A520" t="s">
        <v>2509</v>
      </c>
      <c r="B520" s="3" t="s">
        <v>2391</v>
      </c>
      <c r="C520" s="10">
        <v>45777</v>
      </c>
      <c r="D520" s="3" t="s">
        <v>2510</v>
      </c>
      <c r="E520" s="10">
        <v>45773</v>
      </c>
      <c r="F520" s="6" t="str">
        <f t="shared" si="128"/>
        <v>Invalid Shipping Record</v>
      </c>
      <c r="G520" s="8">
        <f t="shared" si="129"/>
        <v>-4</v>
      </c>
      <c r="H520" s="8" t="str">
        <f t="shared" si="130"/>
        <v>Invalid Shipping Record</v>
      </c>
      <c r="I520" t="s">
        <v>2511</v>
      </c>
      <c r="J520" t="s">
        <v>209</v>
      </c>
      <c r="K520" t="s">
        <v>209</v>
      </c>
      <c r="L520" t="s">
        <v>107</v>
      </c>
      <c r="M520" s="3" t="str">
        <f t="shared" si="131"/>
        <v>Corporate</v>
      </c>
      <c r="N520" t="s">
        <v>41</v>
      </c>
      <c r="O520" s="3" t="str">
        <f t="shared" si="132"/>
        <v>East</v>
      </c>
      <c r="P520" t="s">
        <v>42</v>
      </c>
      <c r="Q520" t="s">
        <v>43</v>
      </c>
      <c r="R520" t="s">
        <v>44</v>
      </c>
      <c r="S520" s="3" t="str">
        <f t="shared" si="133"/>
        <v>Furniture</v>
      </c>
      <c r="T520" t="s">
        <v>45</v>
      </c>
      <c r="U520" t="s">
        <v>2512</v>
      </c>
      <c r="V520" t="s">
        <v>55</v>
      </c>
      <c r="W520" s="3" t="str">
        <f t="shared" si="134"/>
        <v>First Class</v>
      </c>
      <c r="X520">
        <v>7</v>
      </c>
      <c r="Y520">
        <v>1604.13</v>
      </c>
      <c r="Z520">
        <v>0.25</v>
      </c>
      <c r="AA520">
        <f t="shared" si="138"/>
        <v>0.25</v>
      </c>
      <c r="AB520">
        <f t="shared" si="139"/>
        <v>8421.682499999999</v>
      </c>
      <c r="AC520">
        <v>8421.68</v>
      </c>
      <c r="AD520">
        <v>6534.47</v>
      </c>
      <c r="AE520">
        <v>1887.21</v>
      </c>
      <c r="AF520" t="s">
        <v>33</v>
      </c>
      <c r="AG520" t="s">
        <v>77</v>
      </c>
      <c r="AH520" t="str">
        <f t="shared" si="135"/>
        <v>Cancelled</v>
      </c>
      <c r="AI520" t="str">
        <f t="shared" si="136"/>
        <v>Valid</v>
      </c>
      <c r="AJ520">
        <f t="shared" si="137"/>
        <v>1887.21</v>
      </c>
      <c r="AK520" s="12">
        <f t="shared" si="140"/>
        <v>0.22408942631119141</v>
      </c>
      <c r="AL520">
        <f t="shared" si="141"/>
        <v>4</v>
      </c>
      <c r="AM520">
        <f t="shared" si="142"/>
        <v>2025</v>
      </c>
      <c r="AN520" t="str">
        <f t="shared" si="143"/>
        <v>Invalid</v>
      </c>
    </row>
    <row r="521" spans="1:40">
      <c r="A521" t="s">
        <v>2513</v>
      </c>
      <c r="B521" s="3" t="s">
        <v>379</v>
      </c>
      <c r="C521" s="10">
        <v>45841</v>
      </c>
      <c r="D521" s="3" t="s">
        <v>2514</v>
      </c>
      <c r="E521" s="10">
        <v>45845</v>
      </c>
      <c r="F521" s="6" t="str">
        <f t="shared" si="128"/>
        <v>Valid</v>
      </c>
      <c r="G521" s="8">
        <f t="shared" si="129"/>
        <v>4</v>
      </c>
      <c r="H521" s="8" t="str">
        <f t="shared" si="130"/>
        <v>Valid</v>
      </c>
      <c r="I521" t="s">
        <v>2515</v>
      </c>
      <c r="J521" t="s">
        <v>141</v>
      </c>
      <c r="K521" t="s">
        <v>141</v>
      </c>
      <c r="L521" t="s">
        <v>25</v>
      </c>
      <c r="M521" s="3" t="str">
        <f t="shared" si="131"/>
        <v>Consumer</v>
      </c>
      <c r="N521" t="s">
        <v>26</v>
      </c>
      <c r="O521" s="3" t="str">
        <f t="shared" si="132"/>
        <v>North</v>
      </c>
      <c r="P521" t="s">
        <v>173</v>
      </c>
      <c r="Q521" t="s">
        <v>174</v>
      </c>
      <c r="R521" t="s">
        <v>44</v>
      </c>
      <c r="S521" s="3" t="str">
        <f t="shared" si="133"/>
        <v>Furniture</v>
      </c>
      <c r="T521" t="s">
        <v>45</v>
      </c>
      <c r="U521" t="s">
        <v>2516</v>
      </c>
      <c r="V521" t="s">
        <v>66</v>
      </c>
      <c r="W521" s="3" t="str">
        <f t="shared" si="134"/>
        <v>Standard Class</v>
      </c>
      <c r="X521">
        <v>4</v>
      </c>
      <c r="Y521">
        <v>4365.21</v>
      </c>
      <c r="Z521">
        <v>0.2</v>
      </c>
      <c r="AA521">
        <f t="shared" si="138"/>
        <v>0.2</v>
      </c>
      <c r="AB521">
        <f t="shared" si="139"/>
        <v>13968.672</v>
      </c>
      <c r="AC521">
        <v>13968.67</v>
      </c>
      <c r="AD521">
        <v>8857.58</v>
      </c>
      <c r="AE521">
        <v>5111.09</v>
      </c>
      <c r="AF521" t="s">
        <v>136</v>
      </c>
      <c r="AG521" t="s">
        <v>77</v>
      </c>
      <c r="AH521" t="str">
        <f t="shared" si="135"/>
        <v>Cancelled</v>
      </c>
      <c r="AI521" t="str">
        <f t="shared" si="136"/>
        <v>Valid</v>
      </c>
      <c r="AJ521">
        <f t="shared" si="137"/>
        <v>5111.09</v>
      </c>
      <c r="AK521" s="12">
        <f t="shared" si="140"/>
        <v>0.36589662925724076</v>
      </c>
      <c r="AL521">
        <f t="shared" si="141"/>
        <v>7</v>
      </c>
      <c r="AM521">
        <f t="shared" si="142"/>
        <v>2025</v>
      </c>
      <c r="AN521" t="str">
        <f t="shared" si="143"/>
        <v>Clean</v>
      </c>
    </row>
    <row r="522" spans="1:40">
      <c r="A522" t="s">
        <v>2517</v>
      </c>
      <c r="B522" s="3" t="s">
        <v>1108</v>
      </c>
      <c r="C522" s="10">
        <v>45489</v>
      </c>
      <c r="D522" s="3" t="s">
        <v>2518</v>
      </c>
      <c r="E522" s="10">
        <v>45496</v>
      </c>
      <c r="F522" s="6" t="str">
        <f t="shared" si="128"/>
        <v>Valid</v>
      </c>
      <c r="G522" s="8">
        <f t="shared" si="129"/>
        <v>7</v>
      </c>
      <c r="H522" s="8" t="str">
        <f t="shared" si="130"/>
        <v>Valid</v>
      </c>
      <c r="I522" t="s">
        <v>2519</v>
      </c>
      <c r="J522" t="s">
        <v>161</v>
      </c>
      <c r="K522" t="s">
        <v>161</v>
      </c>
      <c r="L522" t="s">
        <v>114</v>
      </c>
      <c r="M522" s="3" t="str">
        <f t="shared" si="131"/>
        <v>Home Office</v>
      </c>
      <c r="N522" t="s">
        <v>61</v>
      </c>
      <c r="O522" s="3" t="str">
        <f t="shared" si="132"/>
        <v>South</v>
      </c>
      <c r="P522" t="s">
        <v>228</v>
      </c>
      <c r="Q522" t="s">
        <v>229</v>
      </c>
      <c r="R522" t="s">
        <v>85</v>
      </c>
      <c r="S522" s="3" t="str">
        <f t="shared" si="133"/>
        <v>Technology</v>
      </c>
      <c r="T522" t="s">
        <v>381</v>
      </c>
      <c r="U522" t="s">
        <v>2520</v>
      </c>
      <c r="V522" t="s">
        <v>47</v>
      </c>
      <c r="W522" s="3" t="str">
        <f t="shared" si="134"/>
        <v>Same Day</v>
      </c>
      <c r="X522">
        <v>1</v>
      </c>
      <c r="Y522">
        <v>1695.91</v>
      </c>
      <c r="Z522">
        <v>0.05</v>
      </c>
      <c r="AA522">
        <f t="shared" si="138"/>
        <v>0.05</v>
      </c>
      <c r="AB522">
        <f t="shared" si="139"/>
        <v>1611.1144999999999</v>
      </c>
      <c r="AC522">
        <v>1611.11</v>
      </c>
      <c r="AD522">
        <v>895.15</v>
      </c>
      <c r="AE522">
        <v>715.96</v>
      </c>
      <c r="AF522" t="s">
        <v>33</v>
      </c>
      <c r="AG522" t="s">
        <v>34</v>
      </c>
      <c r="AH522" t="str">
        <f t="shared" si="135"/>
        <v>Completed</v>
      </c>
      <c r="AI522" t="str">
        <f t="shared" si="136"/>
        <v>Valid</v>
      </c>
      <c r="AJ522">
        <f t="shared" si="137"/>
        <v>715.95999999999992</v>
      </c>
      <c r="AK522" s="12">
        <f t="shared" si="140"/>
        <v>0.44438803077000422</v>
      </c>
      <c r="AL522">
        <f t="shared" si="141"/>
        <v>7</v>
      </c>
      <c r="AM522">
        <f t="shared" si="142"/>
        <v>2024</v>
      </c>
      <c r="AN522" t="str">
        <f t="shared" si="143"/>
        <v>Clean</v>
      </c>
    </row>
    <row r="523" spans="1:40">
      <c r="A523" t="s">
        <v>2521</v>
      </c>
      <c r="B523" s="3" t="s">
        <v>2522</v>
      </c>
      <c r="C523" s="10">
        <v>45741</v>
      </c>
      <c r="D523" s="3" t="s">
        <v>2523</v>
      </c>
      <c r="E523" s="10">
        <v>45748</v>
      </c>
      <c r="F523" s="6" t="str">
        <f t="shared" si="128"/>
        <v>Valid</v>
      </c>
      <c r="G523" s="8">
        <f t="shared" si="129"/>
        <v>7</v>
      </c>
      <c r="H523" s="8" t="str">
        <f t="shared" si="130"/>
        <v>Valid</v>
      </c>
      <c r="I523" t="s">
        <v>2524</v>
      </c>
      <c r="J523" t="s">
        <v>209</v>
      </c>
      <c r="K523" t="s">
        <v>209</v>
      </c>
      <c r="L523" t="s">
        <v>25</v>
      </c>
      <c r="M523" s="3" t="str">
        <f t="shared" si="131"/>
        <v>Consumer</v>
      </c>
      <c r="N523" t="s">
        <v>26</v>
      </c>
      <c r="O523" s="3" t="str">
        <f t="shared" si="132"/>
        <v>North</v>
      </c>
      <c r="P523" t="s">
        <v>153</v>
      </c>
      <c r="Q523" t="s">
        <v>154</v>
      </c>
      <c r="R523" t="s">
        <v>29</v>
      </c>
      <c r="S523" s="3" t="str">
        <f t="shared" si="133"/>
        <v>Office Supplies</v>
      </c>
      <c r="T523" t="s">
        <v>108</v>
      </c>
      <c r="U523" t="s">
        <v>2525</v>
      </c>
      <c r="V523" t="s">
        <v>32</v>
      </c>
      <c r="W523" s="3" t="str">
        <f t="shared" si="134"/>
        <v>Second Class</v>
      </c>
      <c r="X523">
        <v>6</v>
      </c>
      <c r="Y523">
        <v>2192.11</v>
      </c>
      <c r="Z523">
        <v>0.05</v>
      </c>
      <c r="AA523">
        <f t="shared" si="138"/>
        <v>0.05</v>
      </c>
      <c r="AB523">
        <f t="shared" si="139"/>
        <v>12495.027</v>
      </c>
      <c r="AC523">
        <v>12495.03</v>
      </c>
      <c r="AD523">
        <v>9184.52</v>
      </c>
      <c r="AE523">
        <v>3310.51</v>
      </c>
      <c r="AF523" t="s">
        <v>33</v>
      </c>
      <c r="AG523" t="s">
        <v>34</v>
      </c>
      <c r="AH523" t="str">
        <f t="shared" si="135"/>
        <v>Completed</v>
      </c>
      <c r="AI523" t="str">
        <f t="shared" si="136"/>
        <v>Valid</v>
      </c>
      <c r="AJ523">
        <f t="shared" si="137"/>
        <v>3310.51</v>
      </c>
      <c r="AK523" s="12">
        <f t="shared" si="140"/>
        <v>0.26494620619867409</v>
      </c>
      <c r="AL523">
        <f t="shared" si="141"/>
        <v>3</v>
      </c>
      <c r="AM523">
        <f t="shared" si="142"/>
        <v>2025</v>
      </c>
      <c r="AN523" t="str">
        <f t="shared" si="143"/>
        <v>Clean</v>
      </c>
    </row>
    <row r="524" spans="1:40">
      <c r="A524" t="s">
        <v>2526</v>
      </c>
      <c r="B524" s="3" t="s">
        <v>2527</v>
      </c>
      <c r="C524" s="10">
        <v>45716</v>
      </c>
      <c r="D524" s="3" t="s">
        <v>2323</v>
      </c>
      <c r="E524" s="10">
        <v>45724</v>
      </c>
      <c r="F524" s="6" t="str">
        <f t="shared" si="128"/>
        <v>Valid</v>
      </c>
      <c r="G524" s="8">
        <f t="shared" si="129"/>
        <v>8</v>
      </c>
      <c r="H524" s="8" t="str">
        <f t="shared" si="130"/>
        <v>Valid</v>
      </c>
      <c r="I524" t="s">
        <v>2528</v>
      </c>
      <c r="J524" t="s">
        <v>92</v>
      </c>
      <c r="K524" t="s">
        <v>92</v>
      </c>
      <c r="L524" t="s">
        <v>40</v>
      </c>
      <c r="M524" s="3" t="str">
        <f t="shared" si="131"/>
        <v>Small Business</v>
      </c>
      <c r="N524" t="s">
        <v>41</v>
      </c>
      <c r="O524" s="3" t="str">
        <f t="shared" si="132"/>
        <v>East</v>
      </c>
      <c r="P524" t="s">
        <v>310</v>
      </c>
      <c r="Q524" t="s">
        <v>311</v>
      </c>
      <c r="R524" t="s">
        <v>85</v>
      </c>
      <c r="S524" s="3" t="str">
        <f t="shared" si="133"/>
        <v>Technology</v>
      </c>
      <c r="T524" t="s">
        <v>222</v>
      </c>
      <c r="U524" t="s">
        <v>2529</v>
      </c>
      <c r="V524" t="s">
        <v>55</v>
      </c>
      <c r="W524" s="3" t="str">
        <f t="shared" si="134"/>
        <v>First Class</v>
      </c>
      <c r="X524">
        <v>9</v>
      </c>
      <c r="Y524">
        <v>3670.54</v>
      </c>
      <c r="Z524">
        <v>0</v>
      </c>
      <c r="AA524">
        <f t="shared" si="138"/>
        <v>0</v>
      </c>
      <c r="AB524">
        <f t="shared" si="139"/>
        <v>33034.86</v>
      </c>
      <c r="AC524">
        <v>33034.86</v>
      </c>
      <c r="AD524">
        <v>24539.83</v>
      </c>
      <c r="AE524">
        <v>8495.0300000000007</v>
      </c>
      <c r="AF524" t="s">
        <v>33</v>
      </c>
      <c r="AG524" t="s">
        <v>34</v>
      </c>
      <c r="AH524" t="str">
        <f t="shared" si="135"/>
        <v>Completed</v>
      </c>
      <c r="AI524" t="str">
        <f t="shared" si="136"/>
        <v>Valid</v>
      </c>
      <c r="AJ524">
        <f t="shared" si="137"/>
        <v>8495.0299999999988</v>
      </c>
      <c r="AK524" s="12">
        <f t="shared" si="140"/>
        <v>0.25715350390466307</v>
      </c>
      <c r="AL524">
        <f t="shared" si="141"/>
        <v>2</v>
      </c>
      <c r="AM524">
        <f t="shared" si="142"/>
        <v>2025</v>
      </c>
      <c r="AN524" t="str">
        <f t="shared" si="143"/>
        <v>Clean</v>
      </c>
    </row>
    <row r="525" spans="1:40">
      <c r="A525" t="s">
        <v>2530</v>
      </c>
      <c r="B525" s="3" t="s">
        <v>2531</v>
      </c>
      <c r="C525" s="10">
        <v>45384</v>
      </c>
      <c r="D525" s="3" t="s">
        <v>2532</v>
      </c>
      <c r="E525" s="10">
        <v>45385</v>
      </c>
      <c r="F525" s="6" t="str">
        <f t="shared" si="128"/>
        <v>Valid</v>
      </c>
      <c r="G525" s="8">
        <f t="shared" si="129"/>
        <v>1</v>
      </c>
      <c r="H525" s="8" t="str">
        <f t="shared" si="130"/>
        <v>Valid</v>
      </c>
      <c r="I525" t="s">
        <v>2533</v>
      </c>
      <c r="J525" t="s">
        <v>365</v>
      </c>
      <c r="K525" t="s">
        <v>365</v>
      </c>
      <c r="L525" t="s">
        <v>114</v>
      </c>
      <c r="M525" s="3" t="str">
        <f t="shared" si="131"/>
        <v>Home Office</v>
      </c>
      <c r="N525" t="s">
        <v>72</v>
      </c>
      <c r="O525" s="3" t="str">
        <f t="shared" si="132"/>
        <v>West</v>
      </c>
      <c r="P525" t="s">
        <v>248</v>
      </c>
      <c r="Q525" t="s">
        <v>249</v>
      </c>
      <c r="R525" t="s">
        <v>29</v>
      </c>
      <c r="S525" s="3" t="str">
        <f t="shared" si="133"/>
        <v>Office Supplies</v>
      </c>
      <c r="T525" t="s">
        <v>30</v>
      </c>
      <c r="U525" t="s">
        <v>2534</v>
      </c>
      <c r="V525" t="s">
        <v>32</v>
      </c>
      <c r="W525" s="3" t="str">
        <f t="shared" si="134"/>
        <v>Second Class</v>
      </c>
      <c r="X525">
        <v>2</v>
      </c>
      <c r="Y525">
        <v>2902.63</v>
      </c>
      <c r="Z525">
        <v>0</v>
      </c>
      <c r="AA525">
        <f t="shared" si="138"/>
        <v>0</v>
      </c>
      <c r="AB525">
        <f t="shared" si="139"/>
        <v>5805.26</v>
      </c>
      <c r="AC525">
        <v>5805.26</v>
      </c>
      <c r="AD525">
        <v>4654.3599999999997</v>
      </c>
      <c r="AE525">
        <v>1150.9000000000001</v>
      </c>
      <c r="AF525" t="s">
        <v>33</v>
      </c>
      <c r="AG525" t="s">
        <v>124</v>
      </c>
      <c r="AH525" t="str">
        <f t="shared" si="135"/>
        <v>Returned</v>
      </c>
      <c r="AI525" t="str">
        <f t="shared" si="136"/>
        <v>Valid</v>
      </c>
      <c r="AJ525">
        <f t="shared" si="137"/>
        <v>1150.9000000000005</v>
      </c>
      <c r="AK525" s="12">
        <f t="shared" si="140"/>
        <v>0.19825124111581574</v>
      </c>
      <c r="AL525">
        <f t="shared" si="141"/>
        <v>4</v>
      </c>
      <c r="AM525">
        <f t="shared" si="142"/>
        <v>2024</v>
      </c>
      <c r="AN525" t="str">
        <f t="shared" si="143"/>
        <v>Clean</v>
      </c>
    </row>
    <row r="526" spans="1:40">
      <c r="A526" t="s">
        <v>2535</v>
      </c>
      <c r="B526" s="3" t="s">
        <v>2536</v>
      </c>
      <c r="C526" s="10">
        <v>45626</v>
      </c>
      <c r="D526" s="3" t="s">
        <v>2537</v>
      </c>
      <c r="E526" s="10">
        <v>45627</v>
      </c>
      <c r="F526" s="6" t="str">
        <f t="shared" si="128"/>
        <v>Valid</v>
      </c>
      <c r="G526" s="8">
        <f t="shared" si="129"/>
        <v>1</v>
      </c>
      <c r="H526" s="8" t="str">
        <f t="shared" si="130"/>
        <v>Valid</v>
      </c>
      <c r="I526" t="s">
        <v>2538</v>
      </c>
      <c r="J526" t="s">
        <v>71</v>
      </c>
      <c r="K526" t="s">
        <v>71</v>
      </c>
      <c r="L526" t="s">
        <v>107</v>
      </c>
      <c r="M526" s="3" t="str">
        <f t="shared" si="131"/>
        <v>Corporate</v>
      </c>
      <c r="N526" t="s">
        <v>72</v>
      </c>
      <c r="O526" s="3" t="str">
        <f t="shared" si="132"/>
        <v>West</v>
      </c>
      <c r="P526" t="s">
        <v>234</v>
      </c>
      <c r="Q526" t="s">
        <v>235</v>
      </c>
      <c r="R526" t="s">
        <v>44</v>
      </c>
      <c r="S526" s="3" t="str">
        <f t="shared" si="133"/>
        <v>Furniture</v>
      </c>
      <c r="T526" t="s">
        <v>75</v>
      </c>
      <c r="U526" t="s">
        <v>2539</v>
      </c>
      <c r="V526" t="s">
        <v>55</v>
      </c>
      <c r="W526" s="3" t="str">
        <f t="shared" si="134"/>
        <v>First Class</v>
      </c>
      <c r="X526">
        <v>9</v>
      </c>
      <c r="Y526">
        <v>4207.3599999999997</v>
      </c>
      <c r="Z526">
        <v>0.1</v>
      </c>
      <c r="AA526">
        <f t="shared" si="138"/>
        <v>0.1</v>
      </c>
      <c r="AB526">
        <f t="shared" si="139"/>
        <v>34079.616000000002</v>
      </c>
      <c r="AC526">
        <v>34079.620000000003</v>
      </c>
      <c r="AD526">
        <v>21871.39</v>
      </c>
      <c r="AE526">
        <v>12208.23</v>
      </c>
      <c r="AF526" t="s">
        <v>33</v>
      </c>
      <c r="AG526" t="s">
        <v>34</v>
      </c>
      <c r="AH526" t="str">
        <f t="shared" si="135"/>
        <v>Completed</v>
      </c>
      <c r="AI526" t="str">
        <f t="shared" si="136"/>
        <v>Valid</v>
      </c>
      <c r="AJ526">
        <f t="shared" si="137"/>
        <v>12208.230000000003</v>
      </c>
      <c r="AK526" s="12">
        <f t="shared" si="140"/>
        <v>0.35822674762532541</v>
      </c>
      <c r="AL526">
        <f t="shared" si="141"/>
        <v>11</v>
      </c>
      <c r="AM526">
        <f t="shared" si="142"/>
        <v>2024</v>
      </c>
      <c r="AN526" t="str">
        <f t="shared" si="143"/>
        <v>Clean</v>
      </c>
    </row>
    <row r="527" spans="1:40">
      <c r="A527" t="s">
        <v>2540</v>
      </c>
      <c r="B527" s="3" t="s">
        <v>2541</v>
      </c>
      <c r="C527" s="10">
        <v>45582</v>
      </c>
      <c r="D527" s="3" t="s">
        <v>2542</v>
      </c>
      <c r="E527" s="10">
        <v>45582</v>
      </c>
      <c r="F527" s="6" t="str">
        <f t="shared" si="128"/>
        <v>Valid</v>
      </c>
      <c r="G527" s="8">
        <f t="shared" si="129"/>
        <v>0</v>
      </c>
      <c r="H527" s="8" t="str">
        <f t="shared" si="130"/>
        <v>Valid</v>
      </c>
      <c r="I527" t="s">
        <v>2543</v>
      </c>
      <c r="J527" t="s">
        <v>141</v>
      </c>
      <c r="K527" t="s">
        <v>141</v>
      </c>
      <c r="L527" t="s">
        <v>114</v>
      </c>
      <c r="M527" s="3" t="str">
        <f t="shared" si="131"/>
        <v>Home Office</v>
      </c>
      <c r="N527" t="s">
        <v>41</v>
      </c>
      <c r="O527" s="3" t="str">
        <f t="shared" si="132"/>
        <v>East</v>
      </c>
      <c r="P527" t="s">
        <v>120</v>
      </c>
      <c r="Q527" t="s">
        <v>121</v>
      </c>
      <c r="R527" t="s">
        <v>44</v>
      </c>
      <c r="S527" s="3" t="str">
        <f t="shared" si="133"/>
        <v>Furniture</v>
      </c>
      <c r="T527" t="s">
        <v>75</v>
      </c>
      <c r="U527" t="s">
        <v>2544</v>
      </c>
      <c r="V527" t="s">
        <v>66</v>
      </c>
      <c r="W527" s="3" t="str">
        <f t="shared" si="134"/>
        <v>Standard Class</v>
      </c>
      <c r="X527">
        <v>5</v>
      </c>
      <c r="Y527">
        <v>2524.4</v>
      </c>
      <c r="Z527">
        <v>0.1</v>
      </c>
      <c r="AA527">
        <f t="shared" si="138"/>
        <v>0.1</v>
      </c>
      <c r="AB527">
        <f t="shared" si="139"/>
        <v>11359.800000000001</v>
      </c>
      <c r="AC527">
        <v>11359.8</v>
      </c>
      <c r="AD527">
        <v>7062.44</v>
      </c>
      <c r="AE527">
        <v>4297.3599999999997</v>
      </c>
      <c r="AF527" t="s">
        <v>33</v>
      </c>
      <c r="AG527" t="s">
        <v>34</v>
      </c>
      <c r="AH527" t="str">
        <f t="shared" si="135"/>
        <v>Completed</v>
      </c>
      <c r="AI527" t="str">
        <f t="shared" si="136"/>
        <v>Valid</v>
      </c>
      <c r="AJ527">
        <f t="shared" si="137"/>
        <v>4297.3599999999997</v>
      </c>
      <c r="AK527" s="12">
        <f t="shared" si="140"/>
        <v>0.37829539252451622</v>
      </c>
      <c r="AL527">
        <f t="shared" si="141"/>
        <v>10</v>
      </c>
      <c r="AM527">
        <f t="shared" si="142"/>
        <v>2024</v>
      </c>
      <c r="AN527" t="str">
        <f t="shared" si="143"/>
        <v>Clean</v>
      </c>
    </row>
    <row r="528" spans="1:40">
      <c r="A528" t="s">
        <v>2545</v>
      </c>
      <c r="B528" s="3" t="s">
        <v>2546</v>
      </c>
      <c r="C528" s="10">
        <v>45856</v>
      </c>
      <c r="D528" s="3" t="s">
        <v>2547</v>
      </c>
      <c r="E528" s="10">
        <v>45859</v>
      </c>
      <c r="F528" s="6" t="str">
        <f t="shared" si="128"/>
        <v>Valid</v>
      </c>
      <c r="G528" s="8">
        <f t="shared" si="129"/>
        <v>3</v>
      </c>
      <c r="H528" s="8" t="str">
        <f t="shared" si="130"/>
        <v>Valid</v>
      </c>
      <c r="I528" t="s">
        <v>2548</v>
      </c>
      <c r="J528" t="s">
        <v>141</v>
      </c>
      <c r="K528" t="s">
        <v>141</v>
      </c>
      <c r="L528" t="s">
        <v>25</v>
      </c>
      <c r="M528" s="3" t="str">
        <f t="shared" si="131"/>
        <v>Consumer</v>
      </c>
      <c r="N528" t="s">
        <v>41</v>
      </c>
      <c r="O528" s="3" t="str">
        <f t="shared" si="132"/>
        <v>East</v>
      </c>
      <c r="P528" t="s">
        <v>42</v>
      </c>
      <c r="Q528" t="s">
        <v>43</v>
      </c>
      <c r="R528" t="s">
        <v>44</v>
      </c>
      <c r="S528" s="3" t="str">
        <f t="shared" si="133"/>
        <v>Furniture</v>
      </c>
      <c r="T528" t="s">
        <v>45</v>
      </c>
      <c r="U528" t="s">
        <v>2549</v>
      </c>
      <c r="V528" t="s">
        <v>32</v>
      </c>
      <c r="W528" s="3" t="str">
        <f t="shared" si="134"/>
        <v>Second Class</v>
      </c>
      <c r="X528">
        <v>4</v>
      </c>
      <c r="Y528">
        <v>284.04000000000002</v>
      </c>
      <c r="AA528">
        <f t="shared" si="138"/>
        <v>0</v>
      </c>
      <c r="AB528">
        <f t="shared" si="139"/>
        <v>1136.1600000000001</v>
      </c>
      <c r="AC528">
        <v>908.93</v>
      </c>
      <c r="AD528">
        <v>572.08000000000004</v>
      </c>
      <c r="AE528">
        <v>336.85</v>
      </c>
      <c r="AF528" t="s">
        <v>33</v>
      </c>
      <c r="AG528" t="s">
        <v>34</v>
      </c>
      <c r="AH528" t="str">
        <f t="shared" si="135"/>
        <v>Completed</v>
      </c>
      <c r="AI528" t="str">
        <f t="shared" si="136"/>
        <v>Valid</v>
      </c>
      <c r="AJ528">
        <f t="shared" si="137"/>
        <v>336.84999999999991</v>
      </c>
      <c r="AK528" s="12">
        <f t="shared" si="140"/>
        <v>0.29648112941839166</v>
      </c>
      <c r="AL528">
        <f t="shared" si="141"/>
        <v>7</v>
      </c>
      <c r="AM528">
        <f t="shared" si="142"/>
        <v>2025</v>
      </c>
      <c r="AN528" t="str">
        <f t="shared" si="143"/>
        <v>Clean</v>
      </c>
    </row>
    <row r="529" spans="1:40">
      <c r="A529" t="s">
        <v>2550</v>
      </c>
      <c r="B529" s="3" t="s">
        <v>2551</v>
      </c>
      <c r="C529" s="10">
        <v>45931</v>
      </c>
      <c r="D529" s="3" t="s">
        <v>2552</v>
      </c>
      <c r="E529" s="10">
        <v>45935</v>
      </c>
      <c r="F529" s="6" t="str">
        <f t="shared" si="128"/>
        <v>Valid</v>
      </c>
      <c r="G529" s="8">
        <f t="shared" si="129"/>
        <v>4</v>
      </c>
      <c r="H529" s="8" t="str">
        <f t="shared" si="130"/>
        <v>Valid</v>
      </c>
      <c r="I529" t="s">
        <v>2553</v>
      </c>
      <c r="J529" t="s">
        <v>106</v>
      </c>
      <c r="K529" t="s">
        <v>106</v>
      </c>
      <c r="L529" t="s">
        <v>114</v>
      </c>
      <c r="M529" s="3" t="str">
        <f t="shared" si="131"/>
        <v>Home Office</v>
      </c>
      <c r="N529" t="s">
        <v>26</v>
      </c>
      <c r="O529" s="3" t="str">
        <f t="shared" si="132"/>
        <v>North</v>
      </c>
      <c r="P529" t="s">
        <v>322</v>
      </c>
      <c r="Q529" t="s">
        <v>323</v>
      </c>
      <c r="R529" t="s">
        <v>29</v>
      </c>
      <c r="S529" s="3" t="str">
        <f t="shared" si="133"/>
        <v>Office Supplies</v>
      </c>
      <c r="T529" t="s">
        <v>30</v>
      </c>
      <c r="U529" t="s">
        <v>2554</v>
      </c>
      <c r="V529" t="s">
        <v>55</v>
      </c>
      <c r="W529" s="3" t="str">
        <f t="shared" si="134"/>
        <v>First Class</v>
      </c>
      <c r="X529">
        <v>5</v>
      </c>
      <c r="Y529">
        <v>3247.56</v>
      </c>
      <c r="Z529">
        <v>0.15</v>
      </c>
      <c r="AA529">
        <f t="shared" si="138"/>
        <v>0.15</v>
      </c>
      <c r="AB529">
        <f t="shared" si="139"/>
        <v>13802.13</v>
      </c>
      <c r="AC529">
        <v>13802.13</v>
      </c>
      <c r="AD529">
        <v>10075.93</v>
      </c>
      <c r="AE529">
        <v>3726.2</v>
      </c>
      <c r="AF529" t="s">
        <v>33</v>
      </c>
      <c r="AG529" t="s">
        <v>34</v>
      </c>
      <c r="AH529" t="str">
        <f t="shared" si="135"/>
        <v>Completed</v>
      </c>
      <c r="AI529" t="str">
        <f t="shared" si="136"/>
        <v>Valid</v>
      </c>
      <c r="AJ529">
        <f t="shared" si="137"/>
        <v>3726.1999999999989</v>
      </c>
      <c r="AK529" s="12">
        <f t="shared" si="140"/>
        <v>0.26997282303528508</v>
      </c>
      <c r="AL529">
        <f t="shared" si="141"/>
        <v>10</v>
      </c>
      <c r="AM529">
        <f t="shared" si="142"/>
        <v>2025</v>
      </c>
      <c r="AN529" t="str">
        <f t="shared" si="143"/>
        <v>Clean</v>
      </c>
    </row>
    <row r="530" spans="1:40">
      <c r="A530" t="s">
        <v>2555</v>
      </c>
      <c r="B530" s="3" t="s">
        <v>2556</v>
      </c>
      <c r="C530" s="10">
        <v>45572</v>
      </c>
      <c r="D530" s="3" t="s">
        <v>2557</v>
      </c>
      <c r="E530" s="10">
        <v>45574</v>
      </c>
      <c r="F530" s="6" t="str">
        <f t="shared" si="128"/>
        <v>Valid</v>
      </c>
      <c r="G530" s="8">
        <f t="shared" si="129"/>
        <v>2</v>
      </c>
      <c r="H530" s="8" t="str">
        <f t="shared" si="130"/>
        <v>Valid</v>
      </c>
      <c r="I530" t="s">
        <v>2558</v>
      </c>
      <c r="J530" t="s">
        <v>209</v>
      </c>
      <c r="K530" t="s">
        <v>209</v>
      </c>
      <c r="L530" t="s">
        <v>25</v>
      </c>
      <c r="M530" s="3" t="str">
        <f t="shared" si="131"/>
        <v>Consumer</v>
      </c>
      <c r="N530" t="s">
        <v>61</v>
      </c>
      <c r="O530" s="3" t="str">
        <f t="shared" si="132"/>
        <v>South</v>
      </c>
      <c r="P530" t="s">
        <v>338</v>
      </c>
      <c r="Q530" t="s">
        <v>339</v>
      </c>
      <c r="R530" t="s">
        <v>29</v>
      </c>
      <c r="S530" s="3" t="str">
        <f t="shared" si="133"/>
        <v>Office Supplies</v>
      </c>
      <c r="T530" t="s">
        <v>197</v>
      </c>
      <c r="U530" t="s">
        <v>2559</v>
      </c>
      <c r="V530" t="s">
        <v>66</v>
      </c>
      <c r="W530" s="3" t="str">
        <f t="shared" si="134"/>
        <v>Standard Class</v>
      </c>
      <c r="X530">
        <v>9</v>
      </c>
      <c r="Y530">
        <v>3457.09</v>
      </c>
      <c r="Z530">
        <v>0.05</v>
      </c>
      <c r="AA530">
        <f t="shared" si="138"/>
        <v>0.05</v>
      </c>
      <c r="AB530">
        <f t="shared" si="139"/>
        <v>29558.119500000001</v>
      </c>
      <c r="AC530">
        <v>29558.12</v>
      </c>
      <c r="AD530">
        <v>21302.13</v>
      </c>
      <c r="AE530">
        <v>8255.99</v>
      </c>
      <c r="AF530" t="s">
        <v>136</v>
      </c>
      <c r="AG530" t="s">
        <v>124</v>
      </c>
      <c r="AH530" t="str">
        <f t="shared" si="135"/>
        <v>Returned</v>
      </c>
      <c r="AI530" t="str">
        <f t="shared" si="136"/>
        <v>Valid</v>
      </c>
      <c r="AJ530">
        <f t="shared" si="137"/>
        <v>8255.989999999998</v>
      </c>
      <c r="AK530" s="12">
        <f t="shared" si="140"/>
        <v>0.27931377704863797</v>
      </c>
      <c r="AL530">
        <f t="shared" si="141"/>
        <v>10</v>
      </c>
      <c r="AM530">
        <f t="shared" si="142"/>
        <v>2024</v>
      </c>
      <c r="AN530" t="str">
        <f t="shared" si="143"/>
        <v>Clean</v>
      </c>
    </row>
    <row r="531" spans="1:40">
      <c r="A531" t="s">
        <v>2560</v>
      </c>
      <c r="B531" s="3" t="s">
        <v>2279</v>
      </c>
      <c r="C531" s="10">
        <v>45328</v>
      </c>
      <c r="D531" s="3" t="s">
        <v>2561</v>
      </c>
      <c r="E531" s="10">
        <v>45330</v>
      </c>
      <c r="F531" s="6" t="str">
        <f t="shared" si="128"/>
        <v>Valid</v>
      </c>
      <c r="G531" s="8">
        <f t="shared" si="129"/>
        <v>2</v>
      </c>
      <c r="H531" s="8" t="str">
        <f t="shared" si="130"/>
        <v>Valid</v>
      </c>
      <c r="I531" t="s">
        <v>1109</v>
      </c>
      <c r="J531" t="s">
        <v>24</v>
      </c>
      <c r="K531" t="s">
        <v>24</v>
      </c>
      <c r="L531" t="s">
        <v>25</v>
      </c>
      <c r="M531" s="3" t="str">
        <f t="shared" si="131"/>
        <v>Consumer</v>
      </c>
      <c r="N531" t="s">
        <v>41</v>
      </c>
      <c r="O531" s="3" t="str">
        <f t="shared" si="132"/>
        <v>East</v>
      </c>
      <c r="P531" t="s">
        <v>310</v>
      </c>
      <c r="Q531" t="s">
        <v>311</v>
      </c>
      <c r="R531" t="s">
        <v>44</v>
      </c>
      <c r="S531" s="3" t="str">
        <f t="shared" si="133"/>
        <v>Furniture</v>
      </c>
      <c r="T531" t="s">
        <v>203</v>
      </c>
      <c r="U531" t="s">
        <v>2562</v>
      </c>
      <c r="V531" t="s">
        <v>32</v>
      </c>
      <c r="W531" s="3" t="str">
        <f t="shared" si="134"/>
        <v>Second Class</v>
      </c>
      <c r="X531">
        <v>9</v>
      </c>
      <c r="Y531">
        <v>1822.25</v>
      </c>
      <c r="Z531">
        <v>0</v>
      </c>
      <c r="AA531">
        <f t="shared" si="138"/>
        <v>0</v>
      </c>
      <c r="AB531">
        <f t="shared" si="139"/>
        <v>16400.25</v>
      </c>
      <c r="AC531">
        <v>16400.25</v>
      </c>
      <c r="AD531">
        <v>12146.96</v>
      </c>
      <c r="AE531">
        <v>4253.29</v>
      </c>
      <c r="AF531" t="s">
        <v>33</v>
      </c>
      <c r="AG531" t="s">
        <v>34</v>
      </c>
      <c r="AH531" t="str">
        <f t="shared" si="135"/>
        <v>Completed</v>
      </c>
      <c r="AI531" t="str">
        <f t="shared" si="136"/>
        <v>Valid</v>
      </c>
      <c r="AJ531">
        <f t="shared" si="137"/>
        <v>4253.2900000000009</v>
      </c>
      <c r="AK531" s="12">
        <f t="shared" si="140"/>
        <v>0.25934299782015524</v>
      </c>
      <c r="AL531">
        <f t="shared" si="141"/>
        <v>2</v>
      </c>
      <c r="AM531">
        <f t="shared" si="142"/>
        <v>2024</v>
      </c>
      <c r="AN531" t="str">
        <f t="shared" si="143"/>
        <v>Clean</v>
      </c>
    </row>
    <row r="532" spans="1:40">
      <c r="A532" t="s">
        <v>2563</v>
      </c>
      <c r="B532" s="3" t="s">
        <v>2564</v>
      </c>
      <c r="C532" s="10">
        <v>45807</v>
      </c>
      <c r="D532" s="3" t="s">
        <v>2565</v>
      </c>
      <c r="E532" s="10">
        <v>45809</v>
      </c>
      <c r="F532" s="6" t="str">
        <f t="shared" si="128"/>
        <v>Valid</v>
      </c>
      <c r="G532" s="8">
        <f t="shared" si="129"/>
        <v>2</v>
      </c>
      <c r="H532" s="8" t="str">
        <f t="shared" si="130"/>
        <v>Valid</v>
      </c>
      <c r="I532" t="s">
        <v>2566</v>
      </c>
      <c r="J532" t="s">
        <v>147</v>
      </c>
      <c r="K532" t="s">
        <v>147</v>
      </c>
      <c r="L532" t="s">
        <v>114</v>
      </c>
      <c r="M532" s="3" t="str">
        <f t="shared" si="131"/>
        <v>Home Office</v>
      </c>
      <c r="N532" t="s">
        <v>61</v>
      </c>
      <c r="O532" s="3" t="str">
        <f t="shared" si="132"/>
        <v>South</v>
      </c>
      <c r="P532" t="s">
        <v>338</v>
      </c>
      <c r="Q532" t="s">
        <v>339</v>
      </c>
      <c r="R532" t="s">
        <v>29</v>
      </c>
      <c r="S532" s="3" t="str">
        <f t="shared" si="133"/>
        <v>Office Supplies</v>
      </c>
      <c r="T532" t="s">
        <v>197</v>
      </c>
      <c r="U532" t="s">
        <v>2567</v>
      </c>
      <c r="V532" t="s">
        <v>66</v>
      </c>
      <c r="W532" s="3" t="str">
        <f t="shared" si="134"/>
        <v>Standard Class</v>
      </c>
      <c r="X532">
        <v>9</v>
      </c>
      <c r="Y532">
        <v>1994.51</v>
      </c>
      <c r="Z532">
        <v>0.05</v>
      </c>
      <c r="AA532">
        <f t="shared" si="138"/>
        <v>0.05</v>
      </c>
      <c r="AB532">
        <f t="shared" si="139"/>
        <v>17053.0605</v>
      </c>
      <c r="AC532">
        <v>17053.060000000001</v>
      </c>
      <c r="AD532">
        <v>10742.38</v>
      </c>
      <c r="AE532">
        <v>6310.68</v>
      </c>
      <c r="AF532" t="s">
        <v>33</v>
      </c>
      <c r="AG532" t="s">
        <v>34</v>
      </c>
      <c r="AH532" t="str">
        <f t="shared" si="135"/>
        <v>Completed</v>
      </c>
      <c r="AI532" t="str">
        <f t="shared" si="136"/>
        <v>Valid</v>
      </c>
      <c r="AJ532">
        <f t="shared" si="137"/>
        <v>6310.6800000000021</v>
      </c>
      <c r="AK532" s="12">
        <f t="shared" si="140"/>
        <v>0.37006143266776087</v>
      </c>
      <c r="AL532">
        <f t="shared" si="141"/>
        <v>5</v>
      </c>
      <c r="AM532">
        <f t="shared" si="142"/>
        <v>2025</v>
      </c>
      <c r="AN532" t="str">
        <f t="shared" si="143"/>
        <v>Clean</v>
      </c>
    </row>
    <row r="533" spans="1:40">
      <c r="A533" t="s">
        <v>2568</v>
      </c>
      <c r="B533" s="3" t="s">
        <v>1298</v>
      </c>
      <c r="C533" s="10">
        <v>45505</v>
      </c>
      <c r="D533" s="3" t="s">
        <v>2569</v>
      </c>
      <c r="E533" s="10">
        <v>45512</v>
      </c>
      <c r="F533" s="6" t="str">
        <f t="shared" si="128"/>
        <v>Valid</v>
      </c>
      <c r="G533" s="8">
        <f t="shared" si="129"/>
        <v>7</v>
      </c>
      <c r="H533" s="8" t="str">
        <f t="shared" si="130"/>
        <v>Valid</v>
      </c>
      <c r="I533" t="s">
        <v>2570</v>
      </c>
      <c r="J533" t="s">
        <v>209</v>
      </c>
      <c r="K533" t="s">
        <v>209</v>
      </c>
      <c r="L533" t="s">
        <v>40</v>
      </c>
      <c r="M533" s="3" t="str">
        <f t="shared" si="131"/>
        <v>Small Business</v>
      </c>
      <c r="N533" t="s">
        <v>72</v>
      </c>
      <c r="O533" s="3" t="str">
        <f t="shared" si="132"/>
        <v>West</v>
      </c>
      <c r="P533" t="s">
        <v>73</v>
      </c>
      <c r="Q533" t="s">
        <v>74</v>
      </c>
      <c r="R533" t="s">
        <v>29</v>
      </c>
      <c r="S533" s="3" t="str">
        <f t="shared" si="133"/>
        <v>Office Supplies</v>
      </c>
      <c r="T533" t="s">
        <v>155</v>
      </c>
      <c r="U533" t="s">
        <v>2571</v>
      </c>
      <c r="W533" s="3" t="str">
        <f t="shared" si="134"/>
        <v>Unknown</v>
      </c>
      <c r="X533">
        <v>1</v>
      </c>
      <c r="Y533">
        <v>442.97</v>
      </c>
      <c r="Z533">
        <v>0.1</v>
      </c>
      <c r="AA533">
        <f t="shared" si="138"/>
        <v>0.1</v>
      </c>
      <c r="AB533">
        <f t="shared" si="139"/>
        <v>398.67300000000006</v>
      </c>
      <c r="AC533">
        <v>398.67</v>
      </c>
      <c r="AD533">
        <v>311.66000000000003</v>
      </c>
      <c r="AE533">
        <v>87.01</v>
      </c>
      <c r="AF533" t="s">
        <v>33</v>
      </c>
      <c r="AG533" t="s">
        <v>34</v>
      </c>
      <c r="AH533" t="str">
        <f t="shared" si="135"/>
        <v>Completed</v>
      </c>
      <c r="AI533" t="str">
        <f t="shared" si="136"/>
        <v>Valid</v>
      </c>
      <c r="AJ533">
        <f t="shared" si="137"/>
        <v>87.009999999999991</v>
      </c>
      <c r="AK533" s="12">
        <f t="shared" si="140"/>
        <v>0.21824904119416158</v>
      </c>
      <c r="AL533">
        <f t="shared" si="141"/>
        <v>8</v>
      </c>
      <c r="AM533">
        <f t="shared" si="142"/>
        <v>2024</v>
      </c>
      <c r="AN533" t="str">
        <f t="shared" si="143"/>
        <v>Clean</v>
      </c>
    </row>
    <row r="534" spans="1:40">
      <c r="A534" t="s">
        <v>2572</v>
      </c>
      <c r="B534" s="3" t="s">
        <v>2552</v>
      </c>
      <c r="C534" s="10">
        <v>45935</v>
      </c>
      <c r="D534" s="3" t="s">
        <v>307</v>
      </c>
      <c r="E534" s="10">
        <v>45940</v>
      </c>
      <c r="F534" s="6" t="str">
        <f t="shared" si="128"/>
        <v>Valid</v>
      </c>
      <c r="G534" s="8">
        <f t="shared" si="129"/>
        <v>5</v>
      </c>
      <c r="H534" s="8" t="str">
        <f t="shared" si="130"/>
        <v>Valid</v>
      </c>
      <c r="I534" t="s">
        <v>2573</v>
      </c>
      <c r="J534" t="s">
        <v>141</v>
      </c>
      <c r="K534" t="s">
        <v>141</v>
      </c>
      <c r="L534" t="s">
        <v>107</v>
      </c>
      <c r="M534" s="3" t="str">
        <f t="shared" si="131"/>
        <v>Corporate</v>
      </c>
      <c r="N534" t="s">
        <v>41</v>
      </c>
      <c r="O534" s="3" t="str">
        <f t="shared" si="132"/>
        <v>East</v>
      </c>
      <c r="P534" t="s">
        <v>215</v>
      </c>
      <c r="Q534" t="s">
        <v>216</v>
      </c>
      <c r="R534" t="s">
        <v>44</v>
      </c>
      <c r="S534" s="3" t="str">
        <f t="shared" si="133"/>
        <v>Furniture</v>
      </c>
      <c r="T534" t="s">
        <v>45</v>
      </c>
      <c r="U534" t="s">
        <v>2574</v>
      </c>
      <c r="V534" t="s">
        <v>32</v>
      </c>
      <c r="W534" s="3" t="str">
        <f t="shared" si="134"/>
        <v>Second Class</v>
      </c>
      <c r="X534">
        <v>9</v>
      </c>
      <c r="Y534">
        <v>2089.14</v>
      </c>
      <c r="Z534">
        <v>0.05</v>
      </c>
      <c r="AA534">
        <f t="shared" si="138"/>
        <v>0.05</v>
      </c>
      <c r="AB534">
        <f t="shared" si="139"/>
        <v>17862.146999999997</v>
      </c>
      <c r="AC534">
        <v>17862.150000000001</v>
      </c>
      <c r="AD534">
        <v>9892.2099999999991</v>
      </c>
      <c r="AE534">
        <v>7969.94</v>
      </c>
      <c r="AF534" t="s">
        <v>199</v>
      </c>
      <c r="AG534" t="s">
        <v>77</v>
      </c>
      <c r="AH534" t="str">
        <f t="shared" si="135"/>
        <v>Cancelled</v>
      </c>
      <c r="AI534" t="str">
        <f t="shared" si="136"/>
        <v>Valid</v>
      </c>
      <c r="AJ534">
        <f t="shared" si="137"/>
        <v>7969.9400000000023</v>
      </c>
      <c r="AK534" s="12">
        <f t="shared" si="140"/>
        <v>0.44619160283475462</v>
      </c>
      <c r="AL534">
        <f t="shared" si="141"/>
        <v>10</v>
      </c>
      <c r="AM534">
        <f t="shared" si="142"/>
        <v>2025</v>
      </c>
      <c r="AN534" t="str">
        <f t="shared" si="143"/>
        <v>Clean</v>
      </c>
    </row>
    <row r="535" spans="1:40">
      <c r="A535" t="s">
        <v>2575</v>
      </c>
      <c r="B535" s="3" t="s">
        <v>2576</v>
      </c>
      <c r="C535" s="10">
        <v>45529</v>
      </c>
      <c r="D535" s="3" t="s">
        <v>394</v>
      </c>
      <c r="E535" s="10">
        <v>45536</v>
      </c>
      <c r="F535" s="6" t="str">
        <f t="shared" si="128"/>
        <v>Valid</v>
      </c>
      <c r="G535" s="8">
        <f t="shared" si="129"/>
        <v>7</v>
      </c>
      <c r="H535" s="8" t="str">
        <f t="shared" si="130"/>
        <v>Valid</v>
      </c>
      <c r="I535" t="s">
        <v>2577</v>
      </c>
      <c r="J535" t="s">
        <v>52</v>
      </c>
      <c r="K535" t="s">
        <v>52</v>
      </c>
      <c r="L535" t="s">
        <v>114</v>
      </c>
      <c r="M535" s="3" t="str">
        <f t="shared" si="131"/>
        <v>Home Office</v>
      </c>
      <c r="N535" t="s">
        <v>26</v>
      </c>
      <c r="O535" s="3" t="str">
        <f t="shared" si="132"/>
        <v>North</v>
      </c>
      <c r="P535" t="s">
        <v>27</v>
      </c>
      <c r="Q535" t="s">
        <v>28</v>
      </c>
      <c r="R535" t="s">
        <v>44</v>
      </c>
      <c r="S535" s="3" t="str">
        <f t="shared" si="133"/>
        <v>Furniture</v>
      </c>
      <c r="T535" t="s">
        <v>45</v>
      </c>
      <c r="U535" t="s">
        <v>2578</v>
      </c>
      <c r="V535" t="s">
        <v>47</v>
      </c>
      <c r="W535" s="3" t="str">
        <f t="shared" si="134"/>
        <v>Same Day</v>
      </c>
      <c r="X535">
        <v>6</v>
      </c>
      <c r="Y535">
        <v>481.3</v>
      </c>
      <c r="Z535">
        <v>0.25</v>
      </c>
      <c r="AA535">
        <f t="shared" si="138"/>
        <v>0.25</v>
      </c>
      <c r="AB535">
        <f t="shared" si="139"/>
        <v>2165.8500000000004</v>
      </c>
      <c r="AC535">
        <v>2165.85</v>
      </c>
      <c r="AD535">
        <v>2124.48</v>
      </c>
      <c r="AE535">
        <v>430.45</v>
      </c>
      <c r="AF535" t="s">
        <v>33</v>
      </c>
      <c r="AG535" t="s">
        <v>34</v>
      </c>
      <c r="AH535" t="str">
        <f t="shared" si="135"/>
        <v>Completed</v>
      </c>
      <c r="AI535" t="str">
        <f t="shared" si="136"/>
        <v>Valid</v>
      </c>
      <c r="AJ535">
        <f t="shared" si="137"/>
        <v>41.369999999999891</v>
      </c>
      <c r="AK535" s="12">
        <f t="shared" si="140"/>
        <v>1.9101045778793492E-2</v>
      </c>
      <c r="AL535">
        <f t="shared" si="141"/>
        <v>8</v>
      </c>
      <c r="AM535">
        <f t="shared" si="142"/>
        <v>2024</v>
      </c>
      <c r="AN535" t="str">
        <f t="shared" si="143"/>
        <v>Clean</v>
      </c>
    </row>
    <row r="536" spans="1:40">
      <c r="A536" t="s">
        <v>2579</v>
      </c>
      <c r="B536" s="3" t="s">
        <v>2580</v>
      </c>
      <c r="C536" s="10">
        <v>45774</v>
      </c>
      <c r="D536" s="3" t="s">
        <v>2581</v>
      </c>
      <c r="E536" s="10">
        <v>45782</v>
      </c>
      <c r="F536" s="6" t="str">
        <f t="shared" si="128"/>
        <v>Valid</v>
      </c>
      <c r="G536" s="8">
        <f t="shared" si="129"/>
        <v>8</v>
      </c>
      <c r="H536" s="8" t="str">
        <f t="shared" si="130"/>
        <v>Valid</v>
      </c>
      <c r="I536" t="s">
        <v>2582</v>
      </c>
      <c r="J536" t="s">
        <v>179</v>
      </c>
      <c r="K536" t="s">
        <v>179</v>
      </c>
      <c r="L536" t="s">
        <v>114</v>
      </c>
      <c r="M536" s="3" t="str">
        <f t="shared" si="131"/>
        <v>Home Office</v>
      </c>
      <c r="N536" t="s">
        <v>41</v>
      </c>
      <c r="O536" s="3" t="str">
        <f t="shared" si="132"/>
        <v>East</v>
      </c>
      <c r="P536" t="s">
        <v>185</v>
      </c>
      <c r="Q536" t="s">
        <v>186</v>
      </c>
      <c r="R536" t="s">
        <v>85</v>
      </c>
      <c r="S536" s="3" t="str">
        <f t="shared" si="133"/>
        <v>Technology</v>
      </c>
      <c r="T536" t="s">
        <v>86</v>
      </c>
      <c r="U536" t="s">
        <v>2583</v>
      </c>
      <c r="V536" t="s">
        <v>32</v>
      </c>
      <c r="W536" s="3" t="str">
        <f t="shared" si="134"/>
        <v>Second Class</v>
      </c>
      <c r="X536">
        <v>4</v>
      </c>
      <c r="Y536">
        <v>3963.39</v>
      </c>
      <c r="Z536">
        <v>0.1</v>
      </c>
      <c r="AA536">
        <f t="shared" si="138"/>
        <v>0.1</v>
      </c>
      <c r="AB536">
        <f t="shared" si="139"/>
        <v>14268.204</v>
      </c>
      <c r="AC536">
        <v>14268.2</v>
      </c>
      <c r="AD536">
        <v>11705.3</v>
      </c>
      <c r="AE536">
        <v>2562.9</v>
      </c>
      <c r="AF536" t="s">
        <v>136</v>
      </c>
      <c r="AG536" t="s">
        <v>124</v>
      </c>
      <c r="AH536" t="str">
        <f t="shared" si="135"/>
        <v>Returned</v>
      </c>
      <c r="AI536" t="str">
        <f t="shared" si="136"/>
        <v>Valid</v>
      </c>
      <c r="AJ536">
        <f t="shared" si="137"/>
        <v>2562.9000000000015</v>
      </c>
      <c r="AK536" s="12">
        <f t="shared" si="140"/>
        <v>0.17962316770912454</v>
      </c>
      <c r="AL536">
        <f t="shared" si="141"/>
        <v>4</v>
      </c>
      <c r="AM536">
        <f t="shared" si="142"/>
        <v>2025</v>
      </c>
      <c r="AN536" t="str">
        <f t="shared" si="143"/>
        <v>Clean</v>
      </c>
    </row>
    <row r="537" spans="1:40">
      <c r="A537" t="s">
        <v>2584</v>
      </c>
      <c r="B537" s="3" t="s">
        <v>2585</v>
      </c>
      <c r="C537" s="10">
        <v>45431</v>
      </c>
      <c r="D537" s="3" t="s">
        <v>2586</v>
      </c>
      <c r="E537" s="10">
        <v>45433</v>
      </c>
      <c r="F537" s="6" t="str">
        <f t="shared" si="128"/>
        <v>Valid</v>
      </c>
      <c r="G537" s="8">
        <f t="shared" si="129"/>
        <v>2</v>
      </c>
      <c r="H537" s="8" t="str">
        <f t="shared" si="130"/>
        <v>Valid</v>
      </c>
      <c r="I537" t="s">
        <v>2587</v>
      </c>
      <c r="J537" t="s">
        <v>209</v>
      </c>
      <c r="K537" t="s">
        <v>209</v>
      </c>
      <c r="L537" t="s">
        <v>40</v>
      </c>
      <c r="M537" s="3" t="str">
        <f t="shared" si="131"/>
        <v>Small Business</v>
      </c>
      <c r="N537" t="s">
        <v>72</v>
      </c>
      <c r="O537" s="3" t="str">
        <f t="shared" si="132"/>
        <v>West</v>
      </c>
      <c r="P537" t="s">
        <v>73</v>
      </c>
      <c r="Q537" t="s">
        <v>74</v>
      </c>
      <c r="R537" t="s">
        <v>85</v>
      </c>
      <c r="S537" s="3" t="str">
        <f t="shared" si="133"/>
        <v>Technology</v>
      </c>
      <c r="T537" t="s">
        <v>93</v>
      </c>
      <c r="U537" t="s">
        <v>2588</v>
      </c>
      <c r="V537" t="s">
        <v>55</v>
      </c>
      <c r="W537" s="3" t="str">
        <f t="shared" si="134"/>
        <v>First Class</v>
      </c>
      <c r="X537">
        <v>3</v>
      </c>
      <c r="Y537">
        <v>4000.98</v>
      </c>
      <c r="Z537">
        <v>0.2</v>
      </c>
      <c r="AA537">
        <f t="shared" si="138"/>
        <v>0.2</v>
      </c>
      <c r="AB537">
        <f t="shared" si="139"/>
        <v>9602.3520000000008</v>
      </c>
      <c r="AC537">
        <v>9602.35</v>
      </c>
      <c r="AD537">
        <v>7387.57</v>
      </c>
      <c r="AE537">
        <v>2214.7800000000002</v>
      </c>
      <c r="AF537" t="s">
        <v>33</v>
      </c>
      <c r="AG537" t="s">
        <v>34</v>
      </c>
      <c r="AH537" t="str">
        <f t="shared" si="135"/>
        <v>Completed</v>
      </c>
      <c r="AI537" t="str">
        <f t="shared" si="136"/>
        <v>Valid</v>
      </c>
      <c r="AJ537">
        <f t="shared" si="137"/>
        <v>2214.7800000000007</v>
      </c>
      <c r="AK537" s="12">
        <f t="shared" si="140"/>
        <v>0.23064974081350073</v>
      </c>
      <c r="AL537">
        <f t="shared" si="141"/>
        <v>5</v>
      </c>
      <c r="AM537">
        <f t="shared" si="142"/>
        <v>2024</v>
      </c>
      <c r="AN537" t="str">
        <f t="shared" si="143"/>
        <v>Clean</v>
      </c>
    </row>
    <row r="538" spans="1:40">
      <c r="A538" t="s">
        <v>2589</v>
      </c>
      <c r="B538" s="3" t="s">
        <v>2590</v>
      </c>
      <c r="C538" s="10">
        <v>45757</v>
      </c>
      <c r="D538" s="3" t="s">
        <v>2591</v>
      </c>
      <c r="E538" s="10">
        <v>45764</v>
      </c>
      <c r="F538" s="6" t="str">
        <f t="shared" si="128"/>
        <v>Valid</v>
      </c>
      <c r="G538" s="8">
        <f t="shared" si="129"/>
        <v>7</v>
      </c>
      <c r="H538" s="8" t="str">
        <f t="shared" si="130"/>
        <v>Valid</v>
      </c>
      <c r="I538" t="s">
        <v>2592</v>
      </c>
      <c r="J538" t="s">
        <v>71</v>
      </c>
      <c r="K538" t="s">
        <v>71</v>
      </c>
      <c r="L538" t="s">
        <v>40</v>
      </c>
      <c r="M538" s="3" t="str">
        <f t="shared" si="131"/>
        <v>Small Business</v>
      </c>
      <c r="N538" t="s">
        <v>72</v>
      </c>
      <c r="O538" s="3" t="str">
        <f t="shared" si="132"/>
        <v>West</v>
      </c>
      <c r="P538" t="s">
        <v>27</v>
      </c>
      <c r="Q538" t="s">
        <v>134</v>
      </c>
      <c r="R538" t="s">
        <v>44</v>
      </c>
      <c r="S538" s="3" t="str">
        <f t="shared" si="133"/>
        <v>Furniture</v>
      </c>
      <c r="T538" t="s">
        <v>75</v>
      </c>
      <c r="U538" t="s">
        <v>2593</v>
      </c>
      <c r="V538" t="s">
        <v>55</v>
      </c>
      <c r="W538" s="3" t="str">
        <f t="shared" si="134"/>
        <v>First Class</v>
      </c>
      <c r="X538">
        <v>7</v>
      </c>
      <c r="Y538">
        <v>3788.9</v>
      </c>
      <c r="Z538">
        <v>0.25</v>
      </c>
      <c r="AA538">
        <f t="shared" si="138"/>
        <v>0.25</v>
      </c>
      <c r="AB538">
        <f t="shared" si="139"/>
        <v>19891.724999999999</v>
      </c>
      <c r="AC538">
        <v>19891.72</v>
      </c>
      <c r="AD538">
        <v>12295.76</v>
      </c>
      <c r="AE538">
        <v>7595.96</v>
      </c>
      <c r="AF538" t="s">
        <v>199</v>
      </c>
      <c r="AG538" t="s">
        <v>77</v>
      </c>
      <c r="AH538" t="str">
        <f t="shared" si="135"/>
        <v>Cancelled</v>
      </c>
      <c r="AI538" t="str">
        <f t="shared" si="136"/>
        <v>Valid</v>
      </c>
      <c r="AJ538">
        <f t="shared" si="137"/>
        <v>7595.9600000000009</v>
      </c>
      <c r="AK538" s="12">
        <f t="shared" si="140"/>
        <v>0.38186532339452722</v>
      </c>
      <c r="AL538">
        <f t="shared" si="141"/>
        <v>4</v>
      </c>
      <c r="AM538">
        <f t="shared" si="142"/>
        <v>2025</v>
      </c>
      <c r="AN538" t="str">
        <f t="shared" si="143"/>
        <v>Clean</v>
      </c>
    </row>
    <row r="539" spans="1:40">
      <c r="A539" t="s">
        <v>2594</v>
      </c>
      <c r="B539" s="3" t="s">
        <v>2037</v>
      </c>
      <c r="C539" s="10">
        <v>45313</v>
      </c>
      <c r="D539" s="3" t="s">
        <v>2595</v>
      </c>
      <c r="E539" s="10">
        <v>45321</v>
      </c>
      <c r="F539" s="6" t="str">
        <f t="shared" si="128"/>
        <v>Valid</v>
      </c>
      <c r="G539" s="8">
        <f t="shared" si="129"/>
        <v>8</v>
      </c>
      <c r="H539" s="8" t="str">
        <f t="shared" si="130"/>
        <v>Valid</v>
      </c>
      <c r="I539" t="s">
        <v>2596</v>
      </c>
      <c r="J539" t="s">
        <v>71</v>
      </c>
      <c r="K539" t="s">
        <v>71</v>
      </c>
      <c r="L539" t="s">
        <v>40</v>
      </c>
      <c r="M539" s="3" t="str">
        <f t="shared" si="131"/>
        <v>Small Business</v>
      </c>
      <c r="N539" t="s">
        <v>26</v>
      </c>
      <c r="O539" s="3" t="str">
        <f t="shared" si="132"/>
        <v>North</v>
      </c>
      <c r="P539" t="s">
        <v>322</v>
      </c>
      <c r="Q539" t="s">
        <v>323</v>
      </c>
      <c r="R539" t="s">
        <v>29</v>
      </c>
      <c r="S539" s="3" t="str">
        <f t="shared" si="133"/>
        <v>Office Supplies</v>
      </c>
      <c r="T539" t="s">
        <v>53</v>
      </c>
      <c r="U539" t="s">
        <v>2597</v>
      </c>
      <c r="V539" t="s">
        <v>47</v>
      </c>
      <c r="W539" s="3" t="str">
        <f t="shared" si="134"/>
        <v>Same Day</v>
      </c>
      <c r="X539">
        <v>3</v>
      </c>
      <c r="Y539">
        <v>676.37</v>
      </c>
      <c r="Z539">
        <v>0.05</v>
      </c>
      <c r="AA539">
        <f t="shared" si="138"/>
        <v>0.05</v>
      </c>
      <c r="AB539">
        <f t="shared" si="139"/>
        <v>1927.6545000000001</v>
      </c>
      <c r="AC539">
        <v>1927.65</v>
      </c>
      <c r="AD539">
        <v>1460.6</v>
      </c>
      <c r="AE539">
        <v>467.05</v>
      </c>
      <c r="AF539" t="s">
        <v>199</v>
      </c>
      <c r="AG539" t="s">
        <v>77</v>
      </c>
      <c r="AH539" t="str">
        <f t="shared" si="135"/>
        <v>Cancelled</v>
      </c>
      <c r="AI539" t="str">
        <f t="shared" si="136"/>
        <v>Valid</v>
      </c>
      <c r="AJ539">
        <f t="shared" si="137"/>
        <v>467.05000000000018</v>
      </c>
      <c r="AK539" s="12">
        <f t="shared" si="140"/>
        <v>0.24228926916104529</v>
      </c>
      <c r="AL539">
        <f t="shared" si="141"/>
        <v>1</v>
      </c>
      <c r="AM539">
        <f t="shared" si="142"/>
        <v>2024</v>
      </c>
      <c r="AN539" t="str">
        <f t="shared" si="143"/>
        <v>Clean</v>
      </c>
    </row>
    <row r="540" spans="1:40">
      <c r="A540" t="s">
        <v>2598</v>
      </c>
      <c r="B540" s="3" t="s">
        <v>2265</v>
      </c>
      <c r="C540" s="10">
        <v>45560</v>
      </c>
      <c r="D540" s="3" t="s">
        <v>2599</v>
      </c>
      <c r="E540" s="10">
        <v>45566</v>
      </c>
      <c r="F540" s="6" t="str">
        <f t="shared" si="128"/>
        <v>Valid</v>
      </c>
      <c r="G540" s="8">
        <f t="shared" si="129"/>
        <v>6</v>
      </c>
      <c r="H540" s="8" t="str">
        <f t="shared" si="130"/>
        <v>Valid</v>
      </c>
      <c r="I540" t="s">
        <v>2600</v>
      </c>
      <c r="J540" t="s">
        <v>209</v>
      </c>
      <c r="K540" t="s">
        <v>209</v>
      </c>
      <c r="L540" t="s">
        <v>40</v>
      </c>
      <c r="M540" s="3" t="str">
        <f t="shared" si="131"/>
        <v>Small Business</v>
      </c>
      <c r="N540" t="s">
        <v>41</v>
      </c>
      <c r="O540" s="3" t="str">
        <f t="shared" si="132"/>
        <v>East</v>
      </c>
      <c r="P540" t="s">
        <v>310</v>
      </c>
      <c r="Q540" t="s">
        <v>311</v>
      </c>
      <c r="R540" t="s">
        <v>44</v>
      </c>
      <c r="S540" s="3" t="str">
        <f t="shared" si="133"/>
        <v>Furniture</v>
      </c>
      <c r="T540" t="s">
        <v>45</v>
      </c>
      <c r="U540" t="s">
        <v>2601</v>
      </c>
      <c r="V540" t="s">
        <v>32</v>
      </c>
      <c r="W540" s="3" t="str">
        <f t="shared" si="134"/>
        <v>Second Class</v>
      </c>
      <c r="X540">
        <v>9</v>
      </c>
      <c r="Y540">
        <v>3908.6</v>
      </c>
      <c r="Z540">
        <v>0.15</v>
      </c>
      <c r="AA540">
        <f t="shared" si="138"/>
        <v>0.15</v>
      </c>
      <c r="AB540">
        <f t="shared" si="139"/>
        <v>29900.79</v>
      </c>
      <c r="AC540">
        <v>29900.79</v>
      </c>
      <c r="AD540">
        <v>24650.67</v>
      </c>
      <c r="AE540">
        <v>5250.12</v>
      </c>
      <c r="AF540" t="s">
        <v>33</v>
      </c>
      <c r="AG540" t="s">
        <v>34</v>
      </c>
      <c r="AH540" t="str">
        <f t="shared" si="135"/>
        <v>Completed</v>
      </c>
      <c r="AI540" t="str">
        <f t="shared" si="136"/>
        <v>Valid</v>
      </c>
      <c r="AJ540">
        <f t="shared" si="137"/>
        <v>5250.1200000000026</v>
      </c>
      <c r="AK540" s="12">
        <f t="shared" si="140"/>
        <v>0.17558465846554563</v>
      </c>
      <c r="AL540">
        <f t="shared" si="141"/>
        <v>9</v>
      </c>
      <c r="AM540">
        <f t="shared" si="142"/>
        <v>2024</v>
      </c>
      <c r="AN540" t="str">
        <f t="shared" si="143"/>
        <v>Clean</v>
      </c>
    </row>
    <row r="541" spans="1:40">
      <c r="A541" t="s">
        <v>2602</v>
      </c>
      <c r="B541" s="3" t="s">
        <v>1215</v>
      </c>
      <c r="C541" s="10">
        <v>45842</v>
      </c>
      <c r="D541" s="3" t="s">
        <v>2414</v>
      </c>
      <c r="E541" s="10">
        <v>45842</v>
      </c>
      <c r="F541" s="6" t="str">
        <f t="shared" si="128"/>
        <v>Valid</v>
      </c>
      <c r="G541" s="8">
        <f t="shared" si="129"/>
        <v>0</v>
      </c>
      <c r="H541" s="8" t="str">
        <f t="shared" si="130"/>
        <v>Valid</v>
      </c>
      <c r="I541" t="s">
        <v>2603</v>
      </c>
      <c r="J541" t="s">
        <v>2604</v>
      </c>
      <c r="K541" t="s">
        <v>2604</v>
      </c>
      <c r="L541" t="s">
        <v>40</v>
      </c>
      <c r="M541" s="3" t="str">
        <f t="shared" si="131"/>
        <v>Small Business</v>
      </c>
      <c r="N541" t="s">
        <v>61</v>
      </c>
      <c r="O541" s="3" t="str">
        <f t="shared" si="132"/>
        <v>South</v>
      </c>
      <c r="P541" t="s">
        <v>338</v>
      </c>
      <c r="Q541" t="s">
        <v>339</v>
      </c>
      <c r="R541" t="s">
        <v>44</v>
      </c>
      <c r="S541" s="3" t="str">
        <f t="shared" si="133"/>
        <v>Furniture</v>
      </c>
      <c r="T541" t="s">
        <v>75</v>
      </c>
      <c r="U541" t="s">
        <v>2605</v>
      </c>
      <c r="V541" t="s">
        <v>66</v>
      </c>
      <c r="W541" s="3" t="str">
        <f t="shared" si="134"/>
        <v>Standard Class</v>
      </c>
      <c r="X541">
        <v>3</v>
      </c>
      <c r="Y541">
        <v>705.35</v>
      </c>
      <c r="Z541">
        <v>0.1</v>
      </c>
      <c r="AA541">
        <f t="shared" si="138"/>
        <v>0.1</v>
      </c>
      <c r="AB541">
        <f t="shared" si="139"/>
        <v>1904.4450000000002</v>
      </c>
      <c r="AC541">
        <v>1904.45</v>
      </c>
      <c r="AD541">
        <v>1316.54</v>
      </c>
      <c r="AE541">
        <v>587.91</v>
      </c>
      <c r="AF541" t="s">
        <v>33</v>
      </c>
      <c r="AG541" t="s">
        <v>77</v>
      </c>
      <c r="AH541" t="str">
        <f t="shared" si="135"/>
        <v>Cancelled</v>
      </c>
      <c r="AI541" t="str">
        <f t="shared" si="136"/>
        <v>Valid</v>
      </c>
      <c r="AJ541">
        <f t="shared" si="137"/>
        <v>587.91000000000008</v>
      </c>
      <c r="AK541" s="12">
        <f t="shared" si="140"/>
        <v>0.30870411064640879</v>
      </c>
      <c r="AL541">
        <f t="shared" si="141"/>
        <v>7</v>
      </c>
      <c r="AM541">
        <f t="shared" si="142"/>
        <v>2025</v>
      </c>
      <c r="AN541" t="str">
        <f t="shared" si="143"/>
        <v>Clean</v>
      </c>
    </row>
    <row r="542" spans="1:40">
      <c r="A542" t="s">
        <v>2606</v>
      </c>
      <c r="B542" s="3" t="s">
        <v>2607</v>
      </c>
      <c r="C542" s="10">
        <v>45348</v>
      </c>
      <c r="D542" s="3" t="s">
        <v>2342</v>
      </c>
      <c r="E542" s="10">
        <v>45345</v>
      </c>
      <c r="F542" s="6" t="str">
        <f t="shared" si="128"/>
        <v>Invalid Shipping Record</v>
      </c>
      <c r="G542" s="8">
        <f t="shared" si="129"/>
        <v>-3</v>
      </c>
      <c r="H542" s="8" t="str">
        <f t="shared" si="130"/>
        <v>Invalid Shipping Record</v>
      </c>
      <c r="I542" t="s">
        <v>2608</v>
      </c>
      <c r="J542" t="s">
        <v>365</v>
      </c>
      <c r="K542" t="s">
        <v>365</v>
      </c>
      <c r="L542" t="s">
        <v>25</v>
      </c>
      <c r="M542" s="3" t="str">
        <f t="shared" si="131"/>
        <v>Consumer</v>
      </c>
      <c r="N542" t="s">
        <v>72</v>
      </c>
      <c r="O542" s="3" t="str">
        <f t="shared" si="132"/>
        <v>West</v>
      </c>
      <c r="P542" t="s">
        <v>234</v>
      </c>
      <c r="Q542" t="s">
        <v>235</v>
      </c>
      <c r="R542" t="s">
        <v>44</v>
      </c>
      <c r="S542" s="3" t="str">
        <f t="shared" si="133"/>
        <v>Furniture</v>
      </c>
      <c r="T542" t="s">
        <v>64</v>
      </c>
      <c r="U542" t="s">
        <v>2609</v>
      </c>
      <c r="V542" t="s">
        <v>66</v>
      </c>
      <c r="W542" s="3" t="str">
        <f t="shared" si="134"/>
        <v>Standard Class</v>
      </c>
      <c r="X542">
        <v>7</v>
      </c>
      <c r="Y542">
        <v>3852.07</v>
      </c>
      <c r="Z542">
        <v>0.2</v>
      </c>
      <c r="AA542">
        <f t="shared" si="138"/>
        <v>0.2</v>
      </c>
      <c r="AB542">
        <f t="shared" si="139"/>
        <v>21571.592000000004</v>
      </c>
      <c r="AC542">
        <v>21571.59</v>
      </c>
      <c r="AD542">
        <v>17118.07</v>
      </c>
      <c r="AE542">
        <v>4453.5200000000004</v>
      </c>
      <c r="AF542" t="s">
        <v>33</v>
      </c>
      <c r="AG542" t="s">
        <v>34</v>
      </c>
      <c r="AH542" t="str">
        <f t="shared" si="135"/>
        <v>Completed</v>
      </c>
      <c r="AI542" t="str">
        <f t="shared" si="136"/>
        <v>Valid</v>
      </c>
      <c r="AJ542">
        <f t="shared" si="137"/>
        <v>4453.5200000000004</v>
      </c>
      <c r="AK542" s="12">
        <f t="shared" si="140"/>
        <v>0.20645300541564107</v>
      </c>
      <c r="AL542">
        <f t="shared" si="141"/>
        <v>2</v>
      </c>
      <c r="AM542">
        <f t="shared" si="142"/>
        <v>2024</v>
      </c>
      <c r="AN542" t="str">
        <f t="shared" si="143"/>
        <v>Invalid</v>
      </c>
    </row>
    <row r="543" spans="1:40">
      <c r="A543" t="s">
        <v>2610</v>
      </c>
      <c r="B543" s="3" t="s">
        <v>2611</v>
      </c>
      <c r="C543" s="10">
        <v>45846</v>
      </c>
      <c r="D543" s="3" t="s">
        <v>2612</v>
      </c>
      <c r="E543" s="10">
        <v>45847</v>
      </c>
      <c r="F543" s="6" t="str">
        <f t="shared" si="128"/>
        <v>Valid</v>
      </c>
      <c r="G543" s="8">
        <f t="shared" si="129"/>
        <v>1</v>
      </c>
      <c r="H543" s="8" t="str">
        <f t="shared" si="130"/>
        <v>Valid</v>
      </c>
      <c r="I543" t="s">
        <v>2613</v>
      </c>
      <c r="J543" t="s">
        <v>167</v>
      </c>
      <c r="K543" t="s">
        <v>167</v>
      </c>
      <c r="L543" t="s">
        <v>25</v>
      </c>
      <c r="M543" s="3" t="str">
        <f t="shared" si="131"/>
        <v>Consumer</v>
      </c>
      <c r="N543" t="s">
        <v>72</v>
      </c>
      <c r="O543" s="3" t="str">
        <f t="shared" si="132"/>
        <v>West</v>
      </c>
      <c r="P543" t="s">
        <v>73</v>
      </c>
      <c r="Q543" t="s">
        <v>74</v>
      </c>
      <c r="R543" t="s">
        <v>85</v>
      </c>
      <c r="S543" s="3" t="str">
        <f t="shared" si="133"/>
        <v>Technology</v>
      </c>
      <c r="T543" t="s">
        <v>93</v>
      </c>
      <c r="U543" t="s">
        <v>2614</v>
      </c>
      <c r="V543" t="s">
        <v>47</v>
      </c>
      <c r="W543" s="3" t="str">
        <f t="shared" si="134"/>
        <v>Same Day</v>
      </c>
      <c r="X543">
        <v>3</v>
      </c>
      <c r="Y543">
        <v>2880.56</v>
      </c>
      <c r="Z543">
        <v>0</v>
      </c>
      <c r="AA543">
        <f t="shared" si="138"/>
        <v>0</v>
      </c>
      <c r="AB543">
        <f t="shared" si="139"/>
        <v>8641.68</v>
      </c>
      <c r="AC543">
        <v>8641.68</v>
      </c>
      <c r="AD543">
        <v>5747.09</v>
      </c>
      <c r="AE543">
        <v>2894.59</v>
      </c>
      <c r="AF543" t="s">
        <v>33</v>
      </c>
      <c r="AG543" t="s">
        <v>124</v>
      </c>
      <c r="AH543" t="str">
        <f t="shared" si="135"/>
        <v>Returned</v>
      </c>
      <c r="AI543" t="str">
        <f t="shared" si="136"/>
        <v>Valid</v>
      </c>
      <c r="AJ543">
        <f t="shared" si="137"/>
        <v>2894.59</v>
      </c>
      <c r="AK543" s="12">
        <f t="shared" si="140"/>
        <v>0.33495686024013849</v>
      </c>
      <c r="AL543">
        <f t="shared" si="141"/>
        <v>7</v>
      </c>
      <c r="AM543">
        <f t="shared" si="142"/>
        <v>2025</v>
      </c>
      <c r="AN543" t="str">
        <f t="shared" si="143"/>
        <v>Clean</v>
      </c>
    </row>
    <row r="544" spans="1:40">
      <c r="A544" t="s">
        <v>2615</v>
      </c>
      <c r="B544" s="3" t="s">
        <v>2616</v>
      </c>
      <c r="C544" s="10">
        <v>45552</v>
      </c>
      <c r="D544" s="3" t="s">
        <v>2617</v>
      </c>
      <c r="E544" s="10">
        <v>45558</v>
      </c>
      <c r="F544" s="6" t="str">
        <f t="shared" si="128"/>
        <v>Valid</v>
      </c>
      <c r="G544" s="8">
        <f t="shared" si="129"/>
        <v>6</v>
      </c>
      <c r="H544" s="8" t="str">
        <f t="shared" si="130"/>
        <v>Valid</v>
      </c>
      <c r="I544" t="s">
        <v>2618</v>
      </c>
      <c r="J544" t="s">
        <v>147</v>
      </c>
      <c r="K544" t="s">
        <v>147</v>
      </c>
      <c r="L544" t="s">
        <v>114</v>
      </c>
      <c r="M544" s="3" t="str">
        <f t="shared" si="131"/>
        <v>Home Office</v>
      </c>
      <c r="N544" t="s">
        <v>61</v>
      </c>
      <c r="O544" s="3" t="str">
        <f t="shared" si="132"/>
        <v>South</v>
      </c>
      <c r="P544" t="s">
        <v>241</v>
      </c>
      <c r="Q544" t="s">
        <v>242</v>
      </c>
      <c r="R544" t="s">
        <v>44</v>
      </c>
      <c r="S544" s="3" t="str">
        <f t="shared" si="133"/>
        <v>Furniture</v>
      </c>
      <c r="T544" t="s">
        <v>203</v>
      </c>
      <c r="U544" t="s">
        <v>2619</v>
      </c>
      <c r="V544" t="s">
        <v>32</v>
      </c>
      <c r="W544" s="3" t="str">
        <f t="shared" si="134"/>
        <v>Second Class</v>
      </c>
      <c r="X544">
        <v>3</v>
      </c>
      <c r="Y544">
        <v>4067.62</v>
      </c>
      <c r="Z544">
        <v>0.2</v>
      </c>
      <c r="AA544">
        <f t="shared" si="138"/>
        <v>0.2</v>
      </c>
      <c r="AB544">
        <f t="shared" si="139"/>
        <v>9762.2880000000005</v>
      </c>
      <c r="AC544">
        <v>9988.5300000000007</v>
      </c>
      <c r="AD544">
        <v>8368.24</v>
      </c>
      <c r="AE544">
        <v>1394.05</v>
      </c>
      <c r="AF544" t="s">
        <v>33</v>
      </c>
      <c r="AG544" t="s">
        <v>2620</v>
      </c>
      <c r="AH544" t="str">
        <f t="shared" si="135"/>
        <v>Cancelled</v>
      </c>
      <c r="AI544" t="str">
        <f t="shared" si="136"/>
        <v>Valid</v>
      </c>
      <c r="AJ544">
        <f t="shared" si="137"/>
        <v>1620.2900000000009</v>
      </c>
      <c r="AK544" s="12">
        <f t="shared" si="140"/>
        <v>0.16597441091678516</v>
      </c>
      <c r="AL544">
        <f t="shared" si="141"/>
        <v>9</v>
      </c>
      <c r="AM544">
        <f t="shared" si="142"/>
        <v>2024</v>
      </c>
      <c r="AN544" t="str">
        <f t="shared" si="143"/>
        <v>Clean</v>
      </c>
    </row>
    <row r="545" spans="1:40">
      <c r="A545" t="s">
        <v>2621</v>
      </c>
      <c r="B545" s="3" t="s">
        <v>2622</v>
      </c>
      <c r="C545" s="10">
        <v>45487</v>
      </c>
      <c r="D545" s="3" t="s">
        <v>399</v>
      </c>
      <c r="E545" s="10">
        <v>45493</v>
      </c>
      <c r="F545" s="6" t="str">
        <f t="shared" si="128"/>
        <v>Valid</v>
      </c>
      <c r="G545" s="8">
        <f t="shared" si="129"/>
        <v>6</v>
      </c>
      <c r="H545" s="8" t="str">
        <f t="shared" si="130"/>
        <v>Valid</v>
      </c>
      <c r="I545" t="s">
        <v>2623</v>
      </c>
      <c r="J545" t="s">
        <v>39</v>
      </c>
      <c r="K545" t="s">
        <v>39</v>
      </c>
      <c r="L545" t="s">
        <v>25</v>
      </c>
      <c r="M545" s="3" t="str">
        <f t="shared" si="131"/>
        <v>Consumer</v>
      </c>
      <c r="N545" t="s">
        <v>41</v>
      </c>
      <c r="O545" s="3" t="str">
        <f t="shared" si="132"/>
        <v>East</v>
      </c>
      <c r="P545" t="s">
        <v>185</v>
      </c>
      <c r="Q545" t="s">
        <v>186</v>
      </c>
      <c r="R545" t="s">
        <v>85</v>
      </c>
      <c r="S545" s="3" t="str">
        <f t="shared" si="133"/>
        <v>Technology</v>
      </c>
      <c r="T545" t="s">
        <v>93</v>
      </c>
      <c r="U545" t="s">
        <v>2624</v>
      </c>
      <c r="V545" t="s">
        <v>47</v>
      </c>
      <c r="W545" s="3" t="str">
        <f t="shared" si="134"/>
        <v>Same Day</v>
      </c>
      <c r="X545">
        <v>1</v>
      </c>
      <c r="Y545">
        <v>492.67</v>
      </c>
      <c r="Z545">
        <v>0.15</v>
      </c>
      <c r="AA545">
        <f t="shared" si="138"/>
        <v>0.15</v>
      </c>
      <c r="AB545">
        <f t="shared" si="139"/>
        <v>418.76949999999999</v>
      </c>
      <c r="AC545">
        <v>418.77</v>
      </c>
      <c r="AD545">
        <v>313.72000000000003</v>
      </c>
      <c r="AE545">
        <v>105.05</v>
      </c>
      <c r="AF545" t="s">
        <v>33</v>
      </c>
      <c r="AG545" t="s">
        <v>34</v>
      </c>
      <c r="AH545" t="str">
        <f t="shared" si="135"/>
        <v>Completed</v>
      </c>
      <c r="AI545" t="str">
        <f t="shared" si="136"/>
        <v>Valid</v>
      </c>
      <c r="AJ545">
        <f t="shared" si="137"/>
        <v>105.04999999999995</v>
      </c>
      <c r="AK545" s="12">
        <f t="shared" si="140"/>
        <v>0.25085399008284975</v>
      </c>
      <c r="AL545">
        <f t="shared" si="141"/>
        <v>7</v>
      </c>
      <c r="AM545">
        <f t="shared" si="142"/>
        <v>2024</v>
      </c>
      <c r="AN545" t="str">
        <f t="shared" si="143"/>
        <v>Clean</v>
      </c>
    </row>
    <row r="546" spans="1:40">
      <c r="A546" t="s">
        <v>2625</v>
      </c>
      <c r="B546" s="3" t="s">
        <v>2626</v>
      </c>
      <c r="C546" s="10">
        <v>45686</v>
      </c>
      <c r="D546" s="3" t="s">
        <v>2059</v>
      </c>
      <c r="E546" s="10">
        <v>45693</v>
      </c>
      <c r="F546" s="6" t="str">
        <f t="shared" si="128"/>
        <v>Valid</v>
      </c>
      <c r="G546" s="8">
        <f t="shared" si="129"/>
        <v>7</v>
      </c>
      <c r="H546" s="8" t="str">
        <f t="shared" si="130"/>
        <v>Valid</v>
      </c>
      <c r="I546" t="s">
        <v>2627</v>
      </c>
      <c r="J546" t="s">
        <v>71</v>
      </c>
      <c r="K546" t="s">
        <v>71</v>
      </c>
      <c r="L546" t="s">
        <v>25</v>
      </c>
      <c r="M546" s="3" t="str">
        <f t="shared" si="131"/>
        <v>Consumer</v>
      </c>
      <c r="N546" t="s">
        <v>61</v>
      </c>
      <c r="O546" s="3" t="str">
        <f t="shared" si="132"/>
        <v>South</v>
      </c>
      <c r="P546" t="s">
        <v>241</v>
      </c>
      <c r="Q546" t="s">
        <v>242</v>
      </c>
      <c r="R546" t="s">
        <v>29</v>
      </c>
      <c r="S546" s="3" t="str">
        <f t="shared" si="133"/>
        <v>Office Supplies</v>
      </c>
      <c r="T546" t="s">
        <v>53</v>
      </c>
      <c r="U546" t="s">
        <v>2628</v>
      </c>
      <c r="V546" t="s">
        <v>47</v>
      </c>
      <c r="W546" s="3" t="str">
        <f t="shared" si="134"/>
        <v>Same Day</v>
      </c>
      <c r="X546">
        <v>8</v>
      </c>
      <c r="Y546">
        <v>3643.62</v>
      </c>
      <c r="Z546">
        <v>0.25</v>
      </c>
      <c r="AA546">
        <f t="shared" si="138"/>
        <v>0.25</v>
      </c>
      <c r="AB546">
        <f t="shared" si="139"/>
        <v>21861.72</v>
      </c>
      <c r="AC546">
        <v>21861.72</v>
      </c>
      <c r="AD546">
        <v>18464.34</v>
      </c>
      <c r="AE546">
        <v>3397.38</v>
      </c>
      <c r="AF546" t="s">
        <v>33</v>
      </c>
      <c r="AG546" t="s">
        <v>77</v>
      </c>
      <c r="AH546" t="str">
        <f t="shared" si="135"/>
        <v>Cancelled</v>
      </c>
      <c r="AI546" t="str">
        <f t="shared" si="136"/>
        <v>Valid</v>
      </c>
      <c r="AJ546">
        <f t="shared" si="137"/>
        <v>3397.380000000001</v>
      </c>
      <c r="AK546" s="12">
        <f t="shared" si="140"/>
        <v>0.1554031430280875</v>
      </c>
      <c r="AL546">
        <f t="shared" si="141"/>
        <v>1</v>
      </c>
      <c r="AM546">
        <f t="shared" si="142"/>
        <v>2025</v>
      </c>
      <c r="AN546" t="str">
        <f t="shared" si="143"/>
        <v>Clean</v>
      </c>
    </row>
    <row r="547" spans="1:40">
      <c r="A547" t="s">
        <v>2629</v>
      </c>
      <c r="B547" s="3" t="s">
        <v>2630</v>
      </c>
      <c r="C547" s="10">
        <v>45439</v>
      </c>
      <c r="D547" s="3" t="s">
        <v>2631</v>
      </c>
      <c r="E547" s="10">
        <v>45442</v>
      </c>
      <c r="F547" s="6" t="str">
        <f t="shared" si="128"/>
        <v>Valid</v>
      </c>
      <c r="G547" s="8">
        <f t="shared" si="129"/>
        <v>3</v>
      </c>
      <c r="H547" s="8" t="str">
        <f t="shared" si="130"/>
        <v>Valid</v>
      </c>
      <c r="I547" t="s">
        <v>2632</v>
      </c>
      <c r="J547" t="s">
        <v>365</v>
      </c>
      <c r="K547" t="s">
        <v>365</v>
      </c>
      <c r="L547" t="s">
        <v>40</v>
      </c>
      <c r="M547" s="3" t="str">
        <f t="shared" si="131"/>
        <v>Small Business</v>
      </c>
      <c r="N547" t="s">
        <v>41</v>
      </c>
      <c r="O547" s="3" t="str">
        <f t="shared" si="132"/>
        <v>East</v>
      </c>
      <c r="P547" t="s">
        <v>310</v>
      </c>
      <c r="Q547" t="s">
        <v>311</v>
      </c>
      <c r="R547" t="s">
        <v>29</v>
      </c>
      <c r="S547" s="3" t="str">
        <f t="shared" si="133"/>
        <v>Office Supplies</v>
      </c>
      <c r="T547" t="s">
        <v>155</v>
      </c>
      <c r="U547" t="s">
        <v>2633</v>
      </c>
      <c r="V547" t="s">
        <v>47</v>
      </c>
      <c r="W547" s="3" t="str">
        <f t="shared" si="134"/>
        <v>Same Day</v>
      </c>
      <c r="X547">
        <v>7</v>
      </c>
      <c r="Y547">
        <v>2900.86</v>
      </c>
      <c r="Z547">
        <v>0.15</v>
      </c>
      <c r="AA547">
        <f t="shared" si="138"/>
        <v>0.15</v>
      </c>
      <c r="AB547">
        <f t="shared" si="139"/>
        <v>17260.116999999998</v>
      </c>
      <c r="AC547">
        <v>17260.12</v>
      </c>
      <c r="AD547">
        <v>13513.51</v>
      </c>
      <c r="AE547">
        <v>3746.61</v>
      </c>
      <c r="AF547" t="s">
        <v>33</v>
      </c>
      <c r="AG547" t="s">
        <v>34</v>
      </c>
      <c r="AH547" t="str">
        <f t="shared" si="135"/>
        <v>Completed</v>
      </c>
      <c r="AI547" t="str">
        <f t="shared" si="136"/>
        <v>Valid</v>
      </c>
      <c r="AJ547">
        <f t="shared" si="137"/>
        <v>3746.6099999999988</v>
      </c>
      <c r="AK547" s="12">
        <f t="shared" si="140"/>
        <v>0.21706747410808391</v>
      </c>
      <c r="AL547">
        <f t="shared" si="141"/>
        <v>5</v>
      </c>
      <c r="AM547">
        <f t="shared" si="142"/>
        <v>2024</v>
      </c>
      <c r="AN547" t="str">
        <f t="shared" si="143"/>
        <v>Clean</v>
      </c>
    </row>
    <row r="548" spans="1:40">
      <c r="A548" t="s">
        <v>2634</v>
      </c>
      <c r="B548" s="3" t="s">
        <v>2635</v>
      </c>
      <c r="C548" s="10">
        <v>45883</v>
      </c>
      <c r="D548" s="3" t="s">
        <v>1490</v>
      </c>
      <c r="E548" s="10">
        <v>45891</v>
      </c>
      <c r="F548" s="6" t="str">
        <f t="shared" si="128"/>
        <v>Valid</v>
      </c>
      <c r="G548" s="8">
        <f t="shared" si="129"/>
        <v>8</v>
      </c>
      <c r="H548" s="8" t="str">
        <f t="shared" si="130"/>
        <v>Valid</v>
      </c>
      <c r="I548" t="s">
        <v>2636</v>
      </c>
      <c r="J548" t="s">
        <v>60</v>
      </c>
      <c r="K548" t="s">
        <v>60</v>
      </c>
      <c r="L548" t="s">
        <v>107</v>
      </c>
      <c r="M548" s="3" t="str">
        <f t="shared" si="131"/>
        <v>Corporate</v>
      </c>
      <c r="N548" t="s">
        <v>72</v>
      </c>
      <c r="O548" s="3" t="str">
        <f t="shared" si="132"/>
        <v>West</v>
      </c>
      <c r="P548" t="s">
        <v>234</v>
      </c>
      <c r="Q548" t="s">
        <v>235</v>
      </c>
      <c r="R548" t="s">
        <v>2637</v>
      </c>
      <c r="S548" s="3" t="str">
        <f t="shared" si="133"/>
        <v>Office Supplies</v>
      </c>
      <c r="T548" t="s">
        <v>30</v>
      </c>
      <c r="U548" t="s">
        <v>2638</v>
      </c>
      <c r="V548" t="s">
        <v>55</v>
      </c>
      <c r="W548" s="3" t="str">
        <f t="shared" si="134"/>
        <v>First Class</v>
      </c>
      <c r="X548">
        <v>5</v>
      </c>
      <c r="Y548">
        <v>2567.37</v>
      </c>
      <c r="Z548">
        <v>0.15</v>
      </c>
      <c r="AA548">
        <f t="shared" si="138"/>
        <v>0.15</v>
      </c>
      <c r="AB548">
        <f t="shared" si="139"/>
        <v>10911.322499999998</v>
      </c>
      <c r="AC548">
        <v>10911.32</v>
      </c>
      <c r="AD548">
        <v>6966.44</v>
      </c>
      <c r="AE548">
        <v>4395.17</v>
      </c>
      <c r="AF548" t="s">
        <v>33</v>
      </c>
      <c r="AG548" t="s">
        <v>34</v>
      </c>
      <c r="AH548" t="str">
        <f t="shared" si="135"/>
        <v>Completed</v>
      </c>
      <c r="AI548" t="str">
        <f t="shared" si="136"/>
        <v>Valid</v>
      </c>
      <c r="AJ548">
        <f t="shared" si="137"/>
        <v>3944.88</v>
      </c>
      <c r="AK548" s="12">
        <f t="shared" si="140"/>
        <v>0.36154004246506333</v>
      </c>
      <c r="AL548">
        <f t="shared" si="141"/>
        <v>8</v>
      </c>
      <c r="AM548">
        <f t="shared" si="142"/>
        <v>2025</v>
      </c>
      <c r="AN548" t="str">
        <f t="shared" si="143"/>
        <v>Clean</v>
      </c>
    </row>
    <row r="549" spans="1:40">
      <c r="A549" t="s">
        <v>2639</v>
      </c>
      <c r="B549" s="3" t="s">
        <v>2640</v>
      </c>
      <c r="C549" s="10">
        <v>45428</v>
      </c>
      <c r="D549" s="3" t="s">
        <v>2641</v>
      </c>
      <c r="E549" s="10">
        <v>45435</v>
      </c>
      <c r="F549" s="6" t="str">
        <f t="shared" si="128"/>
        <v>Valid</v>
      </c>
      <c r="G549" s="8">
        <f t="shared" si="129"/>
        <v>7</v>
      </c>
      <c r="H549" s="8" t="str">
        <f t="shared" si="130"/>
        <v>Valid</v>
      </c>
      <c r="I549" t="s">
        <v>2642</v>
      </c>
      <c r="J549" t="s">
        <v>92</v>
      </c>
      <c r="K549" t="s">
        <v>92</v>
      </c>
      <c r="L549" t="s">
        <v>40</v>
      </c>
      <c r="M549" s="3" t="str">
        <f t="shared" si="131"/>
        <v>Small Business</v>
      </c>
      <c r="N549" t="s">
        <v>26</v>
      </c>
      <c r="O549" s="3" t="str">
        <f t="shared" si="132"/>
        <v>North</v>
      </c>
      <c r="P549" t="s">
        <v>173</v>
      </c>
      <c r="Q549" t="s">
        <v>174</v>
      </c>
      <c r="R549" t="s">
        <v>85</v>
      </c>
      <c r="S549" s="3" t="str">
        <f t="shared" si="133"/>
        <v>Technology</v>
      </c>
      <c r="T549" t="s">
        <v>93</v>
      </c>
      <c r="U549" t="s">
        <v>2643</v>
      </c>
      <c r="V549" t="s">
        <v>66</v>
      </c>
      <c r="W549" s="3" t="str">
        <f t="shared" si="134"/>
        <v>Standard Class</v>
      </c>
      <c r="X549">
        <v>9</v>
      </c>
      <c r="Y549">
        <v>3722.09</v>
      </c>
      <c r="Z549">
        <v>0.1</v>
      </c>
      <c r="AA549">
        <f t="shared" si="138"/>
        <v>0.1</v>
      </c>
      <c r="AB549">
        <f t="shared" si="139"/>
        <v>30148.929</v>
      </c>
      <c r="AC549">
        <v>30148.93</v>
      </c>
      <c r="AD549">
        <v>25155.07</v>
      </c>
      <c r="AE549">
        <v>4993.8599999999997</v>
      </c>
      <c r="AF549" t="s">
        <v>33</v>
      </c>
      <c r="AG549" t="s">
        <v>34</v>
      </c>
      <c r="AH549" t="str">
        <f t="shared" si="135"/>
        <v>Completed</v>
      </c>
      <c r="AI549" t="str">
        <f t="shared" si="136"/>
        <v>Valid</v>
      </c>
      <c r="AJ549">
        <f t="shared" si="137"/>
        <v>4993.8600000000006</v>
      </c>
      <c r="AK549" s="12">
        <f t="shared" si="140"/>
        <v>0.16563971476399711</v>
      </c>
      <c r="AL549">
        <f t="shared" si="141"/>
        <v>5</v>
      </c>
      <c r="AM549">
        <f t="shared" si="142"/>
        <v>2024</v>
      </c>
      <c r="AN549" t="str">
        <f t="shared" si="143"/>
        <v>Clean</v>
      </c>
    </row>
    <row r="550" spans="1:40">
      <c r="A550" t="s">
        <v>2644</v>
      </c>
      <c r="B550" s="3" t="s">
        <v>273</v>
      </c>
      <c r="C550" s="10">
        <v>45441</v>
      </c>
      <c r="D550" s="3" t="s">
        <v>272</v>
      </c>
      <c r="E550" s="10">
        <v>45441</v>
      </c>
      <c r="F550" s="6" t="str">
        <f t="shared" si="128"/>
        <v>Valid</v>
      </c>
      <c r="G550" s="8">
        <f t="shared" si="129"/>
        <v>0</v>
      </c>
      <c r="H550" s="8" t="str">
        <f t="shared" si="130"/>
        <v>Valid</v>
      </c>
      <c r="I550" t="s">
        <v>2645</v>
      </c>
      <c r="J550" t="s">
        <v>179</v>
      </c>
      <c r="K550" t="s">
        <v>179</v>
      </c>
      <c r="L550" t="s">
        <v>107</v>
      </c>
      <c r="M550" s="3" t="str">
        <f t="shared" si="131"/>
        <v>Corporate</v>
      </c>
      <c r="N550" t="s">
        <v>41</v>
      </c>
      <c r="O550" s="3" t="str">
        <f t="shared" si="132"/>
        <v>East</v>
      </c>
      <c r="P550" t="s">
        <v>185</v>
      </c>
      <c r="Q550" t="s">
        <v>186</v>
      </c>
      <c r="R550" t="s">
        <v>44</v>
      </c>
      <c r="S550" s="3" t="str">
        <f t="shared" si="133"/>
        <v>Furniture</v>
      </c>
      <c r="T550" t="s">
        <v>203</v>
      </c>
      <c r="U550" t="s">
        <v>2646</v>
      </c>
      <c r="V550" t="s">
        <v>47</v>
      </c>
      <c r="W550" s="3" t="str">
        <f t="shared" si="134"/>
        <v>Same Day</v>
      </c>
      <c r="X550">
        <v>1</v>
      </c>
      <c r="Y550">
        <v>1072.01</v>
      </c>
      <c r="Z550">
        <v>0</v>
      </c>
      <c r="AA550">
        <f t="shared" si="138"/>
        <v>0</v>
      </c>
      <c r="AB550">
        <f t="shared" si="139"/>
        <v>1072.01</v>
      </c>
      <c r="AC550">
        <v>1072.01</v>
      </c>
      <c r="AD550">
        <v>852.62</v>
      </c>
      <c r="AE550">
        <v>219.39</v>
      </c>
      <c r="AF550" t="s">
        <v>136</v>
      </c>
      <c r="AG550" t="s">
        <v>77</v>
      </c>
      <c r="AH550" t="str">
        <f t="shared" si="135"/>
        <v>Cancelled</v>
      </c>
      <c r="AI550" t="str">
        <f t="shared" si="136"/>
        <v>Valid</v>
      </c>
      <c r="AJ550">
        <f t="shared" si="137"/>
        <v>219.39</v>
      </c>
      <c r="AK550" s="12">
        <f t="shared" si="140"/>
        <v>0.20465294167032022</v>
      </c>
      <c r="AL550">
        <f t="shared" si="141"/>
        <v>5</v>
      </c>
      <c r="AM550">
        <f t="shared" si="142"/>
        <v>2024</v>
      </c>
      <c r="AN550" t="str">
        <f t="shared" si="143"/>
        <v>Clean</v>
      </c>
    </row>
    <row r="551" spans="1:40">
      <c r="A551" t="s">
        <v>2647</v>
      </c>
      <c r="B551" s="3" t="s">
        <v>2648</v>
      </c>
      <c r="C551" s="10">
        <v>45941</v>
      </c>
      <c r="D551" s="3" t="s">
        <v>2649</v>
      </c>
      <c r="E551" s="10">
        <v>45943</v>
      </c>
      <c r="F551" s="6" t="str">
        <f t="shared" si="128"/>
        <v>Valid</v>
      </c>
      <c r="G551" s="8">
        <f t="shared" si="129"/>
        <v>2</v>
      </c>
      <c r="H551" s="8" t="str">
        <f t="shared" si="130"/>
        <v>Valid</v>
      </c>
      <c r="I551" t="s">
        <v>2650</v>
      </c>
      <c r="J551" t="s">
        <v>39</v>
      </c>
      <c r="K551" t="s">
        <v>39</v>
      </c>
      <c r="L551" t="s">
        <v>107</v>
      </c>
      <c r="M551" s="3" t="str">
        <f t="shared" si="131"/>
        <v>Corporate</v>
      </c>
      <c r="N551" t="s">
        <v>61</v>
      </c>
      <c r="O551" s="3" t="str">
        <f t="shared" si="132"/>
        <v>South</v>
      </c>
      <c r="P551" t="s">
        <v>62</v>
      </c>
      <c r="Q551" t="s">
        <v>63</v>
      </c>
      <c r="R551" t="s">
        <v>29</v>
      </c>
      <c r="S551" s="3" t="str">
        <f t="shared" si="133"/>
        <v>Office Supplies</v>
      </c>
      <c r="T551" t="s">
        <v>53</v>
      </c>
      <c r="U551" t="s">
        <v>2651</v>
      </c>
      <c r="V551" t="s">
        <v>32</v>
      </c>
      <c r="W551" s="3" t="str">
        <f t="shared" si="134"/>
        <v>Second Class</v>
      </c>
      <c r="X551">
        <v>3</v>
      </c>
      <c r="Y551">
        <v>3804.27</v>
      </c>
      <c r="Z551">
        <v>0.1</v>
      </c>
      <c r="AA551">
        <f t="shared" si="138"/>
        <v>0.1</v>
      </c>
      <c r="AB551">
        <f t="shared" si="139"/>
        <v>10271.529</v>
      </c>
      <c r="AC551">
        <v>10271.530000000001</v>
      </c>
      <c r="AD551">
        <v>8272.24</v>
      </c>
      <c r="AE551">
        <v>1999.29</v>
      </c>
      <c r="AF551" t="s">
        <v>33</v>
      </c>
      <c r="AG551" t="s">
        <v>34</v>
      </c>
      <c r="AH551" t="str">
        <f t="shared" si="135"/>
        <v>Completed</v>
      </c>
      <c r="AI551" t="str">
        <f t="shared" si="136"/>
        <v>Valid</v>
      </c>
      <c r="AJ551">
        <f t="shared" si="137"/>
        <v>1999.2900000000009</v>
      </c>
      <c r="AK551" s="12">
        <f t="shared" si="140"/>
        <v>0.1946438548730185</v>
      </c>
      <c r="AL551">
        <f t="shared" si="141"/>
        <v>10</v>
      </c>
      <c r="AM551">
        <f t="shared" si="142"/>
        <v>2025</v>
      </c>
      <c r="AN551" t="str">
        <f t="shared" si="143"/>
        <v>Clean</v>
      </c>
    </row>
    <row r="552" spans="1:40">
      <c r="A552" t="s">
        <v>2652</v>
      </c>
      <c r="B552" s="3" t="s">
        <v>537</v>
      </c>
      <c r="C552" s="10">
        <v>45506</v>
      </c>
      <c r="D552" s="3" t="s">
        <v>2653</v>
      </c>
      <c r="E552" s="10">
        <v>45514</v>
      </c>
      <c r="F552" s="6" t="str">
        <f t="shared" si="128"/>
        <v>Valid</v>
      </c>
      <c r="G552" s="8">
        <f t="shared" si="129"/>
        <v>8</v>
      </c>
      <c r="H552" s="8" t="str">
        <f t="shared" si="130"/>
        <v>Valid</v>
      </c>
      <c r="I552" t="s">
        <v>2654</v>
      </c>
      <c r="J552" t="s">
        <v>39</v>
      </c>
      <c r="K552" t="s">
        <v>39</v>
      </c>
      <c r="L552" t="s">
        <v>114</v>
      </c>
      <c r="M552" s="3" t="str">
        <f t="shared" si="131"/>
        <v>Home Office</v>
      </c>
      <c r="N552" t="s">
        <v>41</v>
      </c>
      <c r="O552" s="3" t="str">
        <f t="shared" si="132"/>
        <v>East</v>
      </c>
      <c r="P552" t="s">
        <v>42</v>
      </c>
      <c r="Q552" t="s">
        <v>43</v>
      </c>
      <c r="R552" t="s">
        <v>85</v>
      </c>
      <c r="S552" s="3" t="str">
        <f t="shared" si="133"/>
        <v>Technology</v>
      </c>
      <c r="T552" t="s">
        <v>86</v>
      </c>
      <c r="U552" t="s">
        <v>2655</v>
      </c>
      <c r="V552" t="s">
        <v>66</v>
      </c>
      <c r="W552" s="3" t="str">
        <f t="shared" si="134"/>
        <v>Standard Class</v>
      </c>
      <c r="X552">
        <v>6</v>
      </c>
      <c r="Y552">
        <v>2126.44</v>
      </c>
      <c r="Z552">
        <v>0.2</v>
      </c>
      <c r="AA552">
        <f t="shared" si="138"/>
        <v>0.2</v>
      </c>
      <c r="AB552">
        <f t="shared" si="139"/>
        <v>10206.912</v>
      </c>
      <c r="AC552">
        <v>10206.91</v>
      </c>
      <c r="AD552">
        <v>6764.53</v>
      </c>
      <c r="AE552">
        <v>3442.38</v>
      </c>
      <c r="AF552" t="s">
        <v>33</v>
      </c>
      <c r="AG552" t="s">
        <v>34</v>
      </c>
      <c r="AH552" t="str">
        <f t="shared" si="135"/>
        <v>Completed</v>
      </c>
      <c r="AI552" t="str">
        <f t="shared" si="136"/>
        <v>Valid</v>
      </c>
      <c r="AJ552">
        <f t="shared" si="137"/>
        <v>3442.38</v>
      </c>
      <c r="AK552" s="12">
        <f t="shared" si="140"/>
        <v>0.33725969225560093</v>
      </c>
      <c r="AL552">
        <f t="shared" si="141"/>
        <v>8</v>
      </c>
      <c r="AM552">
        <f t="shared" si="142"/>
        <v>2024</v>
      </c>
      <c r="AN552" t="str">
        <f t="shared" si="143"/>
        <v>Clean</v>
      </c>
    </row>
    <row r="553" spans="1:40">
      <c r="A553" t="s">
        <v>2656</v>
      </c>
      <c r="B553" s="3" t="s">
        <v>2088</v>
      </c>
      <c r="C553" s="10">
        <v>45349</v>
      </c>
      <c r="D553" s="3" t="s">
        <v>2657</v>
      </c>
      <c r="E553" s="10">
        <v>45349</v>
      </c>
      <c r="F553" s="6" t="str">
        <f t="shared" si="128"/>
        <v>Valid</v>
      </c>
      <c r="G553" s="8">
        <f t="shared" si="129"/>
        <v>0</v>
      </c>
      <c r="H553" s="8" t="str">
        <f t="shared" si="130"/>
        <v>Valid</v>
      </c>
      <c r="I553" t="s">
        <v>2658</v>
      </c>
      <c r="J553" t="s">
        <v>167</v>
      </c>
      <c r="K553" t="s">
        <v>167</v>
      </c>
      <c r="L553" t="s">
        <v>25</v>
      </c>
      <c r="M553" s="3" t="str">
        <f t="shared" si="131"/>
        <v>Consumer</v>
      </c>
      <c r="N553" t="s">
        <v>41</v>
      </c>
      <c r="O553" s="3" t="str">
        <f t="shared" si="132"/>
        <v>East</v>
      </c>
      <c r="P553" t="s">
        <v>310</v>
      </c>
      <c r="Q553" t="s">
        <v>311</v>
      </c>
      <c r="R553" t="s">
        <v>44</v>
      </c>
      <c r="S553" s="3" t="str">
        <f t="shared" si="133"/>
        <v>Furniture</v>
      </c>
      <c r="T553" t="s">
        <v>75</v>
      </c>
      <c r="U553" t="s">
        <v>2659</v>
      </c>
      <c r="V553" t="s">
        <v>32</v>
      </c>
      <c r="W553" s="3" t="str">
        <f t="shared" si="134"/>
        <v>Second Class</v>
      </c>
      <c r="X553">
        <v>3</v>
      </c>
      <c r="Y553">
        <v>3148.09</v>
      </c>
      <c r="Z553">
        <v>0.15</v>
      </c>
      <c r="AA553">
        <f t="shared" si="138"/>
        <v>0.15</v>
      </c>
      <c r="AB553">
        <f t="shared" si="139"/>
        <v>8027.6295</v>
      </c>
      <c r="AC553">
        <v>8027.63</v>
      </c>
      <c r="AD553">
        <v>5496.09</v>
      </c>
      <c r="AE553">
        <v>2531.54</v>
      </c>
      <c r="AF553" t="s">
        <v>33</v>
      </c>
      <c r="AG553" t="s">
        <v>34</v>
      </c>
      <c r="AH553" t="str">
        <f t="shared" si="135"/>
        <v>Completed</v>
      </c>
      <c r="AI553" t="str">
        <f t="shared" si="136"/>
        <v>Valid</v>
      </c>
      <c r="AJ553">
        <f t="shared" si="137"/>
        <v>2531.54</v>
      </c>
      <c r="AK553" s="12">
        <f t="shared" si="140"/>
        <v>0.31535336801480435</v>
      </c>
      <c r="AL553">
        <f t="shared" si="141"/>
        <v>2</v>
      </c>
      <c r="AM553">
        <f t="shared" si="142"/>
        <v>2024</v>
      </c>
      <c r="AN553" t="str">
        <f t="shared" si="143"/>
        <v>Clean</v>
      </c>
    </row>
    <row r="554" spans="1:40">
      <c r="A554" t="s">
        <v>2660</v>
      </c>
      <c r="B554" s="3" t="s">
        <v>189</v>
      </c>
      <c r="C554" s="10">
        <v>45681</v>
      </c>
      <c r="D554" s="3" t="s">
        <v>342</v>
      </c>
      <c r="E554" s="10">
        <v>45687</v>
      </c>
      <c r="F554" s="6" t="str">
        <f t="shared" si="128"/>
        <v>Valid</v>
      </c>
      <c r="G554" s="8">
        <f t="shared" si="129"/>
        <v>6</v>
      </c>
      <c r="H554" s="8" t="str">
        <f t="shared" si="130"/>
        <v>Valid</v>
      </c>
      <c r="I554" t="s">
        <v>2661</v>
      </c>
      <c r="J554" t="s">
        <v>71</v>
      </c>
      <c r="K554" t="s">
        <v>71</v>
      </c>
      <c r="L554" t="s">
        <v>107</v>
      </c>
      <c r="M554" s="3" t="str">
        <f t="shared" si="131"/>
        <v>Corporate</v>
      </c>
      <c r="N554" t="s">
        <v>41</v>
      </c>
      <c r="O554" s="3" t="str">
        <f t="shared" si="132"/>
        <v>East</v>
      </c>
      <c r="P554" t="s">
        <v>120</v>
      </c>
      <c r="Q554" t="s">
        <v>121</v>
      </c>
      <c r="R554" t="s">
        <v>85</v>
      </c>
      <c r="S554" s="3" t="str">
        <f t="shared" si="133"/>
        <v>Technology</v>
      </c>
      <c r="T554" t="s">
        <v>93</v>
      </c>
      <c r="U554" t="s">
        <v>2662</v>
      </c>
      <c r="V554" t="s">
        <v>66</v>
      </c>
      <c r="W554" s="3" t="str">
        <f t="shared" si="134"/>
        <v>Standard Class</v>
      </c>
      <c r="X554">
        <v>8</v>
      </c>
      <c r="Y554">
        <v>312.52999999999997</v>
      </c>
      <c r="Z554" t="s">
        <v>680</v>
      </c>
      <c r="AA554" t="str">
        <f t="shared" si="138"/>
        <v>70%</v>
      </c>
      <c r="AB554">
        <f t="shared" si="139"/>
        <v>750.072</v>
      </c>
      <c r="AC554">
        <v>1875.18</v>
      </c>
      <c r="AD554">
        <v>1579.17</v>
      </c>
      <c r="AE554">
        <v>296.01</v>
      </c>
      <c r="AF554" t="s">
        <v>33</v>
      </c>
      <c r="AG554" t="s">
        <v>34</v>
      </c>
      <c r="AH554" t="str">
        <f t="shared" si="135"/>
        <v>Completed</v>
      </c>
      <c r="AI554" t="str">
        <f t="shared" si="136"/>
        <v>Invalid - Discount Above Range</v>
      </c>
      <c r="AJ554">
        <f t="shared" si="137"/>
        <v>296.01</v>
      </c>
      <c r="AK554" s="12">
        <f t="shared" si="140"/>
        <v>0.39464211435702173</v>
      </c>
      <c r="AL554">
        <f t="shared" si="141"/>
        <v>1</v>
      </c>
      <c r="AM554">
        <f t="shared" si="142"/>
        <v>2025</v>
      </c>
      <c r="AN554" t="str">
        <f t="shared" si="143"/>
        <v>Clean</v>
      </c>
    </row>
    <row r="555" spans="1:40">
      <c r="A555" t="s">
        <v>2663</v>
      </c>
      <c r="B555" s="3" t="s">
        <v>2664</v>
      </c>
      <c r="C555" s="10">
        <v>45772</v>
      </c>
      <c r="D555" s="3" t="s">
        <v>2665</v>
      </c>
      <c r="E555" s="10">
        <v>45775</v>
      </c>
      <c r="F555" s="6" t="str">
        <f t="shared" si="128"/>
        <v>Valid</v>
      </c>
      <c r="G555" s="8">
        <f t="shared" si="129"/>
        <v>3</v>
      </c>
      <c r="H555" s="8" t="str">
        <f t="shared" si="130"/>
        <v>Valid</v>
      </c>
      <c r="I555" t="s">
        <v>2666</v>
      </c>
      <c r="J555" t="s">
        <v>161</v>
      </c>
      <c r="K555" t="s">
        <v>161</v>
      </c>
      <c r="L555" t="s">
        <v>40</v>
      </c>
      <c r="M555" s="3" t="str">
        <f t="shared" si="131"/>
        <v>Small Business</v>
      </c>
      <c r="N555" t="s">
        <v>72</v>
      </c>
      <c r="O555" s="3" t="str">
        <f t="shared" si="132"/>
        <v>West</v>
      </c>
      <c r="P555" t="s">
        <v>234</v>
      </c>
      <c r="Q555" t="s">
        <v>235</v>
      </c>
      <c r="R555" t="s">
        <v>29</v>
      </c>
      <c r="S555" s="3" t="str">
        <f t="shared" si="133"/>
        <v>Office Supplies</v>
      </c>
      <c r="T555" t="s">
        <v>155</v>
      </c>
      <c r="U555" t="s">
        <v>2667</v>
      </c>
      <c r="V555" t="s">
        <v>55</v>
      </c>
      <c r="W555" s="3" t="str">
        <f t="shared" si="134"/>
        <v>First Class</v>
      </c>
      <c r="X555">
        <v>9</v>
      </c>
      <c r="Y555">
        <v>1294.1099999999999</v>
      </c>
      <c r="Z555">
        <v>0.25</v>
      </c>
      <c r="AA555">
        <f t="shared" si="138"/>
        <v>0.25</v>
      </c>
      <c r="AB555">
        <f t="shared" si="139"/>
        <v>8735.2425000000003</v>
      </c>
      <c r="AC555">
        <v>8735.24</v>
      </c>
      <c r="AD555">
        <v>6620.07</v>
      </c>
      <c r="AE555">
        <v>2115.17</v>
      </c>
      <c r="AF555" t="s">
        <v>33</v>
      </c>
      <c r="AG555" t="s">
        <v>34</v>
      </c>
      <c r="AH555" t="str">
        <f t="shared" si="135"/>
        <v>Completed</v>
      </c>
      <c r="AI555" t="str">
        <f t="shared" si="136"/>
        <v>Valid</v>
      </c>
      <c r="AJ555">
        <f t="shared" si="137"/>
        <v>2115.17</v>
      </c>
      <c r="AK555" s="12">
        <f t="shared" si="140"/>
        <v>0.24214210424038027</v>
      </c>
      <c r="AL555">
        <f t="shared" si="141"/>
        <v>4</v>
      </c>
      <c r="AM555">
        <f t="shared" si="142"/>
        <v>2025</v>
      </c>
      <c r="AN555" t="str">
        <f t="shared" si="143"/>
        <v>Clean</v>
      </c>
    </row>
    <row r="556" spans="1:40">
      <c r="A556" t="s">
        <v>2668</v>
      </c>
      <c r="B556" s="3" t="s">
        <v>2669</v>
      </c>
      <c r="C556" s="10">
        <v>45577</v>
      </c>
      <c r="D556" s="3" t="s">
        <v>2670</v>
      </c>
      <c r="E556" s="10">
        <v>45582</v>
      </c>
      <c r="F556" s="6" t="str">
        <f t="shared" si="128"/>
        <v>Valid</v>
      </c>
      <c r="G556" s="8">
        <f t="shared" si="129"/>
        <v>5</v>
      </c>
      <c r="H556" s="8" t="str">
        <f t="shared" si="130"/>
        <v>Valid</v>
      </c>
      <c r="I556" t="s">
        <v>2671</v>
      </c>
      <c r="J556" t="s">
        <v>60</v>
      </c>
      <c r="K556" t="s">
        <v>60</v>
      </c>
      <c r="L556" t="s">
        <v>25</v>
      </c>
      <c r="M556" s="3" t="str">
        <f t="shared" si="131"/>
        <v>Consumer</v>
      </c>
      <c r="O556" s="3" t="str">
        <f t="shared" si="132"/>
        <v>Unknown</v>
      </c>
      <c r="P556" t="s">
        <v>310</v>
      </c>
      <c r="Q556" t="s">
        <v>311</v>
      </c>
      <c r="R556" t="s">
        <v>44</v>
      </c>
      <c r="S556" s="3" t="str">
        <f t="shared" si="133"/>
        <v>Furniture</v>
      </c>
      <c r="T556" t="s">
        <v>64</v>
      </c>
      <c r="U556" t="s">
        <v>2672</v>
      </c>
      <c r="V556" t="s">
        <v>66</v>
      </c>
      <c r="W556" s="3" t="str">
        <f t="shared" si="134"/>
        <v>Standard Class</v>
      </c>
      <c r="X556">
        <v>4</v>
      </c>
      <c r="Y556">
        <v>1071.22</v>
      </c>
      <c r="Z556">
        <v>0.05</v>
      </c>
      <c r="AA556">
        <f t="shared" si="138"/>
        <v>0.05</v>
      </c>
      <c r="AB556">
        <f t="shared" si="139"/>
        <v>4070.636</v>
      </c>
      <c r="AC556">
        <v>4070.64</v>
      </c>
      <c r="AD556">
        <v>2831.62</v>
      </c>
      <c r="AE556">
        <v>1239.02</v>
      </c>
      <c r="AF556" t="s">
        <v>33</v>
      </c>
      <c r="AG556" t="s">
        <v>34</v>
      </c>
      <c r="AH556" t="str">
        <f t="shared" si="135"/>
        <v>Completed</v>
      </c>
      <c r="AI556" t="str">
        <f t="shared" si="136"/>
        <v>Valid</v>
      </c>
      <c r="AJ556">
        <f t="shared" si="137"/>
        <v>1239.02</v>
      </c>
      <c r="AK556" s="12">
        <f t="shared" si="140"/>
        <v>0.30437995438550636</v>
      </c>
      <c r="AL556">
        <f t="shared" si="141"/>
        <v>10</v>
      </c>
      <c r="AM556">
        <f t="shared" si="142"/>
        <v>2024</v>
      </c>
      <c r="AN556" t="str">
        <f t="shared" si="143"/>
        <v>Clean</v>
      </c>
    </row>
    <row r="557" spans="1:40">
      <c r="A557" t="s">
        <v>2673</v>
      </c>
      <c r="B557" s="3" t="s">
        <v>881</v>
      </c>
      <c r="C557" s="10">
        <v>45692</v>
      </c>
      <c r="D557" s="3" t="s">
        <v>2674</v>
      </c>
      <c r="E557" s="10">
        <v>45698</v>
      </c>
      <c r="F557" s="6" t="str">
        <f t="shared" si="128"/>
        <v>Valid</v>
      </c>
      <c r="G557" s="8">
        <f t="shared" si="129"/>
        <v>6</v>
      </c>
      <c r="H557" s="8" t="str">
        <f t="shared" si="130"/>
        <v>Valid</v>
      </c>
      <c r="I557" t="s">
        <v>2675</v>
      </c>
      <c r="J557" t="s">
        <v>71</v>
      </c>
      <c r="K557" t="s">
        <v>71</v>
      </c>
      <c r="L557" t="s">
        <v>40</v>
      </c>
      <c r="M557" s="3" t="str">
        <f t="shared" si="131"/>
        <v>Small Business</v>
      </c>
      <c r="N557" t="s">
        <v>61</v>
      </c>
      <c r="O557" s="3" t="str">
        <f t="shared" si="132"/>
        <v>South</v>
      </c>
      <c r="P557" t="s">
        <v>62</v>
      </c>
      <c r="Q557" t="s">
        <v>63</v>
      </c>
      <c r="R557" t="s">
        <v>29</v>
      </c>
      <c r="S557" s="3" t="str">
        <f t="shared" si="133"/>
        <v>Office Supplies</v>
      </c>
      <c r="T557" t="s">
        <v>155</v>
      </c>
      <c r="U557" t="s">
        <v>2676</v>
      </c>
      <c r="V557" t="s">
        <v>66</v>
      </c>
      <c r="W557" s="3" t="str">
        <f t="shared" si="134"/>
        <v>Standard Class</v>
      </c>
      <c r="X557">
        <v>6</v>
      </c>
      <c r="Y557">
        <v>1042.8</v>
      </c>
      <c r="Z557">
        <v>0.05</v>
      </c>
      <c r="AA557">
        <f t="shared" si="138"/>
        <v>0.05</v>
      </c>
      <c r="AB557">
        <f t="shared" si="139"/>
        <v>5943.9599999999991</v>
      </c>
      <c r="AC557">
        <v>5943.96</v>
      </c>
      <c r="AD557">
        <v>3604.14</v>
      </c>
      <c r="AE557">
        <v>2339.8200000000002</v>
      </c>
      <c r="AF557" t="s">
        <v>33</v>
      </c>
      <c r="AG557" t="s">
        <v>34</v>
      </c>
      <c r="AH557" t="str">
        <f t="shared" si="135"/>
        <v>Completed</v>
      </c>
      <c r="AI557" t="str">
        <f t="shared" si="136"/>
        <v>Valid</v>
      </c>
      <c r="AJ557">
        <f t="shared" si="137"/>
        <v>2339.8200000000002</v>
      </c>
      <c r="AK557" s="12">
        <f t="shared" si="140"/>
        <v>0.39364665980255598</v>
      </c>
      <c r="AL557">
        <f t="shared" si="141"/>
        <v>2</v>
      </c>
      <c r="AM557">
        <f t="shared" si="142"/>
        <v>2025</v>
      </c>
      <c r="AN557" t="str">
        <f t="shared" si="143"/>
        <v>Clean</v>
      </c>
    </row>
    <row r="558" spans="1:40">
      <c r="A558" t="s">
        <v>2677</v>
      </c>
      <c r="B558" s="3" t="s">
        <v>1552</v>
      </c>
      <c r="C558" s="10">
        <v>45466</v>
      </c>
      <c r="D558" s="3" t="s">
        <v>2094</v>
      </c>
      <c r="E558" s="10">
        <v>45472</v>
      </c>
      <c r="F558" s="6" t="str">
        <f t="shared" si="128"/>
        <v>Valid</v>
      </c>
      <c r="G558" s="8">
        <f t="shared" si="129"/>
        <v>6</v>
      </c>
      <c r="H558" s="8" t="str">
        <f t="shared" si="130"/>
        <v>Valid</v>
      </c>
      <c r="I558" t="s">
        <v>2678</v>
      </c>
      <c r="J558" t="s">
        <v>92</v>
      </c>
      <c r="K558" t="s">
        <v>92</v>
      </c>
      <c r="L558" t="s">
        <v>25</v>
      </c>
      <c r="M558" s="3" t="str">
        <f t="shared" si="131"/>
        <v>Consumer</v>
      </c>
      <c r="N558" t="s">
        <v>26</v>
      </c>
      <c r="O558" s="3" t="str">
        <f t="shared" si="132"/>
        <v>North</v>
      </c>
      <c r="P558" t="s">
        <v>322</v>
      </c>
      <c r="Q558" t="s">
        <v>323</v>
      </c>
      <c r="R558" t="s">
        <v>44</v>
      </c>
      <c r="S558" s="3" t="str">
        <f t="shared" si="133"/>
        <v>Furniture</v>
      </c>
      <c r="T558" t="s">
        <v>45</v>
      </c>
      <c r="U558" t="s">
        <v>2679</v>
      </c>
      <c r="V558" t="s">
        <v>55</v>
      </c>
      <c r="W558" s="3" t="str">
        <f t="shared" si="134"/>
        <v>First Class</v>
      </c>
      <c r="X558">
        <v>1</v>
      </c>
      <c r="Y558">
        <v>4426.66</v>
      </c>
      <c r="Z558">
        <v>0</v>
      </c>
      <c r="AA558">
        <f t="shared" si="138"/>
        <v>0</v>
      </c>
      <c r="AB558">
        <f t="shared" si="139"/>
        <v>4426.66</v>
      </c>
      <c r="AC558">
        <v>4426.66</v>
      </c>
      <c r="AD558">
        <v>3035.2</v>
      </c>
      <c r="AE558">
        <v>1816.23</v>
      </c>
      <c r="AF558" t="s">
        <v>33</v>
      </c>
      <c r="AG558" t="s">
        <v>124</v>
      </c>
      <c r="AH558" t="str">
        <f t="shared" si="135"/>
        <v>Returned</v>
      </c>
      <c r="AI558" t="str">
        <f t="shared" si="136"/>
        <v>Valid</v>
      </c>
      <c r="AJ558">
        <f t="shared" si="137"/>
        <v>1391.46</v>
      </c>
      <c r="AK558" s="12">
        <f t="shared" si="140"/>
        <v>0.31433631677156143</v>
      </c>
      <c r="AL558">
        <f t="shared" si="141"/>
        <v>6</v>
      </c>
      <c r="AM558">
        <f t="shared" si="142"/>
        <v>2024</v>
      </c>
      <c r="AN558" t="str">
        <f t="shared" si="143"/>
        <v>Clean</v>
      </c>
    </row>
    <row r="559" spans="1:40">
      <c r="A559" t="s">
        <v>2680</v>
      </c>
      <c r="B559" s="3" t="s">
        <v>2681</v>
      </c>
      <c r="C559" s="10">
        <v>45420</v>
      </c>
      <c r="D559" s="3" t="s">
        <v>2682</v>
      </c>
      <c r="E559" s="10">
        <v>45426</v>
      </c>
      <c r="F559" s="6" t="str">
        <f t="shared" si="128"/>
        <v>Valid</v>
      </c>
      <c r="G559" s="8">
        <f t="shared" si="129"/>
        <v>6</v>
      </c>
      <c r="H559" s="8" t="str">
        <f t="shared" si="130"/>
        <v>Valid</v>
      </c>
      <c r="I559" t="s">
        <v>2683</v>
      </c>
      <c r="J559" t="s">
        <v>82</v>
      </c>
      <c r="K559" t="s">
        <v>82</v>
      </c>
      <c r="L559" t="s">
        <v>114</v>
      </c>
      <c r="M559" s="3" t="str">
        <f t="shared" si="131"/>
        <v>Home Office</v>
      </c>
      <c r="N559" t="s">
        <v>26</v>
      </c>
      <c r="O559" s="3" t="str">
        <f t="shared" si="132"/>
        <v>North</v>
      </c>
      <c r="P559" t="s">
        <v>322</v>
      </c>
      <c r="Q559" t="s">
        <v>323</v>
      </c>
      <c r="R559" t="s">
        <v>85</v>
      </c>
      <c r="S559" s="3" t="str">
        <f t="shared" si="133"/>
        <v>Technology</v>
      </c>
      <c r="T559" t="s">
        <v>222</v>
      </c>
      <c r="U559" t="s">
        <v>2684</v>
      </c>
      <c r="V559" t="s">
        <v>55</v>
      </c>
      <c r="W559" s="3" t="str">
        <f t="shared" si="134"/>
        <v>First Class</v>
      </c>
      <c r="X559">
        <v>9</v>
      </c>
      <c r="Y559">
        <v>3769.46</v>
      </c>
      <c r="Z559">
        <v>0.05</v>
      </c>
      <c r="AA559">
        <f t="shared" si="138"/>
        <v>0.05</v>
      </c>
      <c r="AB559">
        <f t="shared" si="139"/>
        <v>32228.882999999998</v>
      </c>
      <c r="AC559">
        <v>32228.880000000001</v>
      </c>
      <c r="AD559">
        <v>24971.360000000001</v>
      </c>
      <c r="AE559">
        <v>7257.52</v>
      </c>
      <c r="AF559" t="s">
        <v>33</v>
      </c>
      <c r="AG559" t="s">
        <v>77</v>
      </c>
      <c r="AH559" t="str">
        <f t="shared" si="135"/>
        <v>Cancelled</v>
      </c>
      <c r="AI559" t="str">
        <f t="shared" si="136"/>
        <v>Valid</v>
      </c>
      <c r="AJ559">
        <f t="shared" si="137"/>
        <v>7257.52</v>
      </c>
      <c r="AK559" s="12">
        <f t="shared" si="140"/>
        <v>0.22518683008654072</v>
      </c>
      <c r="AL559">
        <f t="shared" si="141"/>
        <v>5</v>
      </c>
      <c r="AM559">
        <f t="shared" si="142"/>
        <v>2024</v>
      </c>
      <c r="AN559" t="str">
        <f t="shared" si="143"/>
        <v>Clean</v>
      </c>
    </row>
    <row r="560" spans="1:40">
      <c r="A560" t="s">
        <v>2685</v>
      </c>
      <c r="B560" s="3" t="s">
        <v>2686</v>
      </c>
      <c r="C560" s="10">
        <v>45904</v>
      </c>
      <c r="D560" s="3" t="s">
        <v>2687</v>
      </c>
      <c r="E560" s="10">
        <v>45904</v>
      </c>
      <c r="F560" s="6" t="str">
        <f t="shared" si="128"/>
        <v>Valid</v>
      </c>
      <c r="G560" s="8">
        <f t="shared" si="129"/>
        <v>0</v>
      </c>
      <c r="H560" s="8" t="str">
        <f t="shared" si="130"/>
        <v>Valid</v>
      </c>
      <c r="I560" t="s">
        <v>2688</v>
      </c>
      <c r="J560" t="s">
        <v>106</v>
      </c>
      <c r="K560" t="s">
        <v>106</v>
      </c>
      <c r="L560" t="s">
        <v>107</v>
      </c>
      <c r="M560" s="3" t="str">
        <f t="shared" si="131"/>
        <v>Corporate</v>
      </c>
      <c r="N560" t="s">
        <v>26</v>
      </c>
      <c r="O560" s="3" t="str">
        <f t="shared" si="132"/>
        <v>North</v>
      </c>
      <c r="P560" t="s">
        <v>153</v>
      </c>
      <c r="Q560" t="s">
        <v>154</v>
      </c>
      <c r="R560" t="s">
        <v>85</v>
      </c>
      <c r="S560" s="3" t="str">
        <f t="shared" si="133"/>
        <v>Technology</v>
      </c>
      <c r="T560" t="s">
        <v>381</v>
      </c>
      <c r="U560" t="s">
        <v>2689</v>
      </c>
      <c r="V560" t="s">
        <v>55</v>
      </c>
      <c r="W560" s="3" t="str">
        <f t="shared" si="134"/>
        <v>First Class</v>
      </c>
      <c r="X560">
        <v>8</v>
      </c>
      <c r="Y560">
        <v>3079.95</v>
      </c>
      <c r="Z560">
        <v>0.2</v>
      </c>
      <c r="AA560">
        <f t="shared" si="138"/>
        <v>0.2</v>
      </c>
      <c r="AB560">
        <f t="shared" si="139"/>
        <v>19711.68</v>
      </c>
      <c r="AC560">
        <v>19711.68</v>
      </c>
      <c r="AD560">
        <v>14461.8</v>
      </c>
      <c r="AE560">
        <v>5249.88</v>
      </c>
      <c r="AF560" t="s">
        <v>33</v>
      </c>
      <c r="AG560" t="s">
        <v>34</v>
      </c>
      <c r="AH560" t="str">
        <f t="shared" si="135"/>
        <v>Completed</v>
      </c>
      <c r="AI560" t="str">
        <f t="shared" si="136"/>
        <v>Valid</v>
      </c>
      <c r="AJ560">
        <f t="shared" si="137"/>
        <v>5249.880000000001</v>
      </c>
      <c r="AK560" s="12">
        <f t="shared" si="140"/>
        <v>0.26633346320557155</v>
      </c>
      <c r="AL560">
        <f t="shared" si="141"/>
        <v>9</v>
      </c>
      <c r="AM560">
        <f t="shared" si="142"/>
        <v>2025</v>
      </c>
      <c r="AN560" t="str">
        <f t="shared" si="143"/>
        <v>Clean</v>
      </c>
    </row>
    <row r="561" spans="1:40">
      <c r="A561" t="s">
        <v>2690</v>
      </c>
      <c r="B561" s="3" t="s">
        <v>2256</v>
      </c>
      <c r="C561" s="10">
        <v>45930</v>
      </c>
      <c r="D561" s="3" t="s">
        <v>2691</v>
      </c>
      <c r="E561" s="10">
        <v>45937</v>
      </c>
      <c r="F561" s="6" t="str">
        <f t="shared" si="128"/>
        <v>Valid</v>
      </c>
      <c r="G561" s="8">
        <f t="shared" si="129"/>
        <v>7</v>
      </c>
      <c r="H561" s="8" t="str">
        <f t="shared" si="130"/>
        <v>Valid</v>
      </c>
      <c r="I561" t="s">
        <v>2692</v>
      </c>
      <c r="J561" t="s">
        <v>209</v>
      </c>
      <c r="K561" t="s">
        <v>209</v>
      </c>
      <c r="L561" t="s">
        <v>107</v>
      </c>
      <c r="M561" s="3" t="str">
        <f t="shared" si="131"/>
        <v>Corporate</v>
      </c>
      <c r="N561" t="s">
        <v>41</v>
      </c>
      <c r="O561" s="3" t="str">
        <f t="shared" si="132"/>
        <v>East</v>
      </c>
      <c r="P561" t="s">
        <v>185</v>
      </c>
      <c r="Q561" t="s">
        <v>186</v>
      </c>
      <c r="R561" t="s">
        <v>85</v>
      </c>
      <c r="S561" s="3" t="str">
        <f t="shared" si="133"/>
        <v>Technology</v>
      </c>
      <c r="T561" t="s">
        <v>93</v>
      </c>
      <c r="U561" t="s">
        <v>2693</v>
      </c>
      <c r="V561" t="s">
        <v>32</v>
      </c>
      <c r="W561" s="3" t="str">
        <f t="shared" si="134"/>
        <v>Second Class</v>
      </c>
      <c r="X561">
        <v>5</v>
      </c>
      <c r="Y561">
        <v>3277.82</v>
      </c>
      <c r="Z561">
        <v>0.1</v>
      </c>
      <c r="AA561">
        <f t="shared" si="138"/>
        <v>0.1</v>
      </c>
      <c r="AB561">
        <f t="shared" si="139"/>
        <v>14750.190000000002</v>
      </c>
      <c r="AC561">
        <v>14750.19</v>
      </c>
      <c r="AD561">
        <v>9482.58</v>
      </c>
      <c r="AE561">
        <v>5267.61</v>
      </c>
      <c r="AF561" t="s">
        <v>33</v>
      </c>
      <c r="AG561" t="s">
        <v>124</v>
      </c>
      <c r="AH561" t="str">
        <f t="shared" si="135"/>
        <v>Returned</v>
      </c>
      <c r="AI561" t="str">
        <f t="shared" si="136"/>
        <v>Valid</v>
      </c>
      <c r="AJ561">
        <f t="shared" si="137"/>
        <v>5267.6100000000006</v>
      </c>
      <c r="AK561" s="12">
        <f t="shared" si="140"/>
        <v>0.35712150148574356</v>
      </c>
      <c r="AL561">
        <f t="shared" si="141"/>
        <v>9</v>
      </c>
      <c r="AM561">
        <f t="shared" si="142"/>
        <v>2025</v>
      </c>
      <c r="AN561" t="str">
        <f t="shared" si="143"/>
        <v>Clean</v>
      </c>
    </row>
    <row r="562" spans="1:40">
      <c r="A562" t="s">
        <v>2694</v>
      </c>
      <c r="B562" s="3" t="s">
        <v>2695</v>
      </c>
      <c r="C562" s="10">
        <v>45307</v>
      </c>
      <c r="D562" s="3" t="s">
        <v>1057</v>
      </c>
      <c r="E562" s="10">
        <v>45313</v>
      </c>
      <c r="F562" s="6" t="str">
        <f t="shared" si="128"/>
        <v>Valid</v>
      </c>
      <c r="G562" s="8">
        <f t="shared" si="129"/>
        <v>6</v>
      </c>
      <c r="H562" s="8" t="str">
        <f t="shared" si="130"/>
        <v>Valid</v>
      </c>
      <c r="I562" t="s">
        <v>2696</v>
      </c>
      <c r="J562" t="s">
        <v>60</v>
      </c>
      <c r="K562" t="s">
        <v>60</v>
      </c>
      <c r="L562" t="s">
        <v>25</v>
      </c>
      <c r="M562" s="3" t="str">
        <f t="shared" si="131"/>
        <v>Consumer</v>
      </c>
      <c r="N562" t="s">
        <v>72</v>
      </c>
      <c r="O562" s="3" t="str">
        <f t="shared" si="132"/>
        <v>West</v>
      </c>
      <c r="P562" t="s">
        <v>248</v>
      </c>
      <c r="Q562" t="s">
        <v>249</v>
      </c>
      <c r="R562" t="s">
        <v>29</v>
      </c>
      <c r="S562" s="3" t="str">
        <f t="shared" si="133"/>
        <v>Office Supplies</v>
      </c>
      <c r="T562" t="s">
        <v>155</v>
      </c>
      <c r="U562" t="s">
        <v>2697</v>
      </c>
      <c r="V562" t="s">
        <v>66</v>
      </c>
      <c r="W562" s="3" t="str">
        <f t="shared" si="134"/>
        <v>Standard Class</v>
      </c>
      <c r="X562">
        <v>4</v>
      </c>
      <c r="Y562">
        <v>282.52999999999997</v>
      </c>
      <c r="Z562">
        <v>0</v>
      </c>
      <c r="AA562">
        <f t="shared" si="138"/>
        <v>0</v>
      </c>
      <c r="AB562">
        <f t="shared" si="139"/>
        <v>1130.1199999999999</v>
      </c>
      <c r="AC562">
        <v>1130.1199999999999</v>
      </c>
      <c r="AD562">
        <v>848.62</v>
      </c>
      <c r="AE562">
        <v>281.5</v>
      </c>
      <c r="AF562" t="s">
        <v>33</v>
      </c>
      <c r="AG562" t="s">
        <v>77</v>
      </c>
      <c r="AH562" t="str">
        <f t="shared" si="135"/>
        <v>Cancelled</v>
      </c>
      <c r="AI562" t="str">
        <f t="shared" si="136"/>
        <v>Valid</v>
      </c>
      <c r="AJ562">
        <f t="shared" si="137"/>
        <v>281.49999999999989</v>
      </c>
      <c r="AK562" s="12">
        <f t="shared" si="140"/>
        <v>0.249088592361873</v>
      </c>
      <c r="AL562">
        <f t="shared" si="141"/>
        <v>1</v>
      </c>
      <c r="AM562">
        <f t="shared" si="142"/>
        <v>2024</v>
      </c>
      <c r="AN562" t="str">
        <f t="shared" si="143"/>
        <v>Clean</v>
      </c>
    </row>
    <row r="563" spans="1:40">
      <c r="A563" t="s">
        <v>2698</v>
      </c>
      <c r="B563" s="3" t="s">
        <v>761</v>
      </c>
      <c r="C563" s="10">
        <v>45852</v>
      </c>
      <c r="D563" s="3" t="s">
        <v>2699</v>
      </c>
      <c r="E563" s="10">
        <v>45856</v>
      </c>
      <c r="F563" s="6" t="str">
        <f t="shared" si="128"/>
        <v>Valid</v>
      </c>
      <c r="G563" s="8">
        <f t="shared" si="129"/>
        <v>4</v>
      </c>
      <c r="H563" s="8" t="str">
        <f t="shared" si="130"/>
        <v>Valid</v>
      </c>
      <c r="I563" t="s">
        <v>2700</v>
      </c>
      <c r="J563" t="s">
        <v>106</v>
      </c>
      <c r="K563" t="s">
        <v>106</v>
      </c>
      <c r="L563" t="s">
        <v>25</v>
      </c>
      <c r="M563" s="3" t="str">
        <f t="shared" si="131"/>
        <v>Consumer</v>
      </c>
      <c r="N563" t="s">
        <v>26</v>
      </c>
      <c r="O563" s="3" t="str">
        <f t="shared" si="132"/>
        <v>North</v>
      </c>
      <c r="P563" t="s">
        <v>153</v>
      </c>
      <c r="Q563" t="s">
        <v>154</v>
      </c>
      <c r="R563" t="s">
        <v>85</v>
      </c>
      <c r="S563" s="3" t="str">
        <f t="shared" si="133"/>
        <v>Technology</v>
      </c>
      <c r="T563" t="s">
        <v>93</v>
      </c>
      <c r="U563" t="s">
        <v>2701</v>
      </c>
      <c r="V563" t="s">
        <v>55</v>
      </c>
      <c r="W563" s="3" t="str">
        <f t="shared" si="134"/>
        <v>First Class</v>
      </c>
      <c r="X563">
        <v>4</v>
      </c>
      <c r="Y563">
        <v>725.22</v>
      </c>
      <c r="Z563">
        <v>0</v>
      </c>
      <c r="AA563">
        <f t="shared" si="138"/>
        <v>0</v>
      </c>
      <c r="AB563">
        <f t="shared" si="139"/>
        <v>2900.88</v>
      </c>
      <c r="AC563">
        <v>2900.88</v>
      </c>
      <c r="AD563">
        <v>2391.85</v>
      </c>
      <c r="AE563">
        <v>509.03</v>
      </c>
      <c r="AF563" t="s">
        <v>136</v>
      </c>
      <c r="AG563" t="s">
        <v>124</v>
      </c>
      <c r="AH563" t="str">
        <f t="shared" si="135"/>
        <v>Returned</v>
      </c>
      <c r="AI563" t="str">
        <f t="shared" si="136"/>
        <v>Valid</v>
      </c>
      <c r="AJ563">
        <f t="shared" si="137"/>
        <v>509.0300000000002</v>
      </c>
      <c r="AK563" s="12">
        <f t="shared" si="140"/>
        <v>0.17547433882132324</v>
      </c>
      <c r="AL563">
        <f t="shared" si="141"/>
        <v>7</v>
      </c>
      <c r="AM563">
        <f t="shared" si="142"/>
        <v>2025</v>
      </c>
      <c r="AN563" t="str">
        <f t="shared" si="143"/>
        <v>Clean</v>
      </c>
    </row>
    <row r="564" spans="1:40">
      <c r="A564" t="s">
        <v>2702</v>
      </c>
      <c r="B564" s="3" t="s">
        <v>2703</v>
      </c>
      <c r="C564" s="10">
        <v>45422</v>
      </c>
      <c r="D564" s="3" t="s">
        <v>2640</v>
      </c>
      <c r="E564" s="10">
        <v>45428</v>
      </c>
      <c r="F564" s="6" t="str">
        <f t="shared" si="128"/>
        <v>Valid</v>
      </c>
      <c r="G564" s="8">
        <f t="shared" si="129"/>
        <v>6</v>
      </c>
      <c r="H564" s="8" t="str">
        <f t="shared" si="130"/>
        <v>Valid</v>
      </c>
      <c r="I564" t="s">
        <v>2704</v>
      </c>
      <c r="J564" t="s">
        <v>24</v>
      </c>
      <c r="K564" t="s">
        <v>24</v>
      </c>
      <c r="L564" t="s">
        <v>25</v>
      </c>
      <c r="M564" s="3" t="str">
        <f t="shared" si="131"/>
        <v>Consumer</v>
      </c>
      <c r="N564" t="s">
        <v>26</v>
      </c>
      <c r="O564" s="3" t="str">
        <f t="shared" si="132"/>
        <v>North</v>
      </c>
      <c r="P564" t="s">
        <v>153</v>
      </c>
      <c r="Q564" t="s">
        <v>154</v>
      </c>
      <c r="R564" t="s">
        <v>29</v>
      </c>
      <c r="S564" s="3" t="str">
        <f t="shared" si="133"/>
        <v>Office Supplies</v>
      </c>
      <c r="T564" t="s">
        <v>197</v>
      </c>
      <c r="U564" t="s">
        <v>2705</v>
      </c>
      <c r="V564" t="s">
        <v>47</v>
      </c>
      <c r="W564" s="3" t="str">
        <f t="shared" si="134"/>
        <v>Same Day</v>
      </c>
      <c r="X564">
        <v>7</v>
      </c>
      <c r="Y564">
        <v>121.54</v>
      </c>
      <c r="Z564">
        <v>0.2</v>
      </c>
      <c r="AA564">
        <f t="shared" si="138"/>
        <v>0.2</v>
      </c>
      <c r="AB564">
        <f t="shared" si="139"/>
        <v>680.62400000000014</v>
      </c>
      <c r="AC564">
        <v>680.62</v>
      </c>
      <c r="AD564">
        <v>463.49</v>
      </c>
      <c r="AE564">
        <v>217.13</v>
      </c>
      <c r="AF564" t="s">
        <v>199</v>
      </c>
      <c r="AG564" t="s">
        <v>124</v>
      </c>
      <c r="AH564" t="str">
        <f t="shared" si="135"/>
        <v>Returned</v>
      </c>
      <c r="AI564" t="str">
        <f t="shared" si="136"/>
        <v>Valid</v>
      </c>
      <c r="AJ564">
        <f t="shared" si="137"/>
        <v>217.13</v>
      </c>
      <c r="AK564" s="12">
        <f t="shared" si="140"/>
        <v>0.31901607936246729</v>
      </c>
      <c r="AL564">
        <f t="shared" si="141"/>
        <v>5</v>
      </c>
      <c r="AM564">
        <f t="shared" si="142"/>
        <v>2024</v>
      </c>
      <c r="AN564" t="str">
        <f t="shared" si="143"/>
        <v>Clean</v>
      </c>
    </row>
    <row r="565" spans="1:40">
      <c r="A565" t="s">
        <v>2706</v>
      </c>
      <c r="B565" s="3" t="s">
        <v>2707</v>
      </c>
      <c r="C565" s="10">
        <v>45418</v>
      </c>
      <c r="D565" s="3" t="s">
        <v>1783</v>
      </c>
      <c r="E565" s="10">
        <v>45424</v>
      </c>
      <c r="F565" s="6" t="str">
        <f t="shared" si="128"/>
        <v>Valid</v>
      </c>
      <c r="G565" s="8">
        <f t="shared" si="129"/>
        <v>6</v>
      </c>
      <c r="H565" s="8" t="str">
        <f t="shared" si="130"/>
        <v>Valid</v>
      </c>
      <c r="I565" t="s">
        <v>2708</v>
      </c>
      <c r="J565" t="s">
        <v>60</v>
      </c>
      <c r="K565" t="s">
        <v>60</v>
      </c>
      <c r="L565" t="s">
        <v>107</v>
      </c>
      <c r="M565" s="3" t="str">
        <f t="shared" si="131"/>
        <v>Corporate</v>
      </c>
      <c r="N565" t="s">
        <v>72</v>
      </c>
      <c r="O565" s="3" t="str">
        <f t="shared" si="132"/>
        <v>West</v>
      </c>
      <c r="P565" t="s">
        <v>248</v>
      </c>
      <c r="Q565" t="s">
        <v>249</v>
      </c>
      <c r="R565" t="s">
        <v>44</v>
      </c>
      <c r="S565" s="3" t="str">
        <f t="shared" si="133"/>
        <v>Furniture</v>
      </c>
      <c r="T565" t="s">
        <v>45</v>
      </c>
      <c r="U565" t="s">
        <v>2709</v>
      </c>
      <c r="V565" t="s">
        <v>66</v>
      </c>
      <c r="W565" s="3" t="str">
        <f t="shared" si="134"/>
        <v>Standard Class</v>
      </c>
      <c r="X565">
        <v>9</v>
      </c>
      <c r="Y565">
        <v>790.97</v>
      </c>
      <c r="Z565">
        <v>0.2</v>
      </c>
      <c r="AA565">
        <f t="shared" si="138"/>
        <v>0.2</v>
      </c>
      <c r="AB565">
        <f t="shared" si="139"/>
        <v>5694.9840000000004</v>
      </c>
      <c r="AC565">
        <v>5694.98</v>
      </c>
      <c r="AD565">
        <v>4618.33</v>
      </c>
      <c r="AE565">
        <v>1076.6500000000001</v>
      </c>
      <c r="AF565" t="s">
        <v>136</v>
      </c>
      <c r="AG565" t="s">
        <v>77</v>
      </c>
      <c r="AH565" t="str">
        <f t="shared" si="135"/>
        <v>Cancelled</v>
      </c>
      <c r="AI565" t="str">
        <f t="shared" si="136"/>
        <v>Valid</v>
      </c>
      <c r="AJ565">
        <f t="shared" si="137"/>
        <v>1076.6499999999996</v>
      </c>
      <c r="AK565" s="12">
        <f t="shared" si="140"/>
        <v>0.18905233096352853</v>
      </c>
      <c r="AL565">
        <f t="shared" si="141"/>
        <v>5</v>
      </c>
      <c r="AM565">
        <f t="shared" si="142"/>
        <v>2024</v>
      </c>
      <c r="AN565" t="str">
        <f t="shared" si="143"/>
        <v>Clean</v>
      </c>
    </row>
    <row r="566" spans="1:40">
      <c r="A566" t="s">
        <v>2710</v>
      </c>
      <c r="B566" s="3" t="s">
        <v>104</v>
      </c>
      <c r="C566" s="10">
        <v>45606</v>
      </c>
      <c r="D566" s="3" t="s">
        <v>2711</v>
      </c>
      <c r="E566" s="10">
        <v>45610</v>
      </c>
      <c r="F566" s="6" t="str">
        <f t="shared" si="128"/>
        <v>Valid</v>
      </c>
      <c r="G566" s="8">
        <f t="shared" si="129"/>
        <v>4</v>
      </c>
      <c r="H566" s="8" t="str">
        <f t="shared" si="130"/>
        <v>Valid</v>
      </c>
      <c r="I566" t="s">
        <v>2712</v>
      </c>
      <c r="J566" t="s">
        <v>167</v>
      </c>
      <c r="K566" t="s">
        <v>167</v>
      </c>
      <c r="L566" t="s">
        <v>107</v>
      </c>
      <c r="M566" s="3" t="str">
        <f t="shared" si="131"/>
        <v>Corporate</v>
      </c>
      <c r="N566" t="s">
        <v>61</v>
      </c>
      <c r="O566" s="3" t="str">
        <f t="shared" si="132"/>
        <v>South</v>
      </c>
      <c r="P566" t="s">
        <v>99</v>
      </c>
      <c r="Q566" t="s">
        <v>100</v>
      </c>
      <c r="R566" t="s">
        <v>44</v>
      </c>
      <c r="S566" s="3" t="str">
        <f t="shared" si="133"/>
        <v>Furniture</v>
      </c>
      <c r="T566" t="s">
        <v>45</v>
      </c>
      <c r="U566" t="s">
        <v>2713</v>
      </c>
      <c r="V566" t="s">
        <v>55</v>
      </c>
      <c r="W566" s="3" t="str">
        <f t="shared" si="134"/>
        <v>First Class</v>
      </c>
      <c r="X566">
        <v>2</v>
      </c>
      <c r="Y566">
        <v>921.34</v>
      </c>
      <c r="Z566">
        <v>0.2</v>
      </c>
      <c r="AA566">
        <f t="shared" si="138"/>
        <v>0.2</v>
      </c>
      <c r="AB566">
        <f t="shared" si="139"/>
        <v>1474.1440000000002</v>
      </c>
      <c r="AC566">
        <v>1474.14</v>
      </c>
      <c r="AD566">
        <v>968.46</v>
      </c>
      <c r="AE566">
        <v>505.68</v>
      </c>
      <c r="AF566" t="s">
        <v>33</v>
      </c>
      <c r="AG566" t="s">
        <v>34</v>
      </c>
      <c r="AH566" t="str">
        <f t="shared" si="135"/>
        <v>Completed</v>
      </c>
      <c r="AI566" t="str">
        <f t="shared" si="136"/>
        <v>Valid</v>
      </c>
      <c r="AJ566">
        <f t="shared" si="137"/>
        <v>505.68000000000006</v>
      </c>
      <c r="AK566" s="12">
        <f t="shared" si="140"/>
        <v>0.34303297371220176</v>
      </c>
      <c r="AL566">
        <f t="shared" si="141"/>
        <v>11</v>
      </c>
      <c r="AM566">
        <f t="shared" si="142"/>
        <v>2024</v>
      </c>
      <c r="AN566" t="str">
        <f t="shared" si="143"/>
        <v>Clean</v>
      </c>
    </row>
    <row r="567" spans="1:40">
      <c r="A567" t="s">
        <v>2714</v>
      </c>
      <c r="B567" s="3" t="s">
        <v>2715</v>
      </c>
      <c r="C567" s="10">
        <v>45876</v>
      </c>
      <c r="D567" s="3" t="s">
        <v>239</v>
      </c>
      <c r="E567" s="10">
        <v>45882</v>
      </c>
      <c r="F567" s="6" t="str">
        <f t="shared" si="128"/>
        <v>Valid</v>
      </c>
      <c r="G567" s="8">
        <f t="shared" si="129"/>
        <v>6</v>
      </c>
      <c r="H567" s="8" t="str">
        <f t="shared" si="130"/>
        <v>Valid</v>
      </c>
      <c r="I567" t="s">
        <v>2716</v>
      </c>
      <c r="J567" t="s">
        <v>39</v>
      </c>
      <c r="K567" t="s">
        <v>39</v>
      </c>
      <c r="L567" t="s">
        <v>107</v>
      </c>
      <c r="M567" s="3" t="str">
        <f t="shared" si="131"/>
        <v>Corporate</v>
      </c>
      <c r="N567" t="s">
        <v>26</v>
      </c>
      <c r="O567" s="3" t="str">
        <f t="shared" si="132"/>
        <v>North</v>
      </c>
      <c r="P567" t="s">
        <v>505</v>
      </c>
      <c r="Q567" t="s">
        <v>506</v>
      </c>
      <c r="R567" t="s">
        <v>85</v>
      </c>
      <c r="S567" s="3" t="str">
        <f t="shared" si="133"/>
        <v>Technology</v>
      </c>
      <c r="T567" t="s">
        <v>222</v>
      </c>
      <c r="U567" t="s">
        <v>2717</v>
      </c>
      <c r="V567" t="s">
        <v>66</v>
      </c>
      <c r="W567" s="3" t="str">
        <f t="shared" si="134"/>
        <v>Standard Class</v>
      </c>
      <c r="X567">
        <v>6</v>
      </c>
      <c r="Y567">
        <v>1921.86</v>
      </c>
      <c r="Z567">
        <v>0.2</v>
      </c>
      <c r="AA567">
        <f t="shared" si="138"/>
        <v>0.2</v>
      </c>
      <c r="AB567">
        <f t="shared" si="139"/>
        <v>9224.9279999999999</v>
      </c>
      <c r="AC567">
        <v>9224.93</v>
      </c>
      <c r="AD567">
        <v>7005.2</v>
      </c>
      <c r="AE567">
        <v>2219.73</v>
      </c>
      <c r="AF567" t="s">
        <v>123</v>
      </c>
      <c r="AG567" t="s">
        <v>77</v>
      </c>
      <c r="AH567" t="str">
        <f t="shared" si="135"/>
        <v>Cancelled</v>
      </c>
      <c r="AI567" t="str">
        <f t="shared" si="136"/>
        <v>Valid</v>
      </c>
      <c r="AJ567">
        <f t="shared" si="137"/>
        <v>2219.7300000000005</v>
      </c>
      <c r="AK567" s="12">
        <f t="shared" si="140"/>
        <v>0.24062301624467969</v>
      </c>
      <c r="AL567">
        <f t="shared" si="141"/>
        <v>8</v>
      </c>
      <c r="AM567">
        <f t="shared" si="142"/>
        <v>2025</v>
      </c>
      <c r="AN567" t="str">
        <f t="shared" si="143"/>
        <v>Clean</v>
      </c>
    </row>
    <row r="568" spans="1:40">
      <c r="A568" t="s">
        <v>2718</v>
      </c>
      <c r="B568" s="3" t="s">
        <v>2437</v>
      </c>
      <c r="C568" s="10">
        <v>45515</v>
      </c>
      <c r="D568" s="3" t="s">
        <v>2719</v>
      </c>
      <c r="E568" s="10">
        <v>45523</v>
      </c>
      <c r="F568" s="6" t="str">
        <f t="shared" si="128"/>
        <v>Valid</v>
      </c>
      <c r="G568" s="8">
        <f t="shared" si="129"/>
        <v>8</v>
      </c>
      <c r="H568" s="8" t="str">
        <f t="shared" si="130"/>
        <v>Valid</v>
      </c>
      <c r="I568" t="s">
        <v>2720</v>
      </c>
      <c r="J568" t="s">
        <v>167</v>
      </c>
      <c r="K568" t="s">
        <v>167</v>
      </c>
      <c r="L568" t="s">
        <v>40</v>
      </c>
      <c r="M568" s="3" t="str">
        <f t="shared" si="131"/>
        <v>Small Business</v>
      </c>
      <c r="N568" t="s">
        <v>72</v>
      </c>
      <c r="O568" s="3" t="str">
        <f t="shared" si="132"/>
        <v>West</v>
      </c>
      <c r="P568" t="s">
        <v>73</v>
      </c>
      <c r="Q568" t="s">
        <v>74</v>
      </c>
      <c r="R568" t="s">
        <v>29</v>
      </c>
      <c r="S568" s="3" t="str">
        <f t="shared" si="133"/>
        <v>Office Supplies</v>
      </c>
      <c r="T568" t="s">
        <v>30</v>
      </c>
      <c r="U568" t="s">
        <v>2721</v>
      </c>
      <c r="V568" t="s">
        <v>47</v>
      </c>
      <c r="W568" s="3" t="str">
        <f t="shared" si="134"/>
        <v>Same Day</v>
      </c>
      <c r="X568">
        <v>2</v>
      </c>
      <c r="Y568">
        <v>2617.89</v>
      </c>
      <c r="Z568">
        <v>0.1</v>
      </c>
      <c r="AA568">
        <f t="shared" si="138"/>
        <v>0.1</v>
      </c>
      <c r="AB568">
        <f t="shared" si="139"/>
        <v>4712.2020000000002</v>
      </c>
      <c r="AC568">
        <v>4712.2</v>
      </c>
      <c r="AD568">
        <v>3851.91</v>
      </c>
      <c r="AE568">
        <v>860.29</v>
      </c>
      <c r="AF568" t="s">
        <v>199</v>
      </c>
      <c r="AG568" t="s">
        <v>124</v>
      </c>
      <c r="AH568" t="str">
        <f t="shared" si="135"/>
        <v>Returned</v>
      </c>
      <c r="AI568" t="str">
        <f t="shared" si="136"/>
        <v>Valid</v>
      </c>
      <c r="AJ568">
        <f t="shared" si="137"/>
        <v>860.29</v>
      </c>
      <c r="AK568" s="12">
        <f t="shared" si="140"/>
        <v>0.18256645194751836</v>
      </c>
      <c r="AL568">
        <f t="shared" si="141"/>
        <v>8</v>
      </c>
      <c r="AM568">
        <f t="shared" si="142"/>
        <v>2024</v>
      </c>
      <c r="AN568" t="str">
        <f t="shared" si="143"/>
        <v>Clean</v>
      </c>
    </row>
    <row r="569" spans="1:40">
      <c r="A569" t="s">
        <v>2722</v>
      </c>
      <c r="B569" s="3" t="s">
        <v>2723</v>
      </c>
      <c r="C569" s="10">
        <v>45328</v>
      </c>
      <c r="D569" s="3" t="s">
        <v>2724</v>
      </c>
      <c r="E569" s="10">
        <v>45332</v>
      </c>
      <c r="F569" s="6" t="str">
        <f t="shared" si="128"/>
        <v>Valid</v>
      </c>
      <c r="G569" s="8">
        <f t="shared" si="129"/>
        <v>4</v>
      </c>
      <c r="H569" s="8" t="str">
        <f t="shared" si="130"/>
        <v>Valid</v>
      </c>
      <c r="I569" t="s">
        <v>2725</v>
      </c>
      <c r="J569" t="s">
        <v>60</v>
      </c>
      <c r="K569" t="s">
        <v>60</v>
      </c>
      <c r="L569" t="s">
        <v>114</v>
      </c>
      <c r="M569" s="3" t="str">
        <f t="shared" si="131"/>
        <v>Home Office</v>
      </c>
      <c r="N569" t="s">
        <v>26</v>
      </c>
      <c r="O569" s="3" t="str">
        <f t="shared" si="132"/>
        <v>North</v>
      </c>
      <c r="P569" t="s">
        <v>173</v>
      </c>
      <c r="Q569" t="s">
        <v>174</v>
      </c>
      <c r="R569" t="s">
        <v>44</v>
      </c>
      <c r="S569" s="3" t="str">
        <f t="shared" si="133"/>
        <v>Furniture</v>
      </c>
      <c r="T569" t="s">
        <v>64</v>
      </c>
      <c r="U569" t="s">
        <v>899</v>
      </c>
      <c r="V569" t="s">
        <v>47</v>
      </c>
      <c r="W569" s="3" t="str">
        <f t="shared" si="134"/>
        <v>Same Day</v>
      </c>
      <c r="X569">
        <v>1</v>
      </c>
      <c r="Y569">
        <v>1374.06</v>
      </c>
      <c r="Z569">
        <v>0.05</v>
      </c>
      <c r="AA569">
        <f t="shared" si="138"/>
        <v>0.05</v>
      </c>
      <c r="AB569">
        <f t="shared" si="139"/>
        <v>1305.357</v>
      </c>
      <c r="AC569">
        <v>1305.3599999999999</v>
      </c>
      <c r="AD569">
        <v>731.89</v>
      </c>
      <c r="AE569">
        <v>573.47</v>
      </c>
      <c r="AF569" t="s">
        <v>33</v>
      </c>
      <c r="AG569" t="s">
        <v>34</v>
      </c>
      <c r="AH569" t="str">
        <f t="shared" si="135"/>
        <v>Completed</v>
      </c>
      <c r="AI569" t="str">
        <f t="shared" si="136"/>
        <v>Valid</v>
      </c>
      <c r="AJ569">
        <f t="shared" si="137"/>
        <v>573.46999999999991</v>
      </c>
      <c r="AK569" s="12">
        <f t="shared" si="140"/>
        <v>0.43932043111577901</v>
      </c>
      <c r="AL569">
        <f t="shared" si="141"/>
        <v>2</v>
      </c>
      <c r="AM569">
        <f t="shared" si="142"/>
        <v>2024</v>
      </c>
      <c r="AN569" t="str">
        <f t="shared" si="143"/>
        <v>Clean</v>
      </c>
    </row>
    <row r="570" spans="1:40">
      <c r="A570" t="s">
        <v>2726</v>
      </c>
      <c r="B570" s="3" t="s">
        <v>1718</v>
      </c>
      <c r="C570" s="10">
        <v>45312</v>
      </c>
      <c r="D570" s="3" t="s">
        <v>2727</v>
      </c>
      <c r="E570" s="10">
        <v>45315</v>
      </c>
      <c r="F570" s="6" t="str">
        <f t="shared" si="128"/>
        <v>Valid</v>
      </c>
      <c r="G570" s="8">
        <f t="shared" si="129"/>
        <v>3</v>
      </c>
      <c r="H570" s="8" t="str">
        <f t="shared" si="130"/>
        <v>Valid</v>
      </c>
      <c r="I570" t="s">
        <v>2728</v>
      </c>
      <c r="J570" t="s">
        <v>365</v>
      </c>
      <c r="K570" t="s">
        <v>365</v>
      </c>
      <c r="L570" t="s">
        <v>107</v>
      </c>
      <c r="M570" s="3" t="str">
        <f t="shared" si="131"/>
        <v>Corporate</v>
      </c>
      <c r="N570" t="s">
        <v>26</v>
      </c>
      <c r="O570" s="3" t="str">
        <f t="shared" si="132"/>
        <v>North</v>
      </c>
      <c r="P570" t="s">
        <v>153</v>
      </c>
      <c r="Q570" t="s">
        <v>154</v>
      </c>
      <c r="R570" t="s">
        <v>85</v>
      </c>
      <c r="S570" s="3" t="str">
        <f t="shared" si="133"/>
        <v>Technology</v>
      </c>
      <c r="T570" t="s">
        <v>381</v>
      </c>
      <c r="U570" t="s">
        <v>2729</v>
      </c>
      <c r="V570" t="s">
        <v>47</v>
      </c>
      <c r="W570" s="3" t="str">
        <f t="shared" si="134"/>
        <v>Same Day</v>
      </c>
      <c r="X570">
        <v>1</v>
      </c>
      <c r="Y570">
        <v>3806.3</v>
      </c>
      <c r="Z570">
        <v>0.25</v>
      </c>
      <c r="AA570">
        <f t="shared" si="138"/>
        <v>0.25</v>
      </c>
      <c r="AB570">
        <f t="shared" si="139"/>
        <v>2854.7250000000004</v>
      </c>
      <c r="AC570">
        <v>2854.73</v>
      </c>
      <c r="AD570">
        <v>1968.12</v>
      </c>
      <c r="AE570">
        <v>886.61</v>
      </c>
      <c r="AF570" t="s">
        <v>33</v>
      </c>
      <c r="AG570" t="s">
        <v>34</v>
      </c>
      <c r="AH570" t="str">
        <f t="shared" si="135"/>
        <v>Completed</v>
      </c>
      <c r="AI570" t="str">
        <f t="shared" si="136"/>
        <v>Valid</v>
      </c>
      <c r="AJ570">
        <f t="shared" si="137"/>
        <v>886.61000000000013</v>
      </c>
      <c r="AK570" s="12">
        <f t="shared" si="140"/>
        <v>0.31057632521521339</v>
      </c>
      <c r="AL570">
        <f t="shared" si="141"/>
        <v>1</v>
      </c>
      <c r="AM570">
        <f t="shared" si="142"/>
        <v>2024</v>
      </c>
      <c r="AN570" t="str">
        <f t="shared" si="143"/>
        <v>Clean</v>
      </c>
    </row>
    <row r="571" spans="1:40">
      <c r="A571" t="s">
        <v>2730</v>
      </c>
      <c r="B571" s="3" t="s">
        <v>2731</v>
      </c>
      <c r="C571" s="10">
        <v>45908</v>
      </c>
      <c r="D571" s="3" t="s">
        <v>2732</v>
      </c>
      <c r="E571" s="10">
        <v>45910</v>
      </c>
      <c r="F571" s="6" t="str">
        <f t="shared" si="128"/>
        <v>Valid</v>
      </c>
      <c r="G571" s="8">
        <f t="shared" si="129"/>
        <v>2</v>
      </c>
      <c r="H571" s="8" t="str">
        <f t="shared" si="130"/>
        <v>Valid</v>
      </c>
      <c r="I571" t="s">
        <v>2733</v>
      </c>
      <c r="J571" t="s">
        <v>147</v>
      </c>
      <c r="K571" t="s">
        <v>147</v>
      </c>
      <c r="L571" t="s">
        <v>114</v>
      </c>
      <c r="M571" s="3" t="str">
        <f t="shared" si="131"/>
        <v>Home Office</v>
      </c>
      <c r="N571" t="s">
        <v>72</v>
      </c>
      <c r="O571" s="3" t="str">
        <f t="shared" si="132"/>
        <v>West</v>
      </c>
      <c r="P571" t="s">
        <v>73</v>
      </c>
      <c r="Q571" t="s">
        <v>74</v>
      </c>
      <c r="R571" t="s">
        <v>44</v>
      </c>
      <c r="S571" s="3" t="str">
        <f t="shared" si="133"/>
        <v>Furniture</v>
      </c>
      <c r="T571" t="s">
        <v>64</v>
      </c>
      <c r="U571" t="s">
        <v>2734</v>
      </c>
      <c r="V571" t="s">
        <v>66</v>
      </c>
      <c r="W571" s="3" t="str">
        <f t="shared" si="134"/>
        <v>Standard Class</v>
      </c>
      <c r="X571">
        <v>6</v>
      </c>
      <c r="Y571">
        <v>3251.17</v>
      </c>
      <c r="Z571">
        <v>0.25</v>
      </c>
      <c r="AA571">
        <f t="shared" si="138"/>
        <v>0.25</v>
      </c>
      <c r="AB571">
        <f t="shared" si="139"/>
        <v>14630.264999999999</v>
      </c>
      <c r="AC571">
        <v>14630.26</v>
      </c>
      <c r="AD571">
        <v>11906.36</v>
      </c>
      <c r="AE571">
        <v>2723.9</v>
      </c>
      <c r="AF571" t="s">
        <v>123</v>
      </c>
      <c r="AG571" t="s">
        <v>124</v>
      </c>
      <c r="AH571" t="str">
        <f t="shared" si="135"/>
        <v>Returned</v>
      </c>
      <c r="AI571" t="str">
        <f t="shared" si="136"/>
        <v>Valid</v>
      </c>
      <c r="AJ571">
        <f t="shared" si="137"/>
        <v>2723.8999999999996</v>
      </c>
      <c r="AK571" s="12">
        <f t="shared" si="140"/>
        <v>0.18618254693267686</v>
      </c>
      <c r="AL571">
        <f t="shared" si="141"/>
        <v>9</v>
      </c>
      <c r="AM571">
        <f t="shared" si="142"/>
        <v>2025</v>
      </c>
      <c r="AN571" t="str">
        <f t="shared" si="143"/>
        <v>Clean</v>
      </c>
    </row>
    <row r="572" spans="1:40">
      <c r="A572" t="s">
        <v>2735</v>
      </c>
      <c r="B572" s="3" t="s">
        <v>920</v>
      </c>
      <c r="C572" s="10">
        <v>45887</v>
      </c>
      <c r="D572" s="3" t="s">
        <v>697</v>
      </c>
      <c r="E572" s="10">
        <v>45891</v>
      </c>
      <c r="F572" s="6" t="str">
        <f t="shared" si="128"/>
        <v>Valid</v>
      </c>
      <c r="G572" s="8">
        <f t="shared" si="129"/>
        <v>4</v>
      </c>
      <c r="H572" s="8" t="str">
        <f t="shared" si="130"/>
        <v>Valid</v>
      </c>
      <c r="I572" t="s">
        <v>2736</v>
      </c>
      <c r="J572" t="s">
        <v>60</v>
      </c>
      <c r="K572" t="s">
        <v>60</v>
      </c>
      <c r="L572" t="s">
        <v>25</v>
      </c>
      <c r="M572" s="3" t="str">
        <f t="shared" si="131"/>
        <v>Consumer</v>
      </c>
      <c r="N572" t="s">
        <v>41</v>
      </c>
      <c r="O572" s="3" t="str">
        <f t="shared" si="132"/>
        <v>East</v>
      </c>
      <c r="P572" t="s">
        <v>310</v>
      </c>
      <c r="Q572" t="s">
        <v>311</v>
      </c>
      <c r="R572" t="s">
        <v>44</v>
      </c>
      <c r="S572" s="3" t="str">
        <f t="shared" si="133"/>
        <v>Furniture</v>
      </c>
      <c r="T572" t="s">
        <v>64</v>
      </c>
      <c r="U572" t="s">
        <v>2737</v>
      </c>
      <c r="V572" t="s">
        <v>32</v>
      </c>
      <c r="W572" s="3" t="str">
        <f t="shared" si="134"/>
        <v>Second Class</v>
      </c>
      <c r="X572">
        <v>3</v>
      </c>
      <c r="Y572">
        <v>3946.44</v>
      </c>
      <c r="Z572">
        <v>0.25</v>
      </c>
      <c r="AA572">
        <f t="shared" si="138"/>
        <v>0.25</v>
      </c>
      <c r="AB572">
        <f t="shared" si="139"/>
        <v>8879.49</v>
      </c>
      <c r="AC572">
        <v>8879.49</v>
      </c>
      <c r="AD572">
        <v>6344.57</v>
      </c>
      <c r="AE572">
        <v>2534.92</v>
      </c>
      <c r="AF572" t="s">
        <v>199</v>
      </c>
      <c r="AG572" t="s">
        <v>124</v>
      </c>
      <c r="AH572" t="str">
        <f t="shared" si="135"/>
        <v>Returned</v>
      </c>
      <c r="AI572" t="str">
        <f t="shared" si="136"/>
        <v>Valid</v>
      </c>
      <c r="AJ572">
        <f t="shared" si="137"/>
        <v>2534.92</v>
      </c>
      <c r="AK572" s="12">
        <f t="shared" si="140"/>
        <v>0.28548035979543873</v>
      </c>
      <c r="AL572">
        <f t="shared" si="141"/>
        <v>8</v>
      </c>
      <c r="AM572">
        <f t="shared" si="142"/>
        <v>2025</v>
      </c>
      <c r="AN572" t="str">
        <f t="shared" si="143"/>
        <v>Clean</v>
      </c>
    </row>
    <row r="573" spans="1:40">
      <c r="A573" t="s">
        <v>2738</v>
      </c>
      <c r="B573" s="3" t="s">
        <v>2674</v>
      </c>
      <c r="C573" s="10">
        <v>45698</v>
      </c>
      <c r="D573" s="3" t="s">
        <v>2739</v>
      </c>
      <c r="E573" s="10">
        <v>45702</v>
      </c>
      <c r="F573" s="6" t="str">
        <f t="shared" si="128"/>
        <v>Valid</v>
      </c>
      <c r="G573" s="8">
        <f t="shared" si="129"/>
        <v>4</v>
      </c>
      <c r="H573" s="8" t="str">
        <f t="shared" si="130"/>
        <v>Valid</v>
      </c>
      <c r="I573" t="s">
        <v>2740</v>
      </c>
      <c r="J573" t="s">
        <v>141</v>
      </c>
      <c r="K573" t="s">
        <v>141</v>
      </c>
      <c r="L573" t="s">
        <v>40</v>
      </c>
      <c r="M573" s="3" t="str">
        <f t="shared" si="131"/>
        <v>Small Business</v>
      </c>
      <c r="N573" t="s">
        <v>26</v>
      </c>
      <c r="O573" s="3" t="str">
        <f t="shared" si="132"/>
        <v>North</v>
      </c>
      <c r="P573" t="s">
        <v>173</v>
      </c>
      <c r="Q573" t="s">
        <v>174</v>
      </c>
      <c r="R573" t="s">
        <v>85</v>
      </c>
      <c r="S573" s="3" t="str">
        <f t="shared" si="133"/>
        <v>Technology</v>
      </c>
      <c r="T573" t="s">
        <v>222</v>
      </c>
      <c r="U573" t="s">
        <v>2741</v>
      </c>
      <c r="W573" s="3" t="str">
        <f t="shared" si="134"/>
        <v>Unknown</v>
      </c>
      <c r="X573">
        <v>5</v>
      </c>
      <c r="Y573">
        <v>4276.29</v>
      </c>
      <c r="Z573">
        <v>0</v>
      </c>
      <c r="AA573">
        <f t="shared" si="138"/>
        <v>0</v>
      </c>
      <c r="AB573">
        <f t="shared" si="139"/>
        <v>21381.45</v>
      </c>
      <c r="AC573">
        <v>21381.45</v>
      </c>
      <c r="AD573">
        <v>13240.21</v>
      </c>
      <c r="AE573">
        <v>8141.24</v>
      </c>
      <c r="AF573" t="s">
        <v>199</v>
      </c>
      <c r="AG573" t="s">
        <v>124</v>
      </c>
      <c r="AH573" t="str">
        <f t="shared" si="135"/>
        <v>Returned</v>
      </c>
      <c r="AI573" t="str">
        <f t="shared" si="136"/>
        <v>Valid</v>
      </c>
      <c r="AJ573">
        <f t="shared" si="137"/>
        <v>8141.2400000000016</v>
      </c>
      <c r="AK573" s="12">
        <f t="shared" si="140"/>
        <v>0.38076182859441249</v>
      </c>
      <c r="AL573">
        <f t="shared" si="141"/>
        <v>2</v>
      </c>
      <c r="AM573">
        <f t="shared" si="142"/>
        <v>2025</v>
      </c>
      <c r="AN573" t="str">
        <f t="shared" si="143"/>
        <v>Clean</v>
      </c>
    </row>
    <row r="574" spans="1:40">
      <c r="A574" t="s">
        <v>2742</v>
      </c>
      <c r="B574" s="3" t="s">
        <v>2743</v>
      </c>
      <c r="C574" s="10">
        <v>45293</v>
      </c>
      <c r="D574" s="3" t="s">
        <v>2744</v>
      </c>
      <c r="E574" s="10">
        <v>45300</v>
      </c>
      <c r="F574" s="6" t="str">
        <f t="shared" si="128"/>
        <v>Valid</v>
      </c>
      <c r="G574" s="8">
        <f t="shared" si="129"/>
        <v>7</v>
      </c>
      <c r="H574" s="8" t="str">
        <f t="shared" si="130"/>
        <v>Valid</v>
      </c>
      <c r="I574" t="s">
        <v>2745</v>
      </c>
      <c r="J574" t="s">
        <v>209</v>
      </c>
      <c r="K574" t="s">
        <v>209</v>
      </c>
      <c r="L574" t="s">
        <v>107</v>
      </c>
      <c r="M574" s="3" t="str">
        <f t="shared" si="131"/>
        <v>Corporate</v>
      </c>
      <c r="N574" t="s">
        <v>26</v>
      </c>
      <c r="O574" s="3" t="str">
        <f t="shared" si="132"/>
        <v>North</v>
      </c>
      <c r="P574" t="s">
        <v>505</v>
      </c>
      <c r="Q574" t="s">
        <v>506</v>
      </c>
      <c r="R574" t="s">
        <v>85</v>
      </c>
      <c r="S574" s="3" t="str">
        <f t="shared" si="133"/>
        <v>Technology</v>
      </c>
      <c r="T574" t="s">
        <v>222</v>
      </c>
      <c r="U574" t="s">
        <v>2746</v>
      </c>
      <c r="V574" t="s">
        <v>66</v>
      </c>
      <c r="W574" s="3" t="str">
        <f t="shared" si="134"/>
        <v>Standard Class</v>
      </c>
      <c r="X574">
        <v>3</v>
      </c>
      <c r="Y574">
        <v>739.56</v>
      </c>
      <c r="Z574">
        <v>0.2</v>
      </c>
      <c r="AA574">
        <f t="shared" si="138"/>
        <v>0.2</v>
      </c>
      <c r="AB574">
        <f t="shared" si="139"/>
        <v>1774.944</v>
      </c>
      <c r="AC574">
        <v>1774.94</v>
      </c>
      <c r="AD574">
        <v>1007.4</v>
      </c>
      <c r="AE574">
        <v>767.54</v>
      </c>
      <c r="AF574" t="s">
        <v>33</v>
      </c>
      <c r="AG574" t="s">
        <v>34</v>
      </c>
      <c r="AH574" t="str">
        <f t="shared" si="135"/>
        <v>Completed</v>
      </c>
      <c r="AI574" t="str">
        <f t="shared" si="136"/>
        <v>Valid</v>
      </c>
      <c r="AJ574">
        <f t="shared" si="137"/>
        <v>767.54000000000008</v>
      </c>
      <c r="AK574" s="12">
        <f t="shared" si="140"/>
        <v>0.43243054428759448</v>
      </c>
      <c r="AL574">
        <f t="shared" si="141"/>
        <v>1</v>
      </c>
      <c r="AM574">
        <f t="shared" si="142"/>
        <v>2024</v>
      </c>
      <c r="AN574" t="str">
        <f t="shared" si="143"/>
        <v>Clean</v>
      </c>
    </row>
    <row r="575" spans="1:40">
      <c r="A575" t="s">
        <v>2747</v>
      </c>
      <c r="B575" s="3" t="s">
        <v>2748</v>
      </c>
      <c r="C575" s="10">
        <v>45922</v>
      </c>
      <c r="D575" s="3" t="s">
        <v>2749</v>
      </c>
      <c r="E575" s="10">
        <v>45926</v>
      </c>
      <c r="F575" s="6" t="str">
        <f t="shared" si="128"/>
        <v>Valid</v>
      </c>
      <c r="G575" s="8">
        <f t="shared" si="129"/>
        <v>4</v>
      </c>
      <c r="H575" s="8" t="str">
        <f t="shared" si="130"/>
        <v>Valid</v>
      </c>
      <c r="I575" t="s">
        <v>2750</v>
      </c>
      <c r="J575" t="s">
        <v>52</v>
      </c>
      <c r="K575" t="s">
        <v>52</v>
      </c>
      <c r="L575" t="s">
        <v>25</v>
      </c>
      <c r="M575" s="3" t="str">
        <f t="shared" si="131"/>
        <v>Consumer</v>
      </c>
      <c r="N575" t="s">
        <v>61</v>
      </c>
      <c r="O575" s="3" t="str">
        <f t="shared" si="132"/>
        <v>South</v>
      </c>
      <c r="P575" t="s">
        <v>99</v>
      </c>
      <c r="Q575" t="s">
        <v>100</v>
      </c>
      <c r="R575" t="s">
        <v>85</v>
      </c>
      <c r="S575" s="3" t="str">
        <f t="shared" si="133"/>
        <v>Technology</v>
      </c>
      <c r="T575" t="s">
        <v>222</v>
      </c>
      <c r="U575" t="s">
        <v>2751</v>
      </c>
      <c r="V575" t="s">
        <v>66</v>
      </c>
      <c r="W575" s="3" t="str">
        <f t="shared" si="134"/>
        <v>Standard Class</v>
      </c>
      <c r="X575">
        <v>1</v>
      </c>
      <c r="Y575">
        <v>573.65</v>
      </c>
      <c r="Z575">
        <v>0</v>
      </c>
      <c r="AA575">
        <f t="shared" si="138"/>
        <v>0</v>
      </c>
      <c r="AB575">
        <f t="shared" si="139"/>
        <v>573.65</v>
      </c>
      <c r="AC575">
        <v>573.65</v>
      </c>
      <c r="AD575">
        <v>322.67</v>
      </c>
      <c r="AE575">
        <v>250.98</v>
      </c>
      <c r="AF575" t="s">
        <v>33</v>
      </c>
      <c r="AG575" t="s">
        <v>34</v>
      </c>
      <c r="AH575" t="str">
        <f t="shared" si="135"/>
        <v>Completed</v>
      </c>
      <c r="AI575" t="str">
        <f t="shared" si="136"/>
        <v>Valid</v>
      </c>
      <c r="AJ575">
        <f t="shared" si="137"/>
        <v>250.97999999999996</v>
      </c>
      <c r="AK575" s="12">
        <f t="shared" si="140"/>
        <v>0.43751416368866031</v>
      </c>
      <c r="AL575">
        <f t="shared" si="141"/>
        <v>9</v>
      </c>
      <c r="AM575">
        <f t="shared" si="142"/>
        <v>2025</v>
      </c>
      <c r="AN575" t="str">
        <f t="shared" si="143"/>
        <v>Clean</v>
      </c>
    </row>
    <row r="576" spans="1:40">
      <c r="A576" t="s">
        <v>2752</v>
      </c>
      <c r="B576" s="3" t="s">
        <v>2753</v>
      </c>
      <c r="C576" s="10">
        <v>45342</v>
      </c>
      <c r="D576" s="3" t="s">
        <v>1644</v>
      </c>
      <c r="E576" s="10">
        <v>45347</v>
      </c>
      <c r="F576" s="6" t="str">
        <f t="shared" si="128"/>
        <v>Valid</v>
      </c>
      <c r="G576" s="8">
        <f t="shared" si="129"/>
        <v>5</v>
      </c>
      <c r="H576" s="8" t="str">
        <f t="shared" si="130"/>
        <v>Valid</v>
      </c>
      <c r="I576" t="s">
        <v>1225</v>
      </c>
      <c r="J576" t="s">
        <v>209</v>
      </c>
      <c r="K576" t="s">
        <v>209</v>
      </c>
      <c r="L576" t="s">
        <v>114</v>
      </c>
      <c r="M576" s="3" t="str">
        <f t="shared" si="131"/>
        <v>Home Office</v>
      </c>
      <c r="N576" t="s">
        <v>26</v>
      </c>
      <c r="O576" s="3" t="str">
        <f t="shared" si="132"/>
        <v>North</v>
      </c>
      <c r="P576" t="s">
        <v>153</v>
      </c>
      <c r="Q576" t="s">
        <v>154</v>
      </c>
      <c r="R576" t="s">
        <v>85</v>
      </c>
      <c r="S576" s="3" t="str">
        <f t="shared" si="133"/>
        <v>Technology</v>
      </c>
      <c r="T576" t="s">
        <v>381</v>
      </c>
      <c r="U576" t="s">
        <v>2754</v>
      </c>
      <c r="V576" t="s">
        <v>66</v>
      </c>
      <c r="W576" s="3" t="str">
        <f t="shared" si="134"/>
        <v>Standard Class</v>
      </c>
      <c r="X576">
        <v>4</v>
      </c>
      <c r="Y576">
        <v>1355.8</v>
      </c>
      <c r="Z576">
        <v>0</v>
      </c>
      <c r="AA576">
        <f t="shared" si="138"/>
        <v>0</v>
      </c>
      <c r="AB576">
        <f t="shared" si="139"/>
        <v>5423.2</v>
      </c>
      <c r="AC576">
        <v>5423.2</v>
      </c>
      <c r="AD576">
        <v>4072.44</v>
      </c>
      <c r="AE576">
        <v>1350.76</v>
      </c>
      <c r="AF576" t="s">
        <v>33</v>
      </c>
      <c r="AG576" t="s">
        <v>34</v>
      </c>
      <c r="AH576" t="str">
        <f t="shared" si="135"/>
        <v>Completed</v>
      </c>
      <c r="AI576" t="str">
        <f t="shared" si="136"/>
        <v>Valid</v>
      </c>
      <c r="AJ576">
        <f t="shared" si="137"/>
        <v>1350.7599999999998</v>
      </c>
      <c r="AK576" s="12">
        <f t="shared" si="140"/>
        <v>0.24907065938929043</v>
      </c>
      <c r="AL576">
        <f t="shared" si="141"/>
        <v>2</v>
      </c>
      <c r="AM576">
        <f t="shared" si="142"/>
        <v>2024</v>
      </c>
      <c r="AN576" t="str">
        <f t="shared" si="143"/>
        <v>Clean</v>
      </c>
    </row>
    <row r="577" spans="1:40">
      <c r="A577" t="s">
        <v>2755</v>
      </c>
      <c r="B577" s="3" t="s">
        <v>2756</v>
      </c>
      <c r="C577" s="10">
        <v>45727</v>
      </c>
      <c r="D577" s="3" t="s">
        <v>2757</v>
      </c>
      <c r="E577" s="10">
        <v>45730</v>
      </c>
      <c r="F577" s="6" t="str">
        <f t="shared" si="128"/>
        <v>Valid</v>
      </c>
      <c r="G577" s="8">
        <f t="shared" si="129"/>
        <v>3</v>
      </c>
      <c r="H577" s="8" t="str">
        <f t="shared" si="130"/>
        <v>Valid</v>
      </c>
      <c r="I577" t="s">
        <v>2758</v>
      </c>
      <c r="J577" t="s">
        <v>167</v>
      </c>
      <c r="K577" t="s">
        <v>167</v>
      </c>
      <c r="L577" t="s">
        <v>114</v>
      </c>
      <c r="M577" s="3" t="str">
        <f t="shared" si="131"/>
        <v>Home Office</v>
      </c>
      <c r="N577" t="s">
        <v>61</v>
      </c>
      <c r="O577" s="3" t="str">
        <f t="shared" si="132"/>
        <v>South</v>
      </c>
      <c r="P577" t="s">
        <v>241</v>
      </c>
      <c r="Q577" t="s">
        <v>242</v>
      </c>
      <c r="R577" t="s">
        <v>44</v>
      </c>
      <c r="S577" s="3" t="str">
        <f t="shared" si="133"/>
        <v>Furniture</v>
      </c>
      <c r="T577" t="s">
        <v>64</v>
      </c>
      <c r="U577" t="s">
        <v>2759</v>
      </c>
      <c r="V577" t="s">
        <v>47</v>
      </c>
      <c r="W577" s="3" t="str">
        <f t="shared" si="134"/>
        <v>Same Day</v>
      </c>
      <c r="X577">
        <v>4</v>
      </c>
      <c r="Y577">
        <v>1244.82</v>
      </c>
      <c r="Z577">
        <v>0.2</v>
      </c>
      <c r="AA577">
        <f t="shared" si="138"/>
        <v>0.2</v>
      </c>
      <c r="AB577">
        <f t="shared" si="139"/>
        <v>3983.424</v>
      </c>
      <c r="AC577">
        <v>3983.42</v>
      </c>
      <c r="AD577">
        <v>3174.91</v>
      </c>
      <c r="AE577">
        <v>808.51</v>
      </c>
      <c r="AF577" t="s">
        <v>199</v>
      </c>
      <c r="AG577" t="s">
        <v>124</v>
      </c>
      <c r="AH577" t="str">
        <f t="shared" si="135"/>
        <v>Returned</v>
      </c>
      <c r="AI577" t="str">
        <f t="shared" si="136"/>
        <v>Valid</v>
      </c>
      <c r="AJ577">
        <f t="shared" si="137"/>
        <v>808.51000000000022</v>
      </c>
      <c r="AK577" s="12">
        <f t="shared" si="140"/>
        <v>0.20296860188621654</v>
      </c>
      <c r="AL577">
        <f t="shared" si="141"/>
        <v>3</v>
      </c>
      <c r="AM577">
        <f t="shared" si="142"/>
        <v>2025</v>
      </c>
      <c r="AN577" t="str">
        <f t="shared" si="143"/>
        <v>Clean</v>
      </c>
    </row>
    <row r="578" spans="1:40">
      <c r="A578" t="s">
        <v>2760</v>
      </c>
      <c r="B578" s="3" t="s">
        <v>2761</v>
      </c>
      <c r="C578" s="10">
        <v>45339</v>
      </c>
      <c r="D578" s="3" t="s">
        <v>2762</v>
      </c>
      <c r="E578" s="10">
        <v>45345</v>
      </c>
      <c r="F578" s="6" t="str">
        <f t="shared" ref="F578:F641" si="144">IF(E578&lt;C578,"Invalid Shipping Record","Valid")</f>
        <v>Valid</v>
      </c>
      <c r="G578" s="8">
        <f t="shared" ref="G578:G641" si="145">E578-C578</f>
        <v>6</v>
      </c>
      <c r="H578" s="8" t="str">
        <f t="shared" ref="H578:H641" si="146">IF(OR(C578="",E578=""),"Missing Date",IF(OR(NOT(ISNUMBER(C578)),NOT(ISNUMBER(E578))),"Invalid Date",IF(E578&lt;C578,"Invalid Shipping Record","Valid")))</f>
        <v>Valid</v>
      </c>
      <c r="I578" t="s">
        <v>2763</v>
      </c>
      <c r="J578" t="s">
        <v>179</v>
      </c>
      <c r="K578" t="s">
        <v>179</v>
      </c>
      <c r="L578" t="s">
        <v>114</v>
      </c>
      <c r="M578" s="3" t="str">
        <f t="shared" ref="M578:M641" si="147">PROPER(TRIM(L578))</f>
        <v>Home Office</v>
      </c>
      <c r="O578" s="3" t="str">
        <f t="shared" ref="O578:O641" si="148">IF(TRIM(N578)="","Unknown",PROPER(TRIM(N578)))</f>
        <v>Unknown</v>
      </c>
      <c r="P578" t="s">
        <v>185</v>
      </c>
      <c r="Q578" t="s">
        <v>186</v>
      </c>
      <c r="R578" t="s">
        <v>29</v>
      </c>
      <c r="S578" s="3" t="str">
        <f t="shared" ref="S578:S641" si="149">PROPER(TRIM(R578))</f>
        <v>Office Supplies</v>
      </c>
      <c r="T578" t="s">
        <v>197</v>
      </c>
      <c r="U578" t="s">
        <v>2764</v>
      </c>
      <c r="V578" t="s">
        <v>66</v>
      </c>
      <c r="W578" s="3" t="str">
        <f t="shared" ref="W578:W641" si="150">IF(TRIM(V578)="","Unknown",PROPER(TRIM(V578)))</f>
        <v>Standard Class</v>
      </c>
      <c r="X578">
        <v>9</v>
      </c>
      <c r="Y578">
        <v>2614.46</v>
      </c>
      <c r="Z578">
        <v>0</v>
      </c>
      <c r="AA578">
        <f t="shared" si="138"/>
        <v>0</v>
      </c>
      <c r="AB578">
        <f t="shared" si="139"/>
        <v>23530.14</v>
      </c>
      <c r="AC578">
        <v>23530.14</v>
      </c>
      <c r="AD578">
        <v>19537.79</v>
      </c>
      <c r="AE578">
        <v>3992.35</v>
      </c>
      <c r="AF578" t="s">
        <v>123</v>
      </c>
      <c r="AG578" t="s">
        <v>124</v>
      </c>
      <c r="AH578" t="str">
        <f t="shared" ref="AH578:AH641" si="151">PROPER(TRIM(AG578))</f>
        <v>Returned</v>
      </c>
      <c r="AI578" t="str">
        <f t="shared" ref="AI578:AI641" si="152">IF(Z578&lt;0,"Invalid - Negative Discount",IF(Z578&gt;1,"Invalid - Discount Above Range","Valid"))</f>
        <v>Valid</v>
      </c>
      <c r="AJ578">
        <f t="shared" ref="AJ578:AJ641" si="153">AC578-AD578</f>
        <v>3992.3499999999985</v>
      </c>
      <c r="AK578" s="12">
        <f t="shared" si="140"/>
        <v>0.16966962372514566</v>
      </c>
      <c r="AL578">
        <f t="shared" si="141"/>
        <v>2</v>
      </c>
      <c r="AM578">
        <f t="shared" si="142"/>
        <v>2024</v>
      </c>
      <c r="AN578" t="str">
        <f t="shared" si="143"/>
        <v>Clean</v>
      </c>
    </row>
    <row r="579" spans="1:40">
      <c r="A579" t="s">
        <v>2765</v>
      </c>
      <c r="B579" s="3" t="s">
        <v>434</v>
      </c>
      <c r="C579" s="10">
        <v>45897</v>
      </c>
      <c r="D579" s="3" t="s">
        <v>2766</v>
      </c>
      <c r="E579" s="10">
        <v>45903</v>
      </c>
      <c r="F579" s="6" t="str">
        <f t="shared" si="144"/>
        <v>Valid</v>
      </c>
      <c r="G579" s="8">
        <f t="shared" si="145"/>
        <v>6</v>
      </c>
      <c r="H579" s="8" t="str">
        <f t="shared" si="146"/>
        <v>Valid</v>
      </c>
      <c r="I579" t="s">
        <v>2767</v>
      </c>
      <c r="J579" t="s">
        <v>141</v>
      </c>
      <c r="K579" t="s">
        <v>141</v>
      </c>
      <c r="L579" t="s">
        <v>107</v>
      </c>
      <c r="M579" s="3" t="str">
        <f t="shared" si="147"/>
        <v>Corporate</v>
      </c>
      <c r="N579" t="s">
        <v>72</v>
      </c>
      <c r="O579" s="3" t="str">
        <f t="shared" si="148"/>
        <v>West</v>
      </c>
      <c r="P579" t="s">
        <v>83</v>
      </c>
      <c r="Q579" t="s">
        <v>84</v>
      </c>
      <c r="R579" t="s">
        <v>44</v>
      </c>
      <c r="S579" s="3" t="str">
        <f t="shared" si="149"/>
        <v>Furniture</v>
      </c>
      <c r="T579" t="s">
        <v>64</v>
      </c>
      <c r="U579" t="s">
        <v>2768</v>
      </c>
      <c r="V579" t="s">
        <v>66</v>
      </c>
      <c r="W579" s="3" t="str">
        <f t="shared" si="150"/>
        <v>Standard Class</v>
      </c>
      <c r="X579">
        <v>7</v>
      </c>
      <c r="Y579">
        <v>268.45</v>
      </c>
      <c r="Z579">
        <v>0</v>
      </c>
      <c r="AA579">
        <f t="shared" ref="AA579:AA642" si="154">IF(Z579="",0,Z579)</f>
        <v>0</v>
      </c>
      <c r="AB579">
        <f t="shared" ref="AB579:AB642" si="155">X579*Y579*(1-Z579)</f>
        <v>1879.1499999999999</v>
      </c>
      <c r="AC579">
        <v>1879.15</v>
      </c>
      <c r="AD579">
        <v>1134.9000000000001</v>
      </c>
      <c r="AE579">
        <v>744.25</v>
      </c>
      <c r="AF579" t="s">
        <v>33</v>
      </c>
      <c r="AG579" t="s">
        <v>34</v>
      </c>
      <c r="AH579" t="str">
        <f t="shared" si="151"/>
        <v>Completed</v>
      </c>
      <c r="AI579" t="str">
        <f t="shared" si="152"/>
        <v>Valid</v>
      </c>
      <c r="AJ579">
        <f t="shared" si="153"/>
        <v>744.25</v>
      </c>
      <c r="AK579" s="12">
        <f t="shared" ref="AK579:AK642" si="156">IF(AB579=0,"",AJ579/AB579)</f>
        <v>0.39605672777585615</v>
      </c>
      <c r="AL579">
        <f t="shared" ref="AL579:AL642" si="157">MONTH(C579)</f>
        <v>8</v>
      </c>
      <c r="AM579">
        <f t="shared" ref="AM579:AM642" si="158">YEAR(C579)</f>
        <v>2025</v>
      </c>
      <c r="AN579" t="str">
        <f t="shared" ref="AN579:AN642" si="159">IF(H579="Invalid Shipping Record","Invalid","Clean")</f>
        <v>Clean</v>
      </c>
    </row>
    <row r="580" spans="1:40">
      <c r="A580" t="s">
        <v>2769</v>
      </c>
      <c r="B580" s="3" t="s">
        <v>2770</v>
      </c>
      <c r="C580" s="10">
        <v>45343</v>
      </c>
      <c r="D580" s="3" t="s">
        <v>2771</v>
      </c>
      <c r="E580" s="10">
        <v>45345</v>
      </c>
      <c r="F580" s="6" t="str">
        <f t="shared" si="144"/>
        <v>Valid</v>
      </c>
      <c r="G580" s="8">
        <f t="shared" si="145"/>
        <v>2</v>
      </c>
      <c r="H580" s="8" t="str">
        <f t="shared" si="146"/>
        <v>Valid</v>
      </c>
      <c r="I580" t="s">
        <v>416</v>
      </c>
      <c r="J580" t="s">
        <v>92</v>
      </c>
      <c r="K580" t="s">
        <v>92</v>
      </c>
      <c r="L580" t="s">
        <v>40</v>
      </c>
      <c r="M580" s="3" t="str">
        <f t="shared" si="147"/>
        <v>Small Business</v>
      </c>
      <c r="N580" t="s">
        <v>72</v>
      </c>
      <c r="O580" s="3" t="str">
        <f t="shared" si="148"/>
        <v>West</v>
      </c>
      <c r="P580" t="s">
        <v>234</v>
      </c>
      <c r="Q580" t="s">
        <v>235</v>
      </c>
      <c r="R580" t="s">
        <v>85</v>
      </c>
      <c r="S580" s="3" t="str">
        <f t="shared" si="149"/>
        <v>Technology</v>
      </c>
      <c r="T580" t="s">
        <v>93</v>
      </c>
      <c r="U580" t="s">
        <v>2772</v>
      </c>
      <c r="V580" t="s">
        <v>55</v>
      </c>
      <c r="W580" s="3" t="str">
        <f t="shared" si="150"/>
        <v>First Class</v>
      </c>
      <c r="X580">
        <v>6</v>
      </c>
      <c r="Y580">
        <v>2633.65</v>
      </c>
      <c r="Z580">
        <v>0.05</v>
      </c>
      <c r="AA580">
        <f t="shared" si="154"/>
        <v>0.05</v>
      </c>
      <c r="AB580">
        <f t="shared" si="155"/>
        <v>15011.805</v>
      </c>
      <c r="AC580">
        <v>15011.81</v>
      </c>
      <c r="AD580">
        <v>9660.36</v>
      </c>
      <c r="AE580">
        <v>5351.45</v>
      </c>
      <c r="AF580" t="s">
        <v>33</v>
      </c>
      <c r="AG580" t="s">
        <v>34</v>
      </c>
      <c r="AH580" t="str">
        <f t="shared" si="151"/>
        <v>Completed</v>
      </c>
      <c r="AI580" t="str">
        <f t="shared" si="152"/>
        <v>Valid</v>
      </c>
      <c r="AJ580">
        <f t="shared" si="153"/>
        <v>5351.4499999999989</v>
      </c>
      <c r="AK580" s="12">
        <f t="shared" si="156"/>
        <v>0.35648278138438372</v>
      </c>
      <c r="AL580">
        <f t="shared" si="157"/>
        <v>2</v>
      </c>
      <c r="AM580">
        <f t="shared" si="158"/>
        <v>2024</v>
      </c>
      <c r="AN580" t="str">
        <f t="shared" si="159"/>
        <v>Clean</v>
      </c>
    </row>
    <row r="581" spans="1:40">
      <c r="A581" t="s">
        <v>2773</v>
      </c>
      <c r="B581" s="3" t="s">
        <v>2774</v>
      </c>
      <c r="C581" s="10">
        <v>45462</v>
      </c>
      <c r="D581" s="3" t="s">
        <v>2775</v>
      </c>
      <c r="E581" s="10">
        <v>45467</v>
      </c>
      <c r="F581" s="6" t="str">
        <f t="shared" si="144"/>
        <v>Valid</v>
      </c>
      <c r="G581" s="8">
        <f t="shared" si="145"/>
        <v>5</v>
      </c>
      <c r="H581" s="8" t="str">
        <f t="shared" si="146"/>
        <v>Valid</v>
      </c>
      <c r="I581" t="s">
        <v>2776</v>
      </c>
      <c r="J581" t="s">
        <v>161</v>
      </c>
      <c r="K581" t="s">
        <v>161</v>
      </c>
      <c r="L581" t="s">
        <v>40</v>
      </c>
      <c r="M581" s="3" t="str">
        <f t="shared" si="147"/>
        <v>Small Business</v>
      </c>
      <c r="N581" t="s">
        <v>61</v>
      </c>
      <c r="O581" s="3" t="str">
        <f t="shared" si="148"/>
        <v>South</v>
      </c>
      <c r="P581" t="s">
        <v>338</v>
      </c>
      <c r="Q581" t="s">
        <v>339</v>
      </c>
      <c r="R581" t="s">
        <v>29</v>
      </c>
      <c r="S581" s="3" t="str">
        <f t="shared" si="149"/>
        <v>Office Supplies</v>
      </c>
      <c r="T581" t="s">
        <v>155</v>
      </c>
      <c r="U581" t="s">
        <v>2777</v>
      </c>
      <c r="V581" t="s">
        <v>47</v>
      </c>
      <c r="W581" s="3" t="str">
        <f t="shared" si="150"/>
        <v>Same Day</v>
      </c>
      <c r="X581">
        <v>1</v>
      </c>
      <c r="Y581">
        <v>3202.41</v>
      </c>
      <c r="Z581">
        <v>0</v>
      </c>
      <c r="AA581">
        <f t="shared" si="154"/>
        <v>0</v>
      </c>
      <c r="AB581">
        <f t="shared" si="155"/>
        <v>3202.41</v>
      </c>
      <c r="AC581">
        <v>3202.41</v>
      </c>
      <c r="AD581">
        <v>2608.44</v>
      </c>
      <c r="AE581">
        <v>593.97</v>
      </c>
      <c r="AF581" t="s">
        <v>33</v>
      </c>
      <c r="AG581" t="s">
        <v>34</v>
      </c>
      <c r="AH581" t="str">
        <f t="shared" si="151"/>
        <v>Completed</v>
      </c>
      <c r="AI581" t="str">
        <f t="shared" si="152"/>
        <v>Valid</v>
      </c>
      <c r="AJ581">
        <f t="shared" si="153"/>
        <v>593.9699999999998</v>
      </c>
      <c r="AK581" s="12">
        <f t="shared" si="156"/>
        <v>0.18547593843386695</v>
      </c>
      <c r="AL581">
        <f t="shared" si="157"/>
        <v>6</v>
      </c>
      <c r="AM581">
        <f t="shared" si="158"/>
        <v>2024</v>
      </c>
      <c r="AN581" t="str">
        <f t="shared" si="159"/>
        <v>Clean</v>
      </c>
    </row>
    <row r="582" spans="1:40">
      <c r="A582" t="s">
        <v>2778</v>
      </c>
      <c r="B582" s="3" t="s">
        <v>2779</v>
      </c>
      <c r="C582" s="10">
        <v>45722</v>
      </c>
      <c r="D582" s="3" t="s">
        <v>1458</v>
      </c>
      <c r="E582" s="10">
        <v>45729</v>
      </c>
      <c r="F582" s="6" t="str">
        <f t="shared" si="144"/>
        <v>Valid</v>
      </c>
      <c r="G582" s="8">
        <f t="shared" si="145"/>
        <v>7</v>
      </c>
      <c r="H582" s="8" t="str">
        <f t="shared" si="146"/>
        <v>Valid</v>
      </c>
      <c r="I582" t="s">
        <v>2780</v>
      </c>
      <c r="J582" t="s">
        <v>365</v>
      </c>
      <c r="K582" t="s">
        <v>365</v>
      </c>
      <c r="L582" t="s">
        <v>25</v>
      </c>
      <c r="M582" s="3" t="str">
        <f t="shared" si="147"/>
        <v>Consumer</v>
      </c>
      <c r="N582" t="s">
        <v>61</v>
      </c>
      <c r="O582" s="3" t="str">
        <f t="shared" si="148"/>
        <v>South</v>
      </c>
      <c r="P582" t="s">
        <v>241</v>
      </c>
      <c r="Q582" t="s">
        <v>242</v>
      </c>
      <c r="R582" t="s">
        <v>44</v>
      </c>
      <c r="S582" s="3" t="str">
        <f t="shared" si="149"/>
        <v>Furniture</v>
      </c>
      <c r="T582" t="s">
        <v>75</v>
      </c>
      <c r="U582" t="s">
        <v>2781</v>
      </c>
      <c r="V582" t="s">
        <v>66</v>
      </c>
      <c r="W582" s="3" t="str">
        <f t="shared" si="150"/>
        <v>Standard Class</v>
      </c>
      <c r="X582">
        <v>3</v>
      </c>
      <c r="Y582">
        <v>163.72</v>
      </c>
      <c r="Z582">
        <v>0.15</v>
      </c>
      <c r="AA582">
        <f t="shared" si="154"/>
        <v>0.15</v>
      </c>
      <c r="AB582">
        <f t="shared" si="155"/>
        <v>417.48599999999999</v>
      </c>
      <c r="AC582">
        <v>417.49</v>
      </c>
      <c r="AD582">
        <v>261.67</v>
      </c>
      <c r="AE582">
        <v>155.82</v>
      </c>
      <c r="AF582" t="s">
        <v>199</v>
      </c>
      <c r="AG582" t="s">
        <v>124</v>
      </c>
      <c r="AH582" t="str">
        <f t="shared" si="151"/>
        <v>Returned</v>
      </c>
      <c r="AI582" t="str">
        <f t="shared" si="152"/>
        <v>Valid</v>
      </c>
      <c r="AJ582">
        <f t="shared" si="153"/>
        <v>155.82</v>
      </c>
      <c r="AK582" s="12">
        <f t="shared" si="156"/>
        <v>0.37323407251979707</v>
      </c>
      <c r="AL582">
        <f t="shared" si="157"/>
        <v>3</v>
      </c>
      <c r="AM582">
        <f t="shared" si="158"/>
        <v>2025</v>
      </c>
      <c r="AN582" t="str">
        <f t="shared" si="159"/>
        <v>Clean</v>
      </c>
    </row>
    <row r="583" spans="1:40">
      <c r="A583" t="s">
        <v>2782</v>
      </c>
      <c r="B583" s="3" t="s">
        <v>1342</v>
      </c>
      <c r="C583" s="10">
        <v>45878</v>
      </c>
      <c r="D583" s="3" t="s">
        <v>2783</v>
      </c>
      <c r="E583" s="10">
        <v>45879</v>
      </c>
      <c r="F583" s="6" t="str">
        <f t="shared" si="144"/>
        <v>Valid</v>
      </c>
      <c r="G583" s="8">
        <f t="shared" si="145"/>
        <v>1</v>
      </c>
      <c r="H583" s="8" t="str">
        <f t="shared" si="146"/>
        <v>Valid</v>
      </c>
      <c r="I583" t="s">
        <v>2784</v>
      </c>
      <c r="J583" t="s">
        <v>92</v>
      </c>
      <c r="K583" t="s">
        <v>92</v>
      </c>
      <c r="L583" t="s">
        <v>25</v>
      </c>
      <c r="M583" s="3" t="str">
        <f t="shared" si="147"/>
        <v>Consumer</v>
      </c>
      <c r="N583" t="s">
        <v>26</v>
      </c>
      <c r="O583" s="3" t="str">
        <f t="shared" si="148"/>
        <v>North</v>
      </c>
      <c r="P583" t="s">
        <v>505</v>
      </c>
      <c r="Q583" t="s">
        <v>506</v>
      </c>
      <c r="R583" t="s">
        <v>29</v>
      </c>
      <c r="S583" s="3" t="str">
        <f t="shared" si="149"/>
        <v>Office Supplies</v>
      </c>
      <c r="T583" t="s">
        <v>53</v>
      </c>
      <c r="U583" t="s">
        <v>2785</v>
      </c>
      <c r="V583" t="s">
        <v>32</v>
      </c>
      <c r="W583" s="3" t="str">
        <f t="shared" si="150"/>
        <v>Second Class</v>
      </c>
      <c r="X583">
        <v>4</v>
      </c>
      <c r="Y583">
        <v>4080.95</v>
      </c>
      <c r="Z583">
        <v>0</v>
      </c>
      <c r="AA583">
        <f t="shared" si="154"/>
        <v>0</v>
      </c>
      <c r="AB583">
        <f t="shared" si="155"/>
        <v>16323.8</v>
      </c>
      <c r="AC583">
        <v>16323.8</v>
      </c>
      <c r="AD583">
        <v>9965.7900000000009</v>
      </c>
      <c r="AE583">
        <v>6358.01</v>
      </c>
      <c r="AF583" t="s">
        <v>123</v>
      </c>
      <c r="AG583" t="s">
        <v>124</v>
      </c>
      <c r="AH583" t="str">
        <f t="shared" si="151"/>
        <v>Returned</v>
      </c>
      <c r="AI583" t="str">
        <f t="shared" si="152"/>
        <v>Valid</v>
      </c>
      <c r="AJ583">
        <f t="shared" si="153"/>
        <v>6358.0099999999984</v>
      </c>
      <c r="AK583" s="12">
        <f t="shared" si="156"/>
        <v>0.38949325524693995</v>
      </c>
      <c r="AL583">
        <f t="shared" si="157"/>
        <v>8</v>
      </c>
      <c r="AM583">
        <f t="shared" si="158"/>
        <v>2025</v>
      </c>
      <c r="AN583" t="str">
        <f t="shared" si="159"/>
        <v>Clean</v>
      </c>
    </row>
    <row r="584" spans="1:40">
      <c r="A584" t="s">
        <v>2786</v>
      </c>
      <c r="B584" s="3" t="s">
        <v>2787</v>
      </c>
      <c r="C584" s="10">
        <v>45580</v>
      </c>
      <c r="D584" s="3" t="s">
        <v>2788</v>
      </c>
      <c r="E584" s="10">
        <v>45585</v>
      </c>
      <c r="F584" s="6" t="str">
        <f t="shared" si="144"/>
        <v>Valid</v>
      </c>
      <c r="G584" s="8">
        <f t="shared" si="145"/>
        <v>5</v>
      </c>
      <c r="H584" s="8" t="str">
        <f t="shared" si="146"/>
        <v>Valid</v>
      </c>
      <c r="I584" t="s">
        <v>2789</v>
      </c>
      <c r="J584" t="s">
        <v>71</v>
      </c>
      <c r="K584" t="s">
        <v>71</v>
      </c>
      <c r="L584" t="s">
        <v>25</v>
      </c>
      <c r="M584" s="3" t="str">
        <f t="shared" si="147"/>
        <v>Consumer</v>
      </c>
      <c r="N584" t="s">
        <v>41</v>
      </c>
      <c r="O584" s="3" t="str">
        <f t="shared" si="148"/>
        <v>East</v>
      </c>
      <c r="P584" t="s">
        <v>42</v>
      </c>
      <c r="Q584" t="s">
        <v>43</v>
      </c>
      <c r="R584" t="s">
        <v>29</v>
      </c>
      <c r="S584" s="3" t="str">
        <f t="shared" si="149"/>
        <v>Office Supplies</v>
      </c>
      <c r="T584" t="s">
        <v>53</v>
      </c>
      <c r="U584" t="s">
        <v>2790</v>
      </c>
      <c r="V584" t="s">
        <v>55</v>
      </c>
      <c r="W584" s="3" t="str">
        <f t="shared" si="150"/>
        <v>First Class</v>
      </c>
      <c r="X584">
        <v>5</v>
      </c>
      <c r="Y584">
        <v>671.24</v>
      </c>
      <c r="Z584">
        <v>0</v>
      </c>
      <c r="AA584">
        <f t="shared" si="154"/>
        <v>0</v>
      </c>
      <c r="AB584">
        <f t="shared" si="155"/>
        <v>3356.2</v>
      </c>
      <c r="AC584">
        <v>3356.2</v>
      </c>
      <c r="AD584">
        <v>2205.7199999999998</v>
      </c>
      <c r="AE584">
        <v>1150.48</v>
      </c>
      <c r="AF584" t="s">
        <v>136</v>
      </c>
      <c r="AG584" t="s">
        <v>124</v>
      </c>
      <c r="AH584" t="str">
        <f t="shared" si="151"/>
        <v>Returned</v>
      </c>
      <c r="AI584" t="str">
        <f t="shared" si="152"/>
        <v>Valid</v>
      </c>
      <c r="AJ584">
        <f t="shared" si="153"/>
        <v>1150.48</v>
      </c>
      <c r="AK584" s="12">
        <f t="shared" si="156"/>
        <v>0.34279244383528995</v>
      </c>
      <c r="AL584">
        <f t="shared" si="157"/>
        <v>10</v>
      </c>
      <c r="AM584">
        <f t="shared" si="158"/>
        <v>2024</v>
      </c>
      <c r="AN584" t="str">
        <f t="shared" si="159"/>
        <v>Clean</v>
      </c>
    </row>
    <row r="585" spans="1:40">
      <c r="A585" t="s">
        <v>2791</v>
      </c>
      <c r="B585" s="3" t="s">
        <v>625</v>
      </c>
      <c r="C585" s="10">
        <v>45350</v>
      </c>
      <c r="D585" s="3" t="s">
        <v>2792</v>
      </c>
      <c r="E585" s="10">
        <v>45350</v>
      </c>
      <c r="F585" s="6" t="str">
        <f t="shared" si="144"/>
        <v>Valid</v>
      </c>
      <c r="G585" s="8">
        <f t="shared" si="145"/>
        <v>0</v>
      </c>
      <c r="H585" s="8" t="str">
        <f t="shared" si="146"/>
        <v>Valid</v>
      </c>
      <c r="I585" t="s">
        <v>2793</v>
      </c>
      <c r="J585" t="s">
        <v>179</v>
      </c>
      <c r="K585" t="s">
        <v>179</v>
      </c>
      <c r="L585" t="s">
        <v>40</v>
      </c>
      <c r="M585" s="3" t="str">
        <f t="shared" si="147"/>
        <v>Small Business</v>
      </c>
      <c r="N585" t="s">
        <v>41</v>
      </c>
      <c r="O585" s="3" t="str">
        <f t="shared" si="148"/>
        <v>East</v>
      </c>
      <c r="P585" t="s">
        <v>120</v>
      </c>
      <c r="Q585" t="s">
        <v>121</v>
      </c>
      <c r="R585" t="s">
        <v>29</v>
      </c>
      <c r="S585" s="3" t="str">
        <f t="shared" si="149"/>
        <v>Office Supplies</v>
      </c>
      <c r="T585" t="s">
        <v>155</v>
      </c>
      <c r="U585" t="s">
        <v>2794</v>
      </c>
      <c r="V585" t="s">
        <v>55</v>
      </c>
      <c r="W585" s="3" t="str">
        <f t="shared" si="150"/>
        <v>First Class</v>
      </c>
      <c r="X585">
        <v>1</v>
      </c>
      <c r="Y585">
        <v>2626.84</v>
      </c>
      <c r="Z585">
        <v>0.2</v>
      </c>
      <c r="AA585">
        <f t="shared" si="154"/>
        <v>0.2</v>
      </c>
      <c r="AB585">
        <f t="shared" si="155"/>
        <v>2101.4720000000002</v>
      </c>
      <c r="AC585">
        <v>2101.4699999999998</v>
      </c>
      <c r="AD585">
        <v>1217.83</v>
      </c>
      <c r="AE585">
        <v>883.64</v>
      </c>
      <c r="AF585" t="s">
        <v>199</v>
      </c>
      <c r="AG585" t="s">
        <v>124</v>
      </c>
      <c r="AH585" t="str">
        <f t="shared" si="151"/>
        <v>Returned</v>
      </c>
      <c r="AI585" t="str">
        <f t="shared" si="152"/>
        <v>Valid</v>
      </c>
      <c r="AJ585">
        <f t="shared" si="153"/>
        <v>883.63999999999987</v>
      </c>
      <c r="AK585" s="12">
        <f t="shared" si="156"/>
        <v>0.42048621156979477</v>
      </c>
      <c r="AL585">
        <f t="shared" si="157"/>
        <v>2</v>
      </c>
      <c r="AM585">
        <f t="shared" si="158"/>
        <v>2024</v>
      </c>
      <c r="AN585" t="str">
        <f t="shared" si="159"/>
        <v>Clean</v>
      </c>
    </row>
    <row r="586" spans="1:40">
      <c r="A586" t="s">
        <v>2795</v>
      </c>
      <c r="B586" s="3" t="s">
        <v>2796</v>
      </c>
      <c r="C586" s="10">
        <v>45508</v>
      </c>
      <c r="D586" s="3" t="s">
        <v>2797</v>
      </c>
      <c r="E586" s="10">
        <v>45514</v>
      </c>
      <c r="F586" s="6" t="str">
        <f t="shared" si="144"/>
        <v>Valid</v>
      </c>
      <c r="G586" s="8">
        <f t="shared" si="145"/>
        <v>6</v>
      </c>
      <c r="H586" s="8" t="str">
        <f t="shared" si="146"/>
        <v>Valid</v>
      </c>
      <c r="I586" t="s">
        <v>2798</v>
      </c>
      <c r="J586" t="s">
        <v>82</v>
      </c>
      <c r="K586" t="s">
        <v>82</v>
      </c>
      <c r="L586" t="s">
        <v>25</v>
      </c>
      <c r="M586" s="3" t="str">
        <f t="shared" si="147"/>
        <v>Consumer</v>
      </c>
      <c r="N586" t="s">
        <v>41</v>
      </c>
      <c r="O586" s="3" t="str">
        <f t="shared" si="148"/>
        <v>East</v>
      </c>
      <c r="P586" t="s">
        <v>185</v>
      </c>
      <c r="Q586" t="s">
        <v>186</v>
      </c>
      <c r="R586" t="s">
        <v>29</v>
      </c>
      <c r="S586" s="3" t="str">
        <f t="shared" si="149"/>
        <v>Office Supplies</v>
      </c>
      <c r="T586" t="s">
        <v>53</v>
      </c>
      <c r="U586" t="s">
        <v>2799</v>
      </c>
      <c r="V586" t="s">
        <v>47</v>
      </c>
      <c r="W586" s="3" t="str">
        <f t="shared" si="150"/>
        <v>Same Day</v>
      </c>
      <c r="X586">
        <v>1</v>
      </c>
      <c r="Y586">
        <v>984.93</v>
      </c>
      <c r="Z586">
        <v>0.15</v>
      </c>
      <c r="AA586">
        <f t="shared" si="154"/>
        <v>0.15</v>
      </c>
      <c r="AB586">
        <f t="shared" si="155"/>
        <v>837.19049999999993</v>
      </c>
      <c r="AC586">
        <v>837.19</v>
      </c>
      <c r="AD586">
        <v>583.79</v>
      </c>
      <c r="AE586">
        <v>253.4</v>
      </c>
      <c r="AF586" t="s">
        <v>136</v>
      </c>
      <c r="AG586" t="s">
        <v>124</v>
      </c>
      <c r="AH586" t="str">
        <f t="shared" si="151"/>
        <v>Returned</v>
      </c>
      <c r="AI586" t="str">
        <f t="shared" si="152"/>
        <v>Valid</v>
      </c>
      <c r="AJ586">
        <f t="shared" si="153"/>
        <v>253.40000000000009</v>
      </c>
      <c r="AK586" s="12">
        <f t="shared" si="156"/>
        <v>0.30267901988854401</v>
      </c>
      <c r="AL586">
        <f t="shared" si="157"/>
        <v>8</v>
      </c>
      <c r="AM586">
        <f t="shared" si="158"/>
        <v>2024</v>
      </c>
      <c r="AN586" t="str">
        <f t="shared" si="159"/>
        <v>Clean</v>
      </c>
    </row>
    <row r="587" spans="1:40">
      <c r="A587" t="s">
        <v>2800</v>
      </c>
      <c r="B587" s="3" t="s">
        <v>1687</v>
      </c>
      <c r="C587" s="10">
        <v>45830</v>
      </c>
      <c r="D587" s="3" t="s">
        <v>2801</v>
      </c>
      <c r="E587" s="10">
        <v>45833</v>
      </c>
      <c r="F587" s="6" t="str">
        <f t="shared" si="144"/>
        <v>Valid</v>
      </c>
      <c r="G587" s="8">
        <f t="shared" si="145"/>
        <v>3</v>
      </c>
      <c r="H587" s="8" t="str">
        <f t="shared" si="146"/>
        <v>Valid</v>
      </c>
      <c r="I587" t="s">
        <v>2802</v>
      </c>
      <c r="J587" t="s">
        <v>209</v>
      </c>
      <c r="K587" t="s">
        <v>209</v>
      </c>
      <c r="L587" t="s">
        <v>40</v>
      </c>
      <c r="M587" s="3" t="str">
        <f t="shared" si="147"/>
        <v>Small Business</v>
      </c>
      <c r="N587" t="s">
        <v>1049</v>
      </c>
      <c r="O587" s="3" t="str">
        <f t="shared" si="148"/>
        <v>West</v>
      </c>
      <c r="P587" t="s">
        <v>73</v>
      </c>
      <c r="Q587" t="s">
        <v>74</v>
      </c>
      <c r="R587" t="s">
        <v>85</v>
      </c>
      <c r="S587" s="3" t="str">
        <f t="shared" si="149"/>
        <v>Technology</v>
      </c>
      <c r="T587" t="s">
        <v>222</v>
      </c>
      <c r="U587" t="s">
        <v>2803</v>
      </c>
      <c r="V587" t="s">
        <v>55</v>
      </c>
      <c r="W587" s="3" t="str">
        <f t="shared" si="150"/>
        <v>First Class</v>
      </c>
      <c r="X587">
        <v>8</v>
      </c>
      <c r="Y587">
        <v>3453.66</v>
      </c>
      <c r="Z587">
        <v>0</v>
      </c>
      <c r="AA587">
        <f t="shared" si="154"/>
        <v>0</v>
      </c>
      <c r="AB587">
        <f t="shared" si="155"/>
        <v>27629.279999999999</v>
      </c>
      <c r="AC587">
        <v>27629.279999999999</v>
      </c>
      <c r="AD587">
        <v>22026.48</v>
      </c>
      <c r="AE587">
        <v>5602.8</v>
      </c>
      <c r="AF587" t="s">
        <v>33</v>
      </c>
      <c r="AG587" t="s">
        <v>34</v>
      </c>
      <c r="AH587" t="str">
        <f t="shared" si="151"/>
        <v>Completed</v>
      </c>
      <c r="AI587" t="str">
        <f t="shared" si="152"/>
        <v>Valid</v>
      </c>
      <c r="AJ587">
        <f t="shared" si="153"/>
        <v>5602.7999999999993</v>
      </c>
      <c r="AK587" s="12">
        <f t="shared" si="156"/>
        <v>0.20278487170132553</v>
      </c>
      <c r="AL587">
        <f t="shared" si="157"/>
        <v>6</v>
      </c>
      <c r="AM587">
        <f t="shared" si="158"/>
        <v>2025</v>
      </c>
      <c r="AN587" t="str">
        <f t="shared" si="159"/>
        <v>Clean</v>
      </c>
    </row>
    <row r="588" spans="1:40">
      <c r="A588" t="s">
        <v>2804</v>
      </c>
      <c r="B588" s="3" t="s">
        <v>2805</v>
      </c>
      <c r="C588" s="10">
        <v>45759</v>
      </c>
      <c r="D588" s="3" t="s">
        <v>2806</v>
      </c>
      <c r="E588" s="10">
        <v>45759</v>
      </c>
      <c r="F588" s="6" t="str">
        <f t="shared" si="144"/>
        <v>Valid</v>
      </c>
      <c r="G588" s="8">
        <f t="shared" si="145"/>
        <v>0</v>
      </c>
      <c r="H588" s="8" t="str">
        <f t="shared" si="146"/>
        <v>Valid</v>
      </c>
      <c r="I588" t="s">
        <v>2807</v>
      </c>
      <c r="J588" t="s">
        <v>39</v>
      </c>
      <c r="K588" t="s">
        <v>39</v>
      </c>
      <c r="L588" t="s">
        <v>114</v>
      </c>
      <c r="M588" s="3" t="str">
        <f t="shared" si="147"/>
        <v>Home Office</v>
      </c>
      <c r="N588" t="s">
        <v>26</v>
      </c>
      <c r="O588" s="3" t="str">
        <f t="shared" si="148"/>
        <v>North</v>
      </c>
      <c r="P588" t="s">
        <v>153</v>
      </c>
      <c r="Q588" t="s">
        <v>154</v>
      </c>
      <c r="R588" t="s">
        <v>29</v>
      </c>
      <c r="S588" s="3" t="str">
        <f t="shared" si="149"/>
        <v>Office Supplies</v>
      </c>
      <c r="T588" t="s">
        <v>197</v>
      </c>
      <c r="U588" t="s">
        <v>2808</v>
      </c>
      <c r="V588" t="s">
        <v>32</v>
      </c>
      <c r="W588" s="3" t="str">
        <f t="shared" si="150"/>
        <v>Second Class</v>
      </c>
      <c r="X588">
        <v>7</v>
      </c>
      <c r="Y588">
        <v>1334.2</v>
      </c>
      <c r="Z588">
        <v>0.2</v>
      </c>
      <c r="AA588">
        <f t="shared" si="154"/>
        <v>0.2</v>
      </c>
      <c r="AB588">
        <f t="shared" si="155"/>
        <v>7471.52</v>
      </c>
      <c r="AC588">
        <v>7471.52</v>
      </c>
      <c r="AD588">
        <v>6184.32</v>
      </c>
      <c r="AE588">
        <v>1287.2</v>
      </c>
      <c r="AF588" t="s">
        <v>33</v>
      </c>
      <c r="AG588" t="s">
        <v>34</v>
      </c>
      <c r="AH588" t="str">
        <f t="shared" si="151"/>
        <v>Completed</v>
      </c>
      <c r="AI588" t="str">
        <f t="shared" si="152"/>
        <v>Valid</v>
      </c>
      <c r="AJ588">
        <f t="shared" si="153"/>
        <v>1287.2000000000007</v>
      </c>
      <c r="AK588" s="12">
        <f t="shared" si="156"/>
        <v>0.17228087457438387</v>
      </c>
      <c r="AL588">
        <f t="shared" si="157"/>
        <v>4</v>
      </c>
      <c r="AM588">
        <f t="shared" si="158"/>
        <v>2025</v>
      </c>
      <c r="AN588" t="str">
        <f t="shared" si="159"/>
        <v>Clean</v>
      </c>
    </row>
    <row r="589" spans="1:40">
      <c r="A589" t="s">
        <v>2809</v>
      </c>
      <c r="B589" s="3" t="s">
        <v>2810</v>
      </c>
      <c r="C589" s="10">
        <v>45861</v>
      </c>
      <c r="D589" s="3" t="s">
        <v>2811</v>
      </c>
      <c r="E589" s="10">
        <v>45869</v>
      </c>
      <c r="F589" s="6" t="str">
        <f t="shared" si="144"/>
        <v>Valid</v>
      </c>
      <c r="G589" s="8">
        <f t="shared" si="145"/>
        <v>8</v>
      </c>
      <c r="H589" s="8" t="str">
        <f t="shared" si="146"/>
        <v>Valid</v>
      </c>
      <c r="I589" t="s">
        <v>2812</v>
      </c>
      <c r="J589" t="s">
        <v>365</v>
      </c>
      <c r="K589" t="s">
        <v>365</v>
      </c>
      <c r="L589" t="s">
        <v>114</v>
      </c>
      <c r="M589" s="3" t="str">
        <f t="shared" si="147"/>
        <v>Home Office</v>
      </c>
      <c r="N589" t="s">
        <v>72</v>
      </c>
      <c r="O589" s="3" t="str">
        <f t="shared" si="148"/>
        <v>West</v>
      </c>
      <c r="P589" t="s">
        <v>83</v>
      </c>
      <c r="Q589" t="s">
        <v>84</v>
      </c>
      <c r="R589" t="s">
        <v>85</v>
      </c>
      <c r="S589" s="3" t="str">
        <f t="shared" si="149"/>
        <v>Technology</v>
      </c>
      <c r="T589" t="s">
        <v>86</v>
      </c>
      <c r="U589" t="s">
        <v>2813</v>
      </c>
      <c r="V589" t="s">
        <v>55</v>
      </c>
      <c r="W589" s="3" t="str">
        <f t="shared" si="150"/>
        <v>First Class</v>
      </c>
      <c r="X589">
        <v>1</v>
      </c>
      <c r="Y589">
        <v>4253.84</v>
      </c>
      <c r="Z589">
        <v>0.15</v>
      </c>
      <c r="AA589">
        <f t="shared" si="154"/>
        <v>0.15</v>
      </c>
      <c r="AB589">
        <f t="shared" si="155"/>
        <v>3615.7640000000001</v>
      </c>
      <c r="AC589">
        <v>3615.76</v>
      </c>
      <c r="AD589">
        <v>2951.52</v>
      </c>
      <c r="AE589">
        <v>664.24</v>
      </c>
      <c r="AF589" t="s">
        <v>123</v>
      </c>
      <c r="AG589" t="s">
        <v>77</v>
      </c>
      <c r="AH589" t="str">
        <f t="shared" si="151"/>
        <v>Cancelled</v>
      </c>
      <c r="AI589" t="str">
        <f t="shared" si="152"/>
        <v>Valid</v>
      </c>
      <c r="AJ589">
        <f t="shared" si="153"/>
        <v>664.24000000000024</v>
      </c>
      <c r="AK589" s="12">
        <f t="shared" si="156"/>
        <v>0.18370667997136989</v>
      </c>
      <c r="AL589">
        <f t="shared" si="157"/>
        <v>7</v>
      </c>
      <c r="AM589">
        <f t="shared" si="158"/>
        <v>2025</v>
      </c>
      <c r="AN589" t="str">
        <f t="shared" si="159"/>
        <v>Clean</v>
      </c>
    </row>
    <row r="590" spans="1:40">
      <c r="A590" t="s">
        <v>2814</v>
      </c>
      <c r="B590" s="3" t="s">
        <v>2815</v>
      </c>
      <c r="C590" s="10">
        <v>45727</v>
      </c>
      <c r="D590" s="3" t="s">
        <v>2816</v>
      </c>
      <c r="E590" s="10">
        <v>45731</v>
      </c>
      <c r="F590" s="6" t="str">
        <f t="shared" si="144"/>
        <v>Valid</v>
      </c>
      <c r="G590" s="8">
        <f t="shared" si="145"/>
        <v>4</v>
      </c>
      <c r="H590" s="8" t="str">
        <f t="shared" si="146"/>
        <v>Valid</v>
      </c>
      <c r="I590" t="s">
        <v>2817</v>
      </c>
      <c r="J590" t="s">
        <v>161</v>
      </c>
      <c r="K590" t="s">
        <v>161</v>
      </c>
      <c r="L590" t="s">
        <v>114</v>
      </c>
      <c r="M590" s="3" t="str">
        <f t="shared" si="147"/>
        <v>Home Office</v>
      </c>
      <c r="N590" t="s">
        <v>61</v>
      </c>
      <c r="O590" s="3" t="str">
        <f t="shared" si="148"/>
        <v>South</v>
      </c>
      <c r="P590" t="s">
        <v>228</v>
      </c>
      <c r="Q590" t="s">
        <v>229</v>
      </c>
      <c r="R590" t="s">
        <v>85</v>
      </c>
      <c r="S590" s="3" t="str">
        <f t="shared" si="149"/>
        <v>Technology</v>
      </c>
      <c r="T590" t="s">
        <v>86</v>
      </c>
      <c r="U590" t="s">
        <v>2818</v>
      </c>
      <c r="V590" t="s">
        <v>32</v>
      </c>
      <c r="W590" s="3" t="str">
        <f t="shared" si="150"/>
        <v>Second Class</v>
      </c>
      <c r="X590">
        <v>8</v>
      </c>
      <c r="Y590">
        <v>4446.3599999999997</v>
      </c>
      <c r="Z590">
        <v>0.1</v>
      </c>
      <c r="AA590">
        <f t="shared" si="154"/>
        <v>0.1</v>
      </c>
      <c r="AB590">
        <f t="shared" si="155"/>
        <v>32013.791999999998</v>
      </c>
      <c r="AC590">
        <v>32013.79</v>
      </c>
      <c r="AD590">
        <v>20896.88</v>
      </c>
      <c r="AE590">
        <v>11116.91</v>
      </c>
      <c r="AF590" t="s">
        <v>123</v>
      </c>
      <c r="AG590" t="s">
        <v>77</v>
      </c>
      <c r="AH590" t="str">
        <f t="shared" si="151"/>
        <v>Cancelled</v>
      </c>
      <c r="AI590" t="str">
        <f t="shared" si="152"/>
        <v>Valid</v>
      </c>
      <c r="AJ590">
        <f t="shared" si="153"/>
        <v>11116.91</v>
      </c>
      <c r="AK590" s="12">
        <f t="shared" si="156"/>
        <v>0.34725377112464528</v>
      </c>
      <c r="AL590">
        <f t="shared" si="157"/>
        <v>3</v>
      </c>
      <c r="AM590">
        <f t="shared" si="158"/>
        <v>2025</v>
      </c>
      <c r="AN590" t="str">
        <f t="shared" si="159"/>
        <v>Clean</v>
      </c>
    </row>
    <row r="591" spans="1:40">
      <c r="A591" t="s">
        <v>2819</v>
      </c>
      <c r="B591" s="3" t="s">
        <v>2820</v>
      </c>
      <c r="C591" s="10">
        <v>45632</v>
      </c>
      <c r="D591" s="3" t="s">
        <v>2821</v>
      </c>
      <c r="E591" s="10">
        <v>45638</v>
      </c>
      <c r="F591" s="6" t="str">
        <f t="shared" si="144"/>
        <v>Valid</v>
      </c>
      <c r="G591" s="8">
        <f t="shared" si="145"/>
        <v>6</v>
      </c>
      <c r="H591" s="8" t="str">
        <f t="shared" si="146"/>
        <v>Valid</v>
      </c>
      <c r="I591" t="s">
        <v>2822</v>
      </c>
      <c r="J591" t="s">
        <v>179</v>
      </c>
      <c r="K591" t="s">
        <v>179</v>
      </c>
      <c r="L591" t="s">
        <v>107</v>
      </c>
      <c r="M591" s="3" t="str">
        <f t="shared" si="147"/>
        <v>Corporate</v>
      </c>
      <c r="N591" t="s">
        <v>26</v>
      </c>
      <c r="O591" s="3" t="str">
        <f t="shared" si="148"/>
        <v>North</v>
      </c>
      <c r="P591" t="s">
        <v>173</v>
      </c>
      <c r="Q591" t="s">
        <v>174</v>
      </c>
      <c r="R591" t="s">
        <v>85</v>
      </c>
      <c r="S591" s="3" t="str">
        <f t="shared" si="149"/>
        <v>Technology</v>
      </c>
      <c r="T591" t="s">
        <v>222</v>
      </c>
      <c r="U591" t="s">
        <v>2823</v>
      </c>
      <c r="V591" t="s">
        <v>55</v>
      </c>
      <c r="W591" s="3" t="str">
        <f t="shared" si="150"/>
        <v>First Class</v>
      </c>
      <c r="X591">
        <v>3</v>
      </c>
      <c r="Y591">
        <v>524.75</v>
      </c>
      <c r="Z591">
        <v>0</v>
      </c>
      <c r="AA591">
        <f t="shared" si="154"/>
        <v>0</v>
      </c>
      <c r="AB591">
        <f t="shared" si="155"/>
        <v>1574.25</v>
      </c>
      <c r="AC591">
        <v>1574.25</v>
      </c>
      <c r="AD591">
        <v>1326.12</v>
      </c>
      <c r="AE591">
        <v>248.13</v>
      </c>
      <c r="AF591" t="s">
        <v>33</v>
      </c>
      <c r="AG591" t="s">
        <v>34</v>
      </c>
      <c r="AH591" t="str">
        <f t="shared" si="151"/>
        <v>Completed</v>
      </c>
      <c r="AI591" t="str">
        <f t="shared" si="152"/>
        <v>Valid</v>
      </c>
      <c r="AJ591">
        <f t="shared" si="153"/>
        <v>248.13000000000011</v>
      </c>
      <c r="AK591" s="12">
        <f t="shared" si="156"/>
        <v>0.15761791329204389</v>
      </c>
      <c r="AL591">
        <f t="shared" si="157"/>
        <v>12</v>
      </c>
      <c r="AM591">
        <f t="shared" si="158"/>
        <v>2024</v>
      </c>
      <c r="AN591" t="str">
        <f t="shared" si="159"/>
        <v>Clean</v>
      </c>
    </row>
    <row r="592" spans="1:40">
      <c r="A592" t="s">
        <v>2824</v>
      </c>
      <c r="B592" s="3" t="s">
        <v>272</v>
      </c>
      <c r="C592" s="10">
        <v>45441</v>
      </c>
      <c r="D592" s="3" t="s">
        <v>2825</v>
      </c>
      <c r="E592" s="10">
        <v>45441</v>
      </c>
      <c r="F592" s="6" t="str">
        <f t="shared" si="144"/>
        <v>Valid</v>
      </c>
      <c r="G592" s="8">
        <f t="shared" si="145"/>
        <v>0</v>
      </c>
      <c r="H592" s="8" t="str">
        <f t="shared" si="146"/>
        <v>Valid</v>
      </c>
      <c r="I592" t="s">
        <v>2826</v>
      </c>
      <c r="J592" t="s">
        <v>161</v>
      </c>
      <c r="K592" t="s">
        <v>161</v>
      </c>
      <c r="L592" t="s">
        <v>114</v>
      </c>
      <c r="M592" s="3" t="str">
        <f t="shared" si="147"/>
        <v>Home Office</v>
      </c>
      <c r="N592" t="s">
        <v>26</v>
      </c>
      <c r="O592" s="3" t="str">
        <f t="shared" si="148"/>
        <v>North</v>
      </c>
      <c r="P592" t="s">
        <v>505</v>
      </c>
      <c r="Q592" t="s">
        <v>506</v>
      </c>
      <c r="R592" t="s">
        <v>44</v>
      </c>
      <c r="S592" s="3" t="str">
        <f t="shared" si="149"/>
        <v>Furniture</v>
      </c>
      <c r="T592" t="s">
        <v>75</v>
      </c>
      <c r="U592" t="s">
        <v>2827</v>
      </c>
      <c r="V592" t="s">
        <v>47</v>
      </c>
      <c r="W592" s="3" t="str">
        <f t="shared" si="150"/>
        <v>Same Day</v>
      </c>
      <c r="X592">
        <v>6</v>
      </c>
      <c r="Y592">
        <v>3430.35</v>
      </c>
      <c r="Z592">
        <v>0</v>
      </c>
      <c r="AA592">
        <f t="shared" si="154"/>
        <v>0</v>
      </c>
      <c r="AB592">
        <f t="shared" si="155"/>
        <v>20582.099999999999</v>
      </c>
      <c r="AC592">
        <v>20582.099999999999</v>
      </c>
      <c r="AD592">
        <v>15897.65</v>
      </c>
      <c r="AE592">
        <v>4684.45</v>
      </c>
      <c r="AF592" t="s">
        <v>136</v>
      </c>
      <c r="AG592" t="s">
        <v>77</v>
      </c>
      <c r="AH592" t="str">
        <f t="shared" si="151"/>
        <v>Cancelled</v>
      </c>
      <c r="AI592" t="str">
        <f t="shared" si="152"/>
        <v>Valid</v>
      </c>
      <c r="AJ592">
        <f t="shared" si="153"/>
        <v>4684.4499999999989</v>
      </c>
      <c r="AK592" s="12">
        <f t="shared" si="156"/>
        <v>0.22759825285077806</v>
      </c>
      <c r="AL592">
        <f t="shared" si="157"/>
        <v>5</v>
      </c>
      <c r="AM592">
        <f t="shared" si="158"/>
        <v>2024</v>
      </c>
      <c r="AN592" t="str">
        <f t="shared" si="159"/>
        <v>Clean</v>
      </c>
    </row>
    <row r="593" spans="1:40">
      <c r="A593" t="s">
        <v>2828</v>
      </c>
      <c r="B593" s="3" t="s">
        <v>2829</v>
      </c>
      <c r="C593" s="10">
        <v>45344</v>
      </c>
      <c r="D593" s="3" t="s">
        <v>2830</v>
      </c>
      <c r="E593" s="10">
        <v>45346</v>
      </c>
      <c r="F593" s="6" t="str">
        <f t="shared" si="144"/>
        <v>Valid</v>
      </c>
      <c r="G593" s="8">
        <f t="shared" si="145"/>
        <v>2</v>
      </c>
      <c r="H593" s="8" t="str">
        <f t="shared" si="146"/>
        <v>Valid</v>
      </c>
      <c r="I593" t="s">
        <v>2831</v>
      </c>
      <c r="J593" t="s">
        <v>167</v>
      </c>
      <c r="K593" t="s">
        <v>167</v>
      </c>
      <c r="L593" t="s">
        <v>25</v>
      </c>
      <c r="M593" s="3" t="str">
        <f t="shared" si="147"/>
        <v>Consumer</v>
      </c>
      <c r="N593" t="s">
        <v>61</v>
      </c>
      <c r="O593" s="3" t="str">
        <f t="shared" si="148"/>
        <v>South</v>
      </c>
      <c r="P593" t="s">
        <v>228</v>
      </c>
      <c r="Q593" t="s">
        <v>229</v>
      </c>
      <c r="R593" t="s">
        <v>85</v>
      </c>
      <c r="S593" s="3" t="str">
        <f t="shared" si="149"/>
        <v>Technology</v>
      </c>
      <c r="T593" t="s">
        <v>93</v>
      </c>
      <c r="U593" t="s">
        <v>2832</v>
      </c>
      <c r="V593" t="s">
        <v>55</v>
      </c>
      <c r="W593" s="3" t="str">
        <f t="shared" si="150"/>
        <v>First Class</v>
      </c>
      <c r="X593">
        <v>3</v>
      </c>
      <c r="Y593">
        <v>3545.08</v>
      </c>
      <c r="Z593">
        <v>0</v>
      </c>
      <c r="AA593">
        <f t="shared" si="154"/>
        <v>0</v>
      </c>
      <c r="AB593">
        <f t="shared" si="155"/>
        <v>10635.24</v>
      </c>
      <c r="AC593">
        <v>10635.24</v>
      </c>
      <c r="AD593">
        <v>6031.88</v>
      </c>
      <c r="AE593">
        <v>4603.3599999999997</v>
      </c>
      <c r="AF593" t="s">
        <v>199</v>
      </c>
      <c r="AG593" t="s">
        <v>124</v>
      </c>
      <c r="AH593" t="str">
        <f t="shared" si="151"/>
        <v>Returned</v>
      </c>
      <c r="AI593" t="str">
        <f t="shared" si="152"/>
        <v>Valid</v>
      </c>
      <c r="AJ593">
        <f t="shared" si="153"/>
        <v>4603.3599999999997</v>
      </c>
      <c r="AK593" s="12">
        <f t="shared" si="156"/>
        <v>0.43284025560307055</v>
      </c>
      <c r="AL593">
        <f t="shared" si="157"/>
        <v>2</v>
      </c>
      <c r="AM593">
        <f t="shared" si="158"/>
        <v>2024</v>
      </c>
      <c r="AN593" t="str">
        <f t="shared" si="159"/>
        <v>Clean</v>
      </c>
    </row>
    <row r="594" spans="1:40">
      <c r="A594" t="s">
        <v>2833</v>
      </c>
      <c r="B594" s="3" t="s">
        <v>838</v>
      </c>
      <c r="C594" s="10">
        <v>45355</v>
      </c>
      <c r="D594" s="3" t="s">
        <v>896</v>
      </c>
      <c r="E594" s="10">
        <v>45360</v>
      </c>
      <c r="F594" s="6" t="str">
        <f t="shared" si="144"/>
        <v>Valid</v>
      </c>
      <c r="G594" s="8">
        <f t="shared" si="145"/>
        <v>5</v>
      </c>
      <c r="H594" s="8" t="str">
        <f t="shared" si="146"/>
        <v>Valid</v>
      </c>
      <c r="I594" t="s">
        <v>2834</v>
      </c>
      <c r="J594" t="s">
        <v>39</v>
      </c>
      <c r="K594" t="s">
        <v>39</v>
      </c>
      <c r="L594" t="s">
        <v>25</v>
      </c>
      <c r="M594" s="3" t="str">
        <f t="shared" si="147"/>
        <v>Consumer</v>
      </c>
      <c r="N594" t="s">
        <v>41</v>
      </c>
      <c r="O594" s="3" t="str">
        <f t="shared" si="148"/>
        <v>East</v>
      </c>
      <c r="P594" t="s">
        <v>120</v>
      </c>
      <c r="Q594" t="s">
        <v>121</v>
      </c>
      <c r="R594" t="s">
        <v>85</v>
      </c>
      <c r="S594" s="3" t="str">
        <f t="shared" si="149"/>
        <v>Technology</v>
      </c>
      <c r="T594" t="s">
        <v>86</v>
      </c>
      <c r="U594" t="s">
        <v>2835</v>
      </c>
      <c r="V594" t="s">
        <v>47</v>
      </c>
      <c r="W594" s="3" t="str">
        <f t="shared" si="150"/>
        <v>Same Day</v>
      </c>
      <c r="X594">
        <v>8</v>
      </c>
      <c r="Y594">
        <v>4401.41</v>
      </c>
      <c r="Z594">
        <v>0.15</v>
      </c>
      <c r="AA594">
        <f t="shared" si="154"/>
        <v>0.15</v>
      </c>
      <c r="AB594">
        <f t="shared" si="155"/>
        <v>29929.588</v>
      </c>
      <c r="AC594">
        <v>29929.59</v>
      </c>
      <c r="AD594">
        <v>22436.03</v>
      </c>
      <c r="AE594">
        <v>7493.56</v>
      </c>
      <c r="AF594" t="s">
        <v>33</v>
      </c>
      <c r="AG594" t="s">
        <v>34</v>
      </c>
      <c r="AH594" t="str">
        <f t="shared" si="151"/>
        <v>Completed</v>
      </c>
      <c r="AI594" t="str">
        <f t="shared" si="152"/>
        <v>Valid</v>
      </c>
      <c r="AJ594">
        <f t="shared" si="153"/>
        <v>7493.5600000000013</v>
      </c>
      <c r="AK594" s="12">
        <f t="shared" si="156"/>
        <v>0.25037297539812448</v>
      </c>
      <c r="AL594">
        <f t="shared" si="157"/>
        <v>3</v>
      </c>
      <c r="AM594">
        <f t="shared" si="158"/>
        <v>2024</v>
      </c>
      <c r="AN594" t="str">
        <f t="shared" si="159"/>
        <v>Clean</v>
      </c>
    </row>
    <row r="595" spans="1:40">
      <c r="A595" t="s">
        <v>2836</v>
      </c>
      <c r="B595" s="3" t="s">
        <v>1357</v>
      </c>
      <c r="C595" s="10">
        <v>45927</v>
      </c>
      <c r="D595" s="3" t="s">
        <v>2837</v>
      </c>
      <c r="E595" s="10">
        <v>45929</v>
      </c>
      <c r="F595" s="6" t="str">
        <f t="shared" si="144"/>
        <v>Valid</v>
      </c>
      <c r="G595" s="8">
        <f t="shared" si="145"/>
        <v>2</v>
      </c>
      <c r="H595" s="8" t="str">
        <f t="shared" si="146"/>
        <v>Valid</v>
      </c>
      <c r="I595" t="s">
        <v>2528</v>
      </c>
      <c r="J595" t="s">
        <v>60</v>
      </c>
      <c r="K595" t="s">
        <v>60</v>
      </c>
      <c r="L595" t="s">
        <v>114</v>
      </c>
      <c r="M595" s="3" t="str">
        <f t="shared" si="147"/>
        <v>Home Office</v>
      </c>
      <c r="N595" t="s">
        <v>26</v>
      </c>
      <c r="O595" s="3" t="str">
        <f t="shared" si="148"/>
        <v>North</v>
      </c>
      <c r="P595" t="s">
        <v>173</v>
      </c>
      <c r="Q595" t="s">
        <v>174</v>
      </c>
      <c r="R595" t="s">
        <v>44</v>
      </c>
      <c r="S595" s="3" t="str">
        <f t="shared" si="149"/>
        <v>Furniture</v>
      </c>
      <c r="T595" t="s">
        <v>45</v>
      </c>
      <c r="U595" t="s">
        <v>2838</v>
      </c>
      <c r="V595" t="s">
        <v>32</v>
      </c>
      <c r="W595" s="3" t="str">
        <f t="shared" si="150"/>
        <v>Second Class</v>
      </c>
      <c r="X595">
        <v>9</v>
      </c>
      <c r="Y595">
        <v>4100.1099999999997</v>
      </c>
      <c r="Z595">
        <v>0.25</v>
      </c>
      <c r="AA595">
        <f t="shared" si="154"/>
        <v>0.25</v>
      </c>
      <c r="AB595">
        <f t="shared" si="155"/>
        <v>27675.7425</v>
      </c>
      <c r="AC595">
        <v>27675.74</v>
      </c>
      <c r="AD595">
        <v>15571.08</v>
      </c>
      <c r="AE595">
        <v>12104.66</v>
      </c>
      <c r="AF595" t="s">
        <v>33</v>
      </c>
      <c r="AG595" t="s">
        <v>34</v>
      </c>
      <c r="AH595" t="str">
        <f t="shared" si="151"/>
        <v>Completed</v>
      </c>
      <c r="AI595" t="str">
        <f t="shared" si="152"/>
        <v>Valid</v>
      </c>
      <c r="AJ595">
        <f t="shared" si="153"/>
        <v>12104.660000000002</v>
      </c>
      <c r="AK595" s="12">
        <f t="shared" si="156"/>
        <v>0.43737435409366165</v>
      </c>
      <c r="AL595">
        <f t="shared" si="157"/>
        <v>9</v>
      </c>
      <c r="AM595">
        <f t="shared" si="158"/>
        <v>2025</v>
      </c>
      <c r="AN595" t="str">
        <f t="shared" si="159"/>
        <v>Clean</v>
      </c>
    </row>
    <row r="596" spans="1:40">
      <c r="A596" t="s">
        <v>2839</v>
      </c>
      <c r="B596" s="3" t="s">
        <v>2840</v>
      </c>
      <c r="C596" s="10">
        <v>45554</v>
      </c>
      <c r="D596" s="3" t="s">
        <v>1134</v>
      </c>
      <c r="E596" s="10">
        <v>45556</v>
      </c>
      <c r="F596" s="6" t="str">
        <f t="shared" si="144"/>
        <v>Valid</v>
      </c>
      <c r="G596" s="8">
        <f t="shared" si="145"/>
        <v>2</v>
      </c>
      <c r="H596" s="8" t="str">
        <f t="shared" si="146"/>
        <v>Valid</v>
      </c>
      <c r="I596" t="s">
        <v>2841</v>
      </c>
      <c r="J596" t="s">
        <v>24</v>
      </c>
      <c r="K596" t="s">
        <v>24</v>
      </c>
      <c r="L596" t="s">
        <v>40</v>
      </c>
      <c r="M596" s="3" t="str">
        <f t="shared" si="147"/>
        <v>Small Business</v>
      </c>
      <c r="N596" t="s">
        <v>41</v>
      </c>
      <c r="O596" s="3" t="str">
        <f t="shared" si="148"/>
        <v>East</v>
      </c>
      <c r="P596" t="s">
        <v>120</v>
      </c>
      <c r="Q596" t="s">
        <v>121</v>
      </c>
      <c r="R596" t="s">
        <v>44</v>
      </c>
      <c r="S596" s="3" t="str">
        <f t="shared" si="149"/>
        <v>Furniture</v>
      </c>
      <c r="T596" t="s">
        <v>75</v>
      </c>
      <c r="U596" t="s">
        <v>2842</v>
      </c>
      <c r="V596" t="s">
        <v>55</v>
      </c>
      <c r="W596" s="3" t="str">
        <f t="shared" si="150"/>
        <v>First Class</v>
      </c>
      <c r="X596">
        <v>3</v>
      </c>
      <c r="Y596">
        <v>3981.76</v>
      </c>
      <c r="Z596">
        <v>0</v>
      </c>
      <c r="AA596">
        <f t="shared" si="154"/>
        <v>0</v>
      </c>
      <c r="AB596">
        <f t="shared" si="155"/>
        <v>11945.28</v>
      </c>
      <c r="AC596">
        <v>11945.28</v>
      </c>
      <c r="AD596">
        <v>9700.31</v>
      </c>
      <c r="AE596">
        <v>2244.9699999999998</v>
      </c>
      <c r="AF596" t="s">
        <v>33</v>
      </c>
      <c r="AG596" t="s">
        <v>34</v>
      </c>
      <c r="AH596" t="str">
        <f t="shared" si="151"/>
        <v>Completed</v>
      </c>
      <c r="AI596" t="str">
        <f t="shared" si="152"/>
        <v>Valid</v>
      </c>
      <c r="AJ596">
        <f t="shared" si="153"/>
        <v>2244.9700000000012</v>
      </c>
      <c r="AK596" s="12">
        <f t="shared" si="156"/>
        <v>0.18793782983739193</v>
      </c>
      <c r="AL596">
        <f t="shared" si="157"/>
        <v>9</v>
      </c>
      <c r="AM596">
        <f t="shared" si="158"/>
        <v>2024</v>
      </c>
      <c r="AN596" t="str">
        <f t="shared" si="159"/>
        <v>Clean</v>
      </c>
    </row>
    <row r="597" spans="1:40">
      <c r="A597" t="s">
        <v>2843</v>
      </c>
      <c r="B597" s="3" t="s">
        <v>2844</v>
      </c>
      <c r="C597" s="10">
        <v>45699</v>
      </c>
      <c r="D597" s="3" t="s">
        <v>2845</v>
      </c>
      <c r="E597" s="10">
        <v>45704</v>
      </c>
      <c r="F597" s="6" t="str">
        <f t="shared" si="144"/>
        <v>Valid</v>
      </c>
      <c r="G597" s="8">
        <f t="shared" si="145"/>
        <v>5</v>
      </c>
      <c r="H597" s="8" t="str">
        <f t="shared" si="146"/>
        <v>Valid</v>
      </c>
      <c r="I597" t="s">
        <v>2846</v>
      </c>
      <c r="J597" t="s">
        <v>39</v>
      </c>
      <c r="K597" t="s">
        <v>39</v>
      </c>
      <c r="L597" t="s">
        <v>107</v>
      </c>
      <c r="M597" s="3" t="str">
        <f t="shared" si="147"/>
        <v>Corporate</v>
      </c>
      <c r="N597" t="s">
        <v>26</v>
      </c>
      <c r="O597" s="3" t="str">
        <f t="shared" si="148"/>
        <v>North</v>
      </c>
      <c r="P597" t="s">
        <v>173</v>
      </c>
      <c r="Q597" t="s">
        <v>174</v>
      </c>
      <c r="R597" t="s">
        <v>85</v>
      </c>
      <c r="S597" s="3" t="str">
        <f t="shared" si="149"/>
        <v>Technology</v>
      </c>
      <c r="T597" t="s">
        <v>222</v>
      </c>
      <c r="U597" t="s">
        <v>2847</v>
      </c>
      <c r="V597" t="s">
        <v>55</v>
      </c>
      <c r="W597" s="3" t="str">
        <f t="shared" si="150"/>
        <v>First Class</v>
      </c>
      <c r="X597">
        <v>8</v>
      </c>
      <c r="Y597">
        <v>1825.56</v>
      </c>
      <c r="Z597">
        <v>0.1</v>
      </c>
      <c r="AA597">
        <f t="shared" si="154"/>
        <v>0.1</v>
      </c>
      <c r="AB597">
        <f t="shared" si="155"/>
        <v>13144.031999999999</v>
      </c>
      <c r="AC597">
        <v>13144.03</v>
      </c>
      <c r="AD597">
        <v>9764</v>
      </c>
      <c r="AE597">
        <v>3380.03</v>
      </c>
      <c r="AF597" t="s">
        <v>33</v>
      </c>
      <c r="AG597" t="s">
        <v>34</v>
      </c>
      <c r="AH597" t="str">
        <f t="shared" si="151"/>
        <v>Completed</v>
      </c>
      <c r="AI597" t="str">
        <f t="shared" si="152"/>
        <v>Valid</v>
      </c>
      <c r="AJ597">
        <f t="shared" si="153"/>
        <v>3380.0300000000007</v>
      </c>
      <c r="AK597" s="12">
        <f t="shared" si="156"/>
        <v>0.25715320839145861</v>
      </c>
      <c r="AL597">
        <f t="shared" si="157"/>
        <v>2</v>
      </c>
      <c r="AM597">
        <f t="shared" si="158"/>
        <v>2025</v>
      </c>
      <c r="AN597" t="str">
        <f t="shared" si="159"/>
        <v>Clean</v>
      </c>
    </row>
    <row r="598" spans="1:40">
      <c r="A598" t="s">
        <v>2848</v>
      </c>
      <c r="B598" s="3" t="s">
        <v>1439</v>
      </c>
      <c r="C598" s="10">
        <v>45392</v>
      </c>
      <c r="D598" s="3" t="s">
        <v>410</v>
      </c>
      <c r="E598" s="10">
        <v>45398</v>
      </c>
      <c r="F598" s="6" t="str">
        <f t="shared" si="144"/>
        <v>Valid</v>
      </c>
      <c r="G598" s="8">
        <f t="shared" si="145"/>
        <v>6</v>
      </c>
      <c r="H598" s="8" t="str">
        <f t="shared" si="146"/>
        <v>Valid</v>
      </c>
      <c r="I598" t="s">
        <v>2849</v>
      </c>
      <c r="J598" t="s">
        <v>106</v>
      </c>
      <c r="K598" t="s">
        <v>106</v>
      </c>
      <c r="L598" t="s">
        <v>25</v>
      </c>
      <c r="M598" s="3" t="str">
        <f t="shared" si="147"/>
        <v>Consumer</v>
      </c>
      <c r="N598" t="s">
        <v>61</v>
      </c>
      <c r="O598" s="3" t="str">
        <f t="shared" si="148"/>
        <v>South</v>
      </c>
      <c r="P598" t="s">
        <v>241</v>
      </c>
      <c r="Q598" t="s">
        <v>242</v>
      </c>
      <c r="R598" t="s">
        <v>44</v>
      </c>
      <c r="S598" s="3" t="str">
        <f t="shared" si="149"/>
        <v>Furniture</v>
      </c>
      <c r="T598" t="s">
        <v>75</v>
      </c>
      <c r="U598" t="s">
        <v>2850</v>
      </c>
      <c r="V598" t="s">
        <v>32</v>
      </c>
      <c r="W598" s="3" t="str">
        <f t="shared" si="150"/>
        <v>Second Class</v>
      </c>
      <c r="X598">
        <v>9</v>
      </c>
      <c r="Y598">
        <v>2723.26</v>
      </c>
      <c r="Z598">
        <v>0.25</v>
      </c>
      <c r="AA598">
        <f t="shared" si="154"/>
        <v>0.25</v>
      </c>
      <c r="AB598">
        <f t="shared" si="155"/>
        <v>18382.005000000005</v>
      </c>
      <c r="AC598">
        <v>18382.009999999998</v>
      </c>
      <c r="AD598">
        <v>13108.2</v>
      </c>
      <c r="AE598">
        <v>5273.81</v>
      </c>
      <c r="AF598" t="s">
        <v>33</v>
      </c>
      <c r="AG598" t="s">
        <v>34</v>
      </c>
      <c r="AH598" t="str">
        <f t="shared" si="151"/>
        <v>Completed</v>
      </c>
      <c r="AI598" t="str">
        <f t="shared" si="152"/>
        <v>Valid</v>
      </c>
      <c r="AJ598">
        <f t="shared" si="153"/>
        <v>5273.8099999999977</v>
      </c>
      <c r="AK598" s="12">
        <f t="shared" si="156"/>
        <v>0.28690069445634447</v>
      </c>
      <c r="AL598">
        <f t="shared" si="157"/>
        <v>4</v>
      </c>
      <c r="AM598">
        <f t="shared" si="158"/>
        <v>2024</v>
      </c>
      <c r="AN598" t="str">
        <f t="shared" si="159"/>
        <v>Clean</v>
      </c>
    </row>
    <row r="599" spans="1:40">
      <c r="A599" t="s">
        <v>2851</v>
      </c>
      <c r="B599" s="3" t="s">
        <v>2852</v>
      </c>
      <c r="C599" s="10">
        <v>45846</v>
      </c>
      <c r="D599" s="3" t="s">
        <v>487</v>
      </c>
      <c r="E599" s="10">
        <v>45846</v>
      </c>
      <c r="F599" s="6" t="str">
        <f t="shared" si="144"/>
        <v>Valid</v>
      </c>
      <c r="G599" s="8">
        <f t="shared" si="145"/>
        <v>0</v>
      </c>
      <c r="H599" s="8" t="str">
        <f t="shared" si="146"/>
        <v>Valid</v>
      </c>
      <c r="I599" t="s">
        <v>2853</v>
      </c>
      <c r="J599" t="s">
        <v>106</v>
      </c>
      <c r="K599" t="s">
        <v>106</v>
      </c>
      <c r="L599" t="s">
        <v>25</v>
      </c>
      <c r="M599" s="3" t="str">
        <f t="shared" si="147"/>
        <v>Consumer</v>
      </c>
      <c r="N599" t="s">
        <v>61</v>
      </c>
      <c r="O599" s="3" t="str">
        <f t="shared" si="148"/>
        <v>South</v>
      </c>
      <c r="P599" t="s">
        <v>62</v>
      </c>
      <c r="Q599" t="s">
        <v>63</v>
      </c>
      <c r="R599" t="s">
        <v>85</v>
      </c>
      <c r="S599" s="3" t="str">
        <f t="shared" si="149"/>
        <v>Technology</v>
      </c>
      <c r="T599" t="s">
        <v>93</v>
      </c>
      <c r="U599" t="s">
        <v>2854</v>
      </c>
      <c r="V599" t="s">
        <v>47</v>
      </c>
      <c r="W599" s="3" t="str">
        <f t="shared" si="150"/>
        <v>Same Day</v>
      </c>
      <c r="X599">
        <v>9</v>
      </c>
      <c r="Y599">
        <v>274.88</v>
      </c>
      <c r="Z599">
        <v>0.25</v>
      </c>
      <c r="AA599">
        <f t="shared" si="154"/>
        <v>0.25</v>
      </c>
      <c r="AB599">
        <f t="shared" si="155"/>
        <v>1855.44</v>
      </c>
      <c r="AC599">
        <v>1855.44</v>
      </c>
      <c r="AD599">
        <v>1262.74</v>
      </c>
      <c r="AE599">
        <v>592.70000000000005</v>
      </c>
      <c r="AF599" t="s">
        <v>33</v>
      </c>
      <c r="AG599" t="s">
        <v>34</v>
      </c>
      <c r="AH599" t="str">
        <f t="shared" si="151"/>
        <v>Completed</v>
      </c>
      <c r="AI599" t="str">
        <f t="shared" si="152"/>
        <v>Valid</v>
      </c>
      <c r="AJ599">
        <f t="shared" si="153"/>
        <v>592.70000000000005</v>
      </c>
      <c r="AK599" s="12">
        <f t="shared" si="156"/>
        <v>0.3194390548872505</v>
      </c>
      <c r="AL599">
        <f t="shared" si="157"/>
        <v>7</v>
      </c>
      <c r="AM599">
        <f t="shared" si="158"/>
        <v>2025</v>
      </c>
      <c r="AN599" t="str">
        <f t="shared" si="159"/>
        <v>Clean</v>
      </c>
    </row>
    <row r="600" spans="1:40">
      <c r="A600" t="s">
        <v>2855</v>
      </c>
      <c r="B600" s="3" t="s">
        <v>2438</v>
      </c>
      <c r="C600" s="10">
        <v>45521</v>
      </c>
      <c r="D600" s="3" t="s">
        <v>2856</v>
      </c>
      <c r="E600" s="10">
        <v>45528</v>
      </c>
      <c r="F600" s="6" t="str">
        <f t="shared" si="144"/>
        <v>Valid</v>
      </c>
      <c r="G600" s="8">
        <f t="shared" si="145"/>
        <v>7</v>
      </c>
      <c r="H600" s="8" t="str">
        <f t="shared" si="146"/>
        <v>Valid</v>
      </c>
      <c r="I600" t="s">
        <v>2857</v>
      </c>
      <c r="J600" t="s">
        <v>71</v>
      </c>
      <c r="K600" t="s">
        <v>71</v>
      </c>
      <c r="L600" t="s">
        <v>107</v>
      </c>
      <c r="M600" s="3" t="str">
        <f t="shared" si="147"/>
        <v>Corporate</v>
      </c>
      <c r="N600" t="s">
        <v>41</v>
      </c>
      <c r="O600" s="3" t="str">
        <f t="shared" si="148"/>
        <v>East</v>
      </c>
      <c r="P600" t="s">
        <v>120</v>
      </c>
      <c r="Q600" t="s">
        <v>121</v>
      </c>
      <c r="R600" t="s">
        <v>85</v>
      </c>
      <c r="S600" s="3" t="str">
        <f t="shared" si="149"/>
        <v>Technology</v>
      </c>
      <c r="T600" t="s">
        <v>93</v>
      </c>
      <c r="U600" t="s">
        <v>2858</v>
      </c>
      <c r="V600" t="s">
        <v>47</v>
      </c>
      <c r="W600" s="3" t="str">
        <f t="shared" si="150"/>
        <v>Same Day</v>
      </c>
      <c r="X600">
        <v>3</v>
      </c>
      <c r="Y600">
        <v>1490.69</v>
      </c>
      <c r="Z600">
        <v>0.25</v>
      </c>
      <c r="AA600">
        <f t="shared" si="154"/>
        <v>0.25</v>
      </c>
      <c r="AB600">
        <f t="shared" si="155"/>
        <v>3354.0524999999998</v>
      </c>
      <c r="AC600">
        <v>3354.05</v>
      </c>
      <c r="AD600">
        <v>2672.67</v>
      </c>
      <c r="AE600">
        <v>681.38</v>
      </c>
      <c r="AF600" t="s">
        <v>33</v>
      </c>
      <c r="AG600" t="s">
        <v>34</v>
      </c>
      <c r="AH600" t="str">
        <f t="shared" si="151"/>
        <v>Completed</v>
      </c>
      <c r="AI600" t="str">
        <f t="shared" si="152"/>
        <v>Valid</v>
      </c>
      <c r="AJ600">
        <f t="shared" si="153"/>
        <v>681.38000000000011</v>
      </c>
      <c r="AK600" s="12">
        <f t="shared" si="156"/>
        <v>0.20315126253986787</v>
      </c>
      <c r="AL600">
        <f t="shared" si="157"/>
        <v>8</v>
      </c>
      <c r="AM600">
        <f t="shared" si="158"/>
        <v>2024</v>
      </c>
      <c r="AN600" t="str">
        <f t="shared" si="159"/>
        <v>Clean</v>
      </c>
    </row>
    <row r="601" spans="1:40">
      <c r="A601" t="s">
        <v>2859</v>
      </c>
      <c r="B601" s="3" t="s">
        <v>2860</v>
      </c>
      <c r="C601" s="10">
        <v>45523</v>
      </c>
      <c r="D601" s="3" t="s">
        <v>1625</v>
      </c>
      <c r="E601" s="10">
        <v>45525</v>
      </c>
      <c r="F601" s="6" t="str">
        <f t="shared" si="144"/>
        <v>Valid</v>
      </c>
      <c r="G601" s="8">
        <f t="shared" si="145"/>
        <v>2</v>
      </c>
      <c r="H601" s="8" t="str">
        <f t="shared" si="146"/>
        <v>Valid</v>
      </c>
      <c r="I601" t="s">
        <v>2861</v>
      </c>
      <c r="J601" t="s">
        <v>60</v>
      </c>
      <c r="K601" t="s">
        <v>60</v>
      </c>
      <c r="L601" t="s">
        <v>25</v>
      </c>
      <c r="M601" s="3" t="str">
        <f t="shared" si="147"/>
        <v>Consumer</v>
      </c>
      <c r="N601" t="s">
        <v>26</v>
      </c>
      <c r="O601" s="3" t="str">
        <f t="shared" si="148"/>
        <v>North</v>
      </c>
      <c r="P601" t="s">
        <v>153</v>
      </c>
      <c r="Q601" t="s">
        <v>154</v>
      </c>
      <c r="R601" t="s">
        <v>85</v>
      </c>
      <c r="S601" s="3" t="str">
        <f t="shared" si="149"/>
        <v>Technology</v>
      </c>
      <c r="T601" t="s">
        <v>222</v>
      </c>
      <c r="U601" t="s">
        <v>2862</v>
      </c>
      <c r="V601" t="s">
        <v>55</v>
      </c>
      <c r="W601" s="3" t="str">
        <f t="shared" si="150"/>
        <v>First Class</v>
      </c>
      <c r="X601">
        <v>3</v>
      </c>
      <c r="Y601">
        <v>1103.54</v>
      </c>
      <c r="Z601">
        <v>0.25</v>
      </c>
      <c r="AA601">
        <f t="shared" si="154"/>
        <v>0.25</v>
      </c>
      <c r="AB601">
        <f t="shared" si="155"/>
        <v>2482.9650000000001</v>
      </c>
      <c r="AC601">
        <v>2482.9699999999998</v>
      </c>
      <c r="AD601">
        <v>1621.72</v>
      </c>
      <c r="AE601">
        <v>861.25</v>
      </c>
      <c r="AF601" t="s">
        <v>33</v>
      </c>
      <c r="AG601" t="s">
        <v>34</v>
      </c>
      <c r="AH601" t="str">
        <f t="shared" si="151"/>
        <v>Completed</v>
      </c>
      <c r="AI601" t="str">
        <f t="shared" si="152"/>
        <v>Valid</v>
      </c>
      <c r="AJ601">
        <f t="shared" si="153"/>
        <v>861.24999999999977</v>
      </c>
      <c r="AK601" s="12">
        <f t="shared" si="156"/>
        <v>0.34686352808033932</v>
      </c>
      <c r="AL601">
        <f t="shared" si="157"/>
        <v>8</v>
      </c>
      <c r="AM601">
        <f t="shared" si="158"/>
        <v>2024</v>
      </c>
      <c r="AN601" t="str">
        <f t="shared" si="159"/>
        <v>Clean</v>
      </c>
    </row>
    <row r="602" spans="1:40">
      <c r="A602" t="s">
        <v>2863</v>
      </c>
      <c r="B602" s="3" t="s">
        <v>2864</v>
      </c>
      <c r="C602" s="10">
        <v>45721</v>
      </c>
      <c r="D602" s="3" t="s">
        <v>2865</v>
      </c>
      <c r="E602" s="10">
        <v>45728</v>
      </c>
      <c r="F602" s="6" t="str">
        <f t="shared" si="144"/>
        <v>Valid</v>
      </c>
      <c r="G602" s="8">
        <f t="shared" si="145"/>
        <v>7</v>
      </c>
      <c r="H602" s="8" t="str">
        <f t="shared" si="146"/>
        <v>Valid</v>
      </c>
      <c r="I602" t="s">
        <v>2866</v>
      </c>
      <c r="J602" t="s">
        <v>71</v>
      </c>
      <c r="K602" t="s">
        <v>71</v>
      </c>
      <c r="L602" t="s">
        <v>107</v>
      </c>
      <c r="M602" s="3" t="str">
        <f t="shared" si="147"/>
        <v>Corporate</v>
      </c>
      <c r="N602" t="s">
        <v>72</v>
      </c>
      <c r="O602" s="3" t="str">
        <f t="shared" si="148"/>
        <v>West</v>
      </c>
      <c r="P602" t="s">
        <v>83</v>
      </c>
      <c r="Q602" t="s">
        <v>84</v>
      </c>
      <c r="R602" t="s">
        <v>29</v>
      </c>
      <c r="S602" s="3" t="str">
        <f t="shared" si="149"/>
        <v>Office Supplies</v>
      </c>
      <c r="T602" t="s">
        <v>155</v>
      </c>
      <c r="U602" t="s">
        <v>2867</v>
      </c>
      <c r="V602" t="s">
        <v>47</v>
      </c>
      <c r="W602" s="3" t="str">
        <f t="shared" si="150"/>
        <v>Same Day</v>
      </c>
      <c r="X602">
        <v>3</v>
      </c>
      <c r="Y602">
        <v>3682.75</v>
      </c>
      <c r="AA602">
        <f t="shared" si="154"/>
        <v>0</v>
      </c>
      <c r="AB602">
        <f t="shared" si="155"/>
        <v>11048.25</v>
      </c>
      <c r="AC602">
        <v>11048.25</v>
      </c>
      <c r="AD602">
        <v>9062.7199999999993</v>
      </c>
      <c r="AE602">
        <v>1985.53</v>
      </c>
      <c r="AF602" t="s">
        <v>33</v>
      </c>
      <c r="AG602" t="s">
        <v>34</v>
      </c>
      <c r="AH602" t="str">
        <f t="shared" si="151"/>
        <v>Completed</v>
      </c>
      <c r="AI602" t="str">
        <f t="shared" si="152"/>
        <v>Valid</v>
      </c>
      <c r="AJ602">
        <f t="shared" si="153"/>
        <v>1985.5300000000007</v>
      </c>
      <c r="AK602" s="12">
        <f t="shared" si="156"/>
        <v>0.17971443441268986</v>
      </c>
      <c r="AL602">
        <f t="shared" si="157"/>
        <v>3</v>
      </c>
      <c r="AM602">
        <f t="shared" si="158"/>
        <v>2025</v>
      </c>
      <c r="AN602" t="str">
        <f t="shared" si="159"/>
        <v>Clean</v>
      </c>
    </row>
    <row r="603" spans="1:40">
      <c r="A603" t="s">
        <v>2868</v>
      </c>
      <c r="B603" s="3" t="s">
        <v>2869</v>
      </c>
      <c r="C603" s="10">
        <v>45317</v>
      </c>
      <c r="D603" s="3" t="s">
        <v>2870</v>
      </c>
      <c r="E603" s="10">
        <v>45322</v>
      </c>
      <c r="F603" s="6" t="str">
        <f t="shared" si="144"/>
        <v>Valid</v>
      </c>
      <c r="G603" s="8">
        <f t="shared" si="145"/>
        <v>5</v>
      </c>
      <c r="H603" s="8" t="str">
        <f t="shared" si="146"/>
        <v>Valid</v>
      </c>
      <c r="I603" t="s">
        <v>2871</v>
      </c>
      <c r="J603" t="s">
        <v>71</v>
      </c>
      <c r="K603" t="s">
        <v>71</v>
      </c>
      <c r="L603" t="s">
        <v>114</v>
      </c>
      <c r="M603" s="3" t="str">
        <f t="shared" si="147"/>
        <v>Home Office</v>
      </c>
      <c r="N603" t="s">
        <v>41</v>
      </c>
      <c r="O603" s="3" t="str">
        <f t="shared" si="148"/>
        <v>East</v>
      </c>
      <c r="P603" t="s">
        <v>120</v>
      </c>
      <c r="Q603" t="s">
        <v>121</v>
      </c>
      <c r="R603" t="s">
        <v>29</v>
      </c>
      <c r="S603" s="3" t="str">
        <f t="shared" si="149"/>
        <v>Office Supplies</v>
      </c>
      <c r="T603" t="s">
        <v>30</v>
      </c>
      <c r="U603" t="s">
        <v>2872</v>
      </c>
      <c r="V603" t="s">
        <v>32</v>
      </c>
      <c r="W603" s="3" t="str">
        <f t="shared" si="150"/>
        <v>Second Class</v>
      </c>
      <c r="X603">
        <v>5</v>
      </c>
      <c r="Y603">
        <v>1615.03</v>
      </c>
      <c r="Z603">
        <v>0.2</v>
      </c>
      <c r="AA603">
        <f t="shared" si="154"/>
        <v>0.2</v>
      </c>
      <c r="AB603">
        <f t="shared" si="155"/>
        <v>6460.12</v>
      </c>
      <c r="AC603">
        <v>6460.12</v>
      </c>
      <c r="AD603">
        <v>3604.03</v>
      </c>
      <c r="AE603">
        <v>2856.09</v>
      </c>
      <c r="AF603" t="s">
        <v>33</v>
      </c>
      <c r="AG603" t="s">
        <v>34</v>
      </c>
      <c r="AH603" t="str">
        <f t="shared" si="151"/>
        <v>Completed</v>
      </c>
      <c r="AI603" t="str">
        <f t="shared" si="152"/>
        <v>Valid</v>
      </c>
      <c r="AJ603">
        <f t="shared" si="153"/>
        <v>2856.0899999999997</v>
      </c>
      <c r="AK603" s="12">
        <f t="shared" si="156"/>
        <v>0.44211098245853014</v>
      </c>
      <c r="AL603">
        <f t="shared" si="157"/>
        <v>1</v>
      </c>
      <c r="AM603">
        <f t="shared" si="158"/>
        <v>2024</v>
      </c>
      <c r="AN603" t="str">
        <f t="shared" si="159"/>
        <v>Clean</v>
      </c>
    </row>
    <row r="604" spans="1:40">
      <c r="A604" t="s">
        <v>2873</v>
      </c>
      <c r="B604" s="3" t="s">
        <v>2874</v>
      </c>
      <c r="C604" s="10">
        <v>45588</v>
      </c>
      <c r="D604" s="3" t="s">
        <v>2875</v>
      </c>
      <c r="E604" s="10">
        <v>45595</v>
      </c>
      <c r="F604" s="6" t="str">
        <f t="shared" si="144"/>
        <v>Valid</v>
      </c>
      <c r="G604" s="8">
        <f t="shared" si="145"/>
        <v>7</v>
      </c>
      <c r="H604" s="8" t="str">
        <f t="shared" si="146"/>
        <v>Valid</v>
      </c>
      <c r="I604" t="s">
        <v>2876</v>
      </c>
      <c r="J604" t="s">
        <v>161</v>
      </c>
      <c r="K604" t="s">
        <v>161</v>
      </c>
      <c r="L604" t="s">
        <v>25</v>
      </c>
      <c r="M604" s="3" t="str">
        <f t="shared" si="147"/>
        <v>Consumer</v>
      </c>
      <c r="N604" t="s">
        <v>41</v>
      </c>
      <c r="O604" s="3" t="str">
        <f t="shared" si="148"/>
        <v>East</v>
      </c>
      <c r="P604" t="s">
        <v>310</v>
      </c>
      <c r="Q604" t="s">
        <v>311</v>
      </c>
      <c r="R604" t="s">
        <v>85</v>
      </c>
      <c r="S604" s="3" t="str">
        <f t="shared" si="149"/>
        <v>Technology</v>
      </c>
      <c r="T604" t="s">
        <v>93</v>
      </c>
      <c r="U604" t="s">
        <v>2877</v>
      </c>
      <c r="V604" t="s">
        <v>32</v>
      </c>
      <c r="W604" s="3" t="str">
        <f t="shared" si="150"/>
        <v>Second Class</v>
      </c>
      <c r="X604">
        <v>9</v>
      </c>
      <c r="Y604">
        <v>3423.82</v>
      </c>
      <c r="Z604">
        <v>0.15</v>
      </c>
      <c r="AA604">
        <f t="shared" si="154"/>
        <v>0.15</v>
      </c>
      <c r="AB604">
        <f t="shared" si="155"/>
        <v>26192.223000000002</v>
      </c>
      <c r="AC604">
        <v>26192.22</v>
      </c>
      <c r="AD604">
        <v>20795.55</v>
      </c>
      <c r="AE604">
        <v>5396.67</v>
      </c>
      <c r="AF604" t="s">
        <v>33</v>
      </c>
      <c r="AG604" t="s">
        <v>34</v>
      </c>
      <c r="AH604" t="str">
        <f t="shared" si="151"/>
        <v>Completed</v>
      </c>
      <c r="AI604" t="str">
        <f t="shared" si="152"/>
        <v>Valid</v>
      </c>
      <c r="AJ604">
        <f t="shared" si="153"/>
        <v>5396.6700000000019</v>
      </c>
      <c r="AK604" s="12">
        <f t="shared" si="156"/>
        <v>0.20604093054644509</v>
      </c>
      <c r="AL604">
        <f t="shared" si="157"/>
        <v>10</v>
      </c>
      <c r="AM604">
        <f t="shared" si="158"/>
        <v>2024</v>
      </c>
      <c r="AN604" t="str">
        <f t="shared" si="159"/>
        <v>Clean</v>
      </c>
    </row>
    <row r="605" spans="1:40">
      <c r="A605" t="s">
        <v>2878</v>
      </c>
      <c r="B605" s="3" t="s">
        <v>2879</v>
      </c>
      <c r="C605" s="10">
        <v>45660</v>
      </c>
      <c r="D605" s="3" t="s">
        <v>591</v>
      </c>
      <c r="E605" s="10">
        <v>45668</v>
      </c>
      <c r="F605" s="6" t="str">
        <f t="shared" si="144"/>
        <v>Valid</v>
      </c>
      <c r="G605" s="8">
        <f t="shared" si="145"/>
        <v>8</v>
      </c>
      <c r="H605" s="8" t="str">
        <f t="shared" si="146"/>
        <v>Valid</v>
      </c>
      <c r="I605" t="s">
        <v>479</v>
      </c>
      <c r="J605" t="s">
        <v>82</v>
      </c>
      <c r="K605" t="s">
        <v>82</v>
      </c>
      <c r="L605" t="s">
        <v>107</v>
      </c>
      <c r="M605" s="3" t="str">
        <f t="shared" si="147"/>
        <v>Corporate</v>
      </c>
      <c r="N605" t="s">
        <v>41</v>
      </c>
      <c r="O605" s="3" t="str">
        <f t="shared" si="148"/>
        <v>East</v>
      </c>
      <c r="P605" t="s">
        <v>185</v>
      </c>
      <c r="Q605" t="s">
        <v>186</v>
      </c>
      <c r="R605" t="s">
        <v>85</v>
      </c>
      <c r="S605" s="3" t="str">
        <f t="shared" si="149"/>
        <v>Technology</v>
      </c>
      <c r="T605" t="s">
        <v>86</v>
      </c>
      <c r="U605" t="s">
        <v>2880</v>
      </c>
      <c r="V605" t="s">
        <v>55</v>
      </c>
      <c r="W605" s="3" t="str">
        <f t="shared" si="150"/>
        <v>First Class</v>
      </c>
      <c r="X605">
        <v>8</v>
      </c>
      <c r="Y605">
        <v>2574.29</v>
      </c>
      <c r="Z605">
        <v>0.05</v>
      </c>
      <c r="AA605">
        <f t="shared" si="154"/>
        <v>0.05</v>
      </c>
      <c r="AB605">
        <f t="shared" si="155"/>
        <v>19564.603999999999</v>
      </c>
      <c r="AC605">
        <v>19564.599999999999</v>
      </c>
      <c r="AD605">
        <v>11154.59</v>
      </c>
      <c r="AE605">
        <v>8410.01</v>
      </c>
      <c r="AF605" t="s">
        <v>136</v>
      </c>
      <c r="AG605" t="s">
        <v>77</v>
      </c>
      <c r="AH605" t="str">
        <f t="shared" si="151"/>
        <v>Cancelled</v>
      </c>
      <c r="AI605" t="str">
        <f t="shared" si="152"/>
        <v>Valid</v>
      </c>
      <c r="AJ605">
        <f t="shared" si="153"/>
        <v>8410.0099999999984</v>
      </c>
      <c r="AK605" s="12">
        <f t="shared" si="156"/>
        <v>0.42985843209502217</v>
      </c>
      <c r="AL605">
        <f t="shared" si="157"/>
        <v>1</v>
      </c>
      <c r="AM605">
        <f t="shared" si="158"/>
        <v>2025</v>
      </c>
      <c r="AN605" t="str">
        <f t="shared" si="159"/>
        <v>Clean</v>
      </c>
    </row>
    <row r="606" spans="1:40">
      <c r="A606" t="s">
        <v>2881</v>
      </c>
      <c r="B606" s="3" t="s">
        <v>2882</v>
      </c>
      <c r="C606" s="10">
        <v>45693</v>
      </c>
      <c r="D606" s="3" t="s">
        <v>2883</v>
      </c>
      <c r="E606" s="10">
        <v>45694</v>
      </c>
      <c r="F606" s="6" t="str">
        <f t="shared" si="144"/>
        <v>Valid</v>
      </c>
      <c r="G606" s="8">
        <f t="shared" si="145"/>
        <v>1</v>
      </c>
      <c r="H606" s="8" t="str">
        <f t="shared" si="146"/>
        <v>Valid</v>
      </c>
      <c r="I606" t="s">
        <v>2884</v>
      </c>
      <c r="J606" t="s">
        <v>71</v>
      </c>
      <c r="K606" t="s">
        <v>71</v>
      </c>
      <c r="L606" t="s">
        <v>25</v>
      </c>
      <c r="M606" s="3" t="str">
        <f t="shared" si="147"/>
        <v>Consumer</v>
      </c>
      <c r="N606" t="s">
        <v>72</v>
      </c>
      <c r="O606" s="3" t="str">
        <f t="shared" si="148"/>
        <v>West</v>
      </c>
      <c r="P606" t="s">
        <v>83</v>
      </c>
      <c r="Q606" t="s">
        <v>84</v>
      </c>
      <c r="R606" t="s">
        <v>29</v>
      </c>
      <c r="S606" s="3" t="str">
        <f t="shared" si="149"/>
        <v>Office Supplies</v>
      </c>
      <c r="T606" t="s">
        <v>197</v>
      </c>
      <c r="U606" t="s">
        <v>2885</v>
      </c>
      <c r="V606" t="s">
        <v>47</v>
      </c>
      <c r="W606" s="3" t="str">
        <f t="shared" si="150"/>
        <v>Same Day</v>
      </c>
      <c r="X606">
        <v>3</v>
      </c>
      <c r="Y606">
        <v>1076.3</v>
      </c>
      <c r="Z606">
        <v>0</v>
      </c>
      <c r="AA606">
        <f t="shared" si="154"/>
        <v>0</v>
      </c>
      <c r="AB606">
        <f t="shared" si="155"/>
        <v>3228.8999999999996</v>
      </c>
      <c r="AC606">
        <v>3228.9</v>
      </c>
      <c r="AD606">
        <v>1853.23</v>
      </c>
      <c r="AE606">
        <v>1375.67</v>
      </c>
      <c r="AF606" t="s">
        <v>33</v>
      </c>
      <c r="AG606" t="s">
        <v>34</v>
      </c>
      <c r="AH606" t="str">
        <f t="shared" si="151"/>
        <v>Completed</v>
      </c>
      <c r="AI606" t="str">
        <f t="shared" si="152"/>
        <v>Valid</v>
      </c>
      <c r="AJ606">
        <f t="shared" si="153"/>
        <v>1375.67</v>
      </c>
      <c r="AK606" s="12">
        <f t="shared" si="156"/>
        <v>0.42604911889497976</v>
      </c>
      <c r="AL606">
        <f t="shared" si="157"/>
        <v>2</v>
      </c>
      <c r="AM606">
        <f t="shared" si="158"/>
        <v>2025</v>
      </c>
      <c r="AN606" t="str">
        <f t="shared" si="159"/>
        <v>Clean</v>
      </c>
    </row>
    <row r="607" spans="1:40">
      <c r="A607" t="s">
        <v>2886</v>
      </c>
      <c r="B607" s="3" t="s">
        <v>2612</v>
      </c>
      <c r="C607" s="10">
        <v>45847</v>
      </c>
      <c r="D607" s="3" t="s">
        <v>2887</v>
      </c>
      <c r="E607" s="10">
        <v>45851</v>
      </c>
      <c r="F607" s="6" t="str">
        <f t="shared" si="144"/>
        <v>Valid</v>
      </c>
      <c r="G607" s="8">
        <f t="shared" si="145"/>
        <v>4</v>
      </c>
      <c r="H607" s="8" t="str">
        <f t="shared" si="146"/>
        <v>Valid</v>
      </c>
      <c r="I607" t="s">
        <v>2888</v>
      </c>
      <c r="J607" t="s">
        <v>365</v>
      </c>
      <c r="K607" t="s">
        <v>365</v>
      </c>
      <c r="L607" t="s">
        <v>107</v>
      </c>
      <c r="M607" s="3" t="str">
        <f t="shared" si="147"/>
        <v>Corporate</v>
      </c>
      <c r="N607" t="s">
        <v>72</v>
      </c>
      <c r="O607" s="3" t="str">
        <f t="shared" si="148"/>
        <v>West</v>
      </c>
      <c r="P607" t="s">
        <v>248</v>
      </c>
      <c r="Q607" t="s">
        <v>249</v>
      </c>
      <c r="R607" t="s">
        <v>44</v>
      </c>
      <c r="S607" s="3" t="str">
        <f t="shared" si="149"/>
        <v>Furniture</v>
      </c>
      <c r="T607" t="s">
        <v>64</v>
      </c>
      <c r="U607" t="s">
        <v>2889</v>
      </c>
      <c r="V607" t="s">
        <v>32</v>
      </c>
      <c r="W607" s="3" t="str">
        <f t="shared" si="150"/>
        <v>Second Class</v>
      </c>
      <c r="X607">
        <v>5</v>
      </c>
      <c r="Y607">
        <v>1680.01</v>
      </c>
      <c r="Z607" t="s">
        <v>1169</v>
      </c>
      <c r="AA607" t="str">
        <f t="shared" si="154"/>
        <v>85%</v>
      </c>
      <c r="AB607">
        <f t="shared" si="155"/>
        <v>1260.0075000000002</v>
      </c>
      <c r="AC607">
        <v>7560.04</v>
      </c>
      <c r="AD607">
        <v>6448.05</v>
      </c>
      <c r="AE607">
        <v>1111.99</v>
      </c>
      <c r="AF607" t="s">
        <v>33</v>
      </c>
      <c r="AG607" t="s">
        <v>77</v>
      </c>
      <c r="AH607" t="str">
        <f t="shared" si="151"/>
        <v>Cancelled</v>
      </c>
      <c r="AI607" t="str">
        <f t="shared" si="152"/>
        <v>Invalid - Discount Above Range</v>
      </c>
      <c r="AJ607">
        <f t="shared" si="153"/>
        <v>1111.9899999999998</v>
      </c>
      <c r="AK607" s="12">
        <f t="shared" si="156"/>
        <v>0.88252649289785945</v>
      </c>
      <c r="AL607">
        <f t="shared" si="157"/>
        <v>7</v>
      </c>
      <c r="AM607">
        <f t="shared" si="158"/>
        <v>2025</v>
      </c>
      <c r="AN607" t="str">
        <f t="shared" si="159"/>
        <v>Clean</v>
      </c>
    </row>
    <row r="608" spans="1:40">
      <c r="A608" t="s">
        <v>2890</v>
      </c>
      <c r="B608" s="3" t="s">
        <v>2891</v>
      </c>
      <c r="C608" s="10">
        <v>45710</v>
      </c>
      <c r="D608" s="3" t="s">
        <v>2527</v>
      </c>
      <c r="E608" s="10">
        <v>45716</v>
      </c>
      <c r="F608" s="6" t="str">
        <f t="shared" si="144"/>
        <v>Valid</v>
      </c>
      <c r="G608" s="8">
        <f t="shared" si="145"/>
        <v>6</v>
      </c>
      <c r="H608" s="8" t="str">
        <f t="shared" si="146"/>
        <v>Valid</v>
      </c>
      <c r="I608" t="s">
        <v>2892</v>
      </c>
      <c r="J608" t="s">
        <v>147</v>
      </c>
      <c r="K608" t="s">
        <v>147</v>
      </c>
      <c r="L608" t="s">
        <v>114</v>
      </c>
      <c r="M608" s="3" t="str">
        <f t="shared" si="147"/>
        <v>Home Office</v>
      </c>
      <c r="N608" t="s">
        <v>72</v>
      </c>
      <c r="O608" s="3" t="str">
        <f t="shared" si="148"/>
        <v>West</v>
      </c>
      <c r="P608" t="s">
        <v>83</v>
      </c>
      <c r="Q608" t="s">
        <v>84</v>
      </c>
      <c r="R608" t="s">
        <v>85</v>
      </c>
      <c r="S608" s="3" t="str">
        <f t="shared" si="149"/>
        <v>Technology</v>
      </c>
      <c r="T608" t="s">
        <v>93</v>
      </c>
      <c r="U608" t="s">
        <v>2893</v>
      </c>
      <c r="V608" t="s">
        <v>47</v>
      </c>
      <c r="W608" s="3" t="str">
        <f t="shared" si="150"/>
        <v>Same Day</v>
      </c>
      <c r="X608">
        <v>3</v>
      </c>
      <c r="Y608">
        <v>3890.81</v>
      </c>
      <c r="Z608">
        <v>0.25</v>
      </c>
      <c r="AA608">
        <f t="shared" si="154"/>
        <v>0.25</v>
      </c>
      <c r="AB608">
        <f t="shared" si="155"/>
        <v>8754.3225000000002</v>
      </c>
      <c r="AC608">
        <v>8754.32</v>
      </c>
      <c r="AD608">
        <v>6238.9</v>
      </c>
      <c r="AE608">
        <v>2515.42</v>
      </c>
      <c r="AF608" t="s">
        <v>33</v>
      </c>
      <c r="AG608" t="s">
        <v>34</v>
      </c>
      <c r="AH608" t="str">
        <f t="shared" si="151"/>
        <v>Completed</v>
      </c>
      <c r="AI608" t="str">
        <f t="shared" si="152"/>
        <v>Valid</v>
      </c>
      <c r="AJ608">
        <f t="shared" si="153"/>
        <v>2515.42</v>
      </c>
      <c r="AK608" s="12">
        <f t="shared" si="156"/>
        <v>0.287334628122279</v>
      </c>
      <c r="AL608">
        <f t="shared" si="157"/>
        <v>2</v>
      </c>
      <c r="AM608">
        <f t="shared" si="158"/>
        <v>2025</v>
      </c>
      <c r="AN608" t="str">
        <f t="shared" si="159"/>
        <v>Clean</v>
      </c>
    </row>
    <row r="609" spans="1:40">
      <c r="A609" t="s">
        <v>2894</v>
      </c>
      <c r="B609" s="3" t="s">
        <v>2845</v>
      </c>
      <c r="C609" s="10">
        <v>45704</v>
      </c>
      <c r="D609" s="3" t="s">
        <v>2891</v>
      </c>
      <c r="E609" s="10">
        <v>45710</v>
      </c>
      <c r="F609" s="6" t="str">
        <f t="shared" si="144"/>
        <v>Valid</v>
      </c>
      <c r="G609" s="8">
        <f t="shared" si="145"/>
        <v>6</v>
      </c>
      <c r="H609" s="8" t="str">
        <f t="shared" si="146"/>
        <v>Valid</v>
      </c>
      <c r="I609" t="s">
        <v>2895</v>
      </c>
      <c r="J609" t="s">
        <v>167</v>
      </c>
      <c r="K609" t="s">
        <v>167</v>
      </c>
      <c r="L609" t="s">
        <v>114</v>
      </c>
      <c r="M609" s="3" t="str">
        <f t="shared" si="147"/>
        <v>Home Office</v>
      </c>
      <c r="N609" t="s">
        <v>41</v>
      </c>
      <c r="O609" s="3" t="str">
        <f t="shared" si="148"/>
        <v>East</v>
      </c>
      <c r="P609" t="s">
        <v>185</v>
      </c>
      <c r="Q609" t="s">
        <v>186</v>
      </c>
      <c r="R609" t="s">
        <v>29</v>
      </c>
      <c r="S609" s="3" t="str">
        <f t="shared" si="149"/>
        <v>Office Supplies</v>
      </c>
      <c r="T609" t="s">
        <v>155</v>
      </c>
      <c r="U609" t="s">
        <v>2896</v>
      </c>
      <c r="V609" t="s">
        <v>47</v>
      </c>
      <c r="W609" s="3" t="str">
        <f t="shared" si="150"/>
        <v>Same Day</v>
      </c>
      <c r="X609">
        <v>5</v>
      </c>
      <c r="Y609">
        <v>954.67</v>
      </c>
      <c r="Z609">
        <v>0.15</v>
      </c>
      <c r="AA609">
        <f t="shared" si="154"/>
        <v>0.15</v>
      </c>
      <c r="AB609">
        <f t="shared" si="155"/>
        <v>4057.3474999999994</v>
      </c>
      <c r="AC609">
        <v>4057.35</v>
      </c>
      <c r="AD609">
        <v>2862.03</v>
      </c>
      <c r="AE609">
        <v>1195.32</v>
      </c>
      <c r="AF609" t="s">
        <v>33</v>
      </c>
      <c r="AG609" t="s">
        <v>34</v>
      </c>
      <c r="AH609" t="str">
        <f t="shared" si="151"/>
        <v>Completed</v>
      </c>
      <c r="AI609" t="str">
        <f t="shared" si="152"/>
        <v>Valid</v>
      </c>
      <c r="AJ609">
        <f t="shared" si="153"/>
        <v>1195.3199999999997</v>
      </c>
      <c r="AK609" s="12">
        <f t="shared" si="156"/>
        <v>0.29460626677897317</v>
      </c>
      <c r="AL609">
        <f t="shared" si="157"/>
        <v>2</v>
      </c>
      <c r="AM609">
        <f t="shared" si="158"/>
        <v>2025</v>
      </c>
      <c r="AN609" t="str">
        <f t="shared" si="159"/>
        <v>Clean</v>
      </c>
    </row>
    <row r="610" spans="1:40">
      <c r="A610" t="s">
        <v>2897</v>
      </c>
      <c r="B610" s="3" t="s">
        <v>2151</v>
      </c>
      <c r="C610" s="10">
        <v>45464</v>
      </c>
      <c r="D610" s="3" t="s">
        <v>1552</v>
      </c>
      <c r="E610" s="10">
        <v>45466</v>
      </c>
      <c r="F610" s="6" t="str">
        <f t="shared" si="144"/>
        <v>Valid</v>
      </c>
      <c r="G610" s="8">
        <f t="shared" si="145"/>
        <v>2</v>
      </c>
      <c r="H610" s="8" t="str">
        <f t="shared" si="146"/>
        <v>Valid</v>
      </c>
      <c r="I610" t="s">
        <v>2573</v>
      </c>
      <c r="J610" t="s">
        <v>24</v>
      </c>
      <c r="K610" t="s">
        <v>24</v>
      </c>
      <c r="L610" t="s">
        <v>114</v>
      </c>
      <c r="M610" s="3" t="str">
        <f t="shared" si="147"/>
        <v>Home Office</v>
      </c>
      <c r="N610" t="s">
        <v>72</v>
      </c>
      <c r="O610" s="3" t="str">
        <f t="shared" si="148"/>
        <v>West</v>
      </c>
      <c r="P610" t="s">
        <v>248</v>
      </c>
      <c r="Q610" t="s">
        <v>249</v>
      </c>
      <c r="R610" t="s">
        <v>44</v>
      </c>
      <c r="S610" s="3" t="str">
        <f t="shared" si="149"/>
        <v>Furniture</v>
      </c>
      <c r="T610" t="s">
        <v>64</v>
      </c>
      <c r="U610" t="s">
        <v>2898</v>
      </c>
      <c r="V610" t="s">
        <v>32</v>
      </c>
      <c r="W610" s="3" t="str">
        <f t="shared" si="150"/>
        <v>Second Class</v>
      </c>
      <c r="X610">
        <v>9</v>
      </c>
      <c r="Y610">
        <v>2153.75</v>
      </c>
      <c r="Z610">
        <v>0</v>
      </c>
      <c r="AA610">
        <f t="shared" si="154"/>
        <v>0</v>
      </c>
      <c r="AB610">
        <f t="shared" si="155"/>
        <v>19383.75</v>
      </c>
      <c r="AC610">
        <v>19383.75</v>
      </c>
      <c r="AD610">
        <v>11667.43</v>
      </c>
      <c r="AE610">
        <v>7716.32</v>
      </c>
      <c r="AF610" t="s">
        <v>33</v>
      </c>
      <c r="AG610" t="s">
        <v>34</v>
      </c>
      <c r="AH610" t="str">
        <f t="shared" si="151"/>
        <v>Completed</v>
      </c>
      <c r="AI610" t="str">
        <f t="shared" si="152"/>
        <v>Valid</v>
      </c>
      <c r="AJ610">
        <f t="shared" si="153"/>
        <v>7716.32</v>
      </c>
      <c r="AK610" s="12">
        <f t="shared" si="156"/>
        <v>0.39808189849745274</v>
      </c>
      <c r="AL610">
        <f t="shared" si="157"/>
        <v>6</v>
      </c>
      <c r="AM610">
        <f t="shared" si="158"/>
        <v>2024</v>
      </c>
      <c r="AN610" t="str">
        <f t="shared" si="159"/>
        <v>Clean</v>
      </c>
    </row>
    <row r="611" spans="1:40">
      <c r="A611" t="s">
        <v>2899</v>
      </c>
      <c r="B611" s="3" t="s">
        <v>2054</v>
      </c>
      <c r="C611" s="10">
        <v>45665</v>
      </c>
      <c r="D611" s="3" t="s">
        <v>1175</v>
      </c>
      <c r="E611" s="10">
        <v>45669</v>
      </c>
      <c r="F611" s="6" t="str">
        <f t="shared" si="144"/>
        <v>Valid</v>
      </c>
      <c r="G611" s="8">
        <f t="shared" si="145"/>
        <v>4</v>
      </c>
      <c r="H611" s="8" t="str">
        <f t="shared" si="146"/>
        <v>Valid</v>
      </c>
      <c r="I611" t="s">
        <v>2900</v>
      </c>
      <c r="J611" t="s">
        <v>167</v>
      </c>
      <c r="K611" t="s">
        <v>167</v>
      </c>
      <c r="L611" t="s">
        <v>114</v>
      </c>
      <c r="M611" s="3" t="str">
        <f t="shared" si="147"/>
        <v>Home Office</v>
      </c>
      <c r="N611" t="s">
        <v>61</v>
      </c>
      <c r="O611" s="3" t="str">
        <f t="shared" si="148"/>
        <v>South</v>
      </c>
      <c r="P611" t="s">
        <v>228</v>
      </c>
      <c r="Q611" t="s">
        <v>229</v>
      </c>
      <c r="R611" t="s">
        <v>44</v>
      </c>
      <c r="S611" s="3" t="str">
        <f t="shared" si="149"/>
        <v>Furniture</v>
      </c>
      <c r="T611" t="s">
        <v>75</v>
      </c>
      <c r="U611" t="s">
        <v>2901</v>
      </c>
      <c r="V611" t="s">
        <v>66</v>
      </c>
      <c r="W611" s="3" t="str">
        <f t="shared" si="150"/>
        <v>Standard Class</v>
      </c>
      <c r="X611">
        <v>7</v>
      </c>
      <c r="Y611">
        <v>4337.4799999999996</v>
      </c>
      <c r="Z611">
        <v>0</v>
      </c>
      <c r="AA611">
        <f t="shared" si="154"/>
        <v>0</v>
      </c>
      <c r="AB611">
        <f t="shared" si="155"/>
        <v>30362.359999999997</v>
      </c>
      <c r="AC611">
        <v>30362.36</v>
      </c>
      <c r="AD611">
        <v>25065.4</v>
      </c>
      <c r="AE611">
        <v>5296.96</v>
      </c>
      <c r="AF611" t="s">
        <v>33</v>
      </c>
      <c r="AG611" t="s">
        <v>34</v>
      </c>
      <c r="AH611" t="str">
        <f t="shared" si="151"/>
        <v>Completed</v>
      </c>
      <c r="AI611" t="str">
        <f t="shared" si="152"/>
        <v>Valid</v>
      </c>
      <c r="AJ611">
        <f t="shared" si="153"/>
        <v>5296.9599999999991</v>
      </c>
      <c r="AK611" s="12">
        <f t="shared" si="156"/>
        <v>0.17445811195177185</v>
      </c>
      <c r="AL611">
        <f t="shared" si="157"/>
        <v>1</v>
      </c>
      <c r="AM611">
        <f t="shared" si="158"/>
        <v>2025</v>
      </c>
      <c r="AN611" t="str">
        <f t="shared" si="159"/>
        <v>Clean</v>
      </c>
    </row>
    <row r="612" spans="1:40">
      <c r="A612" t="s">
        <v>2902</v>
      </c>
      <c r="B612" s="3" t="s">
        <v>2903</v>
      </c>
      <c r="C612" s="10">
        <v>45432</v>
      </c>
      <c r="D612" s="3" t="s">
        <v>2904</v>
      </c>
      <c r="E612" s="10">
        <v>45432</v>
      </c>
      <c r="F612" s="6" t="str">
        <f t="shared" si="144"/>
        <v>Valid</v>
      </c>
      <c r="G612" s="8">
        <f t="shared" si="145"/>
        <v>0</v>
      </c>
      <c r="H612" s="8" t="str">
        <f t="shared" si="146"/>
        <v>Valid</v>
      </c>
      <c r="I612" t="s">
        <v>2079</v>
      </c>
      <c r="J612" t="s">
        <v>24</v>
      </c>
      <c r="K612" t="s">
        <v>24</v>
      </c>
      <c r="L612" t="s">
        <v>114</v>
      </c>
      <c r="M612" s="3" t="str">
        <f t="shared" si="147"/>
        <v>Home Office</v>
      </c>
      <c r="N612" t="s">
        <v>72</v>
      </c>
      <c r="O612" s="3" t="str">
        <f t="shared" si="148"/>
        <v>West</v>
      </c>
      <c r="P612" t="s">
        <v>83</v>
      </c>
      <c r="Q612" t="s">
        <v>84</v>
      </c>
      <c r="R612" t="s">
        <v>44</v>
      </c>
      <c r="S612" s="3" t="str">
        <f t="shared" si="149"/>
        <v>Furniture</v>
      </c>
      <c r="T612" t="s">
        <v>75</v>
      </c>
      <c r="U612" t="s">
        <v>2905</v>
      </c>
      <c r="V612" t="s">
        <v>66</v>
      </c>
      <c r="W612" s="3" t="str">
        <f t="shared" si="150"/>
        <v>Standard Class</v>
      </c>
      <c r="X612">
        <v>1</v>
      </c>
      <c r="Y612">
        <v>3032.95</v>
      </c>
      <c r="Z612">
        <v>0.1</v>
      </c>
      <c r="AA612">
        <f t="shared" si="154"/>
        <v>0.1</v>
      </c>
      <c r="AB612">
        <f t="shared" si="155"/>
        <v>2729.6549999999997</v>
      </c>
      <c r="AC612">
        <v>2729.65</v>
      </c>
      <c r="AD612">
        <v>1715.36</v>
      </c>
      <c r="AE612">
        <v>1014.29</v>
      </c>
      <c r="AF612" t="s">
        <v>33</v>
      </c>
      <c r="AG612" t="s">
        <v>34</v>
      </c>
      <c r="AH612" t="str">
        <f t="shared" si="151"/>
        <v>Completed</v>
      </c>
      <c r="AI612" t="str">
        <f t="shared" si="152"/>
        <v>Valid</v>
      </c>
      <c r="AJ612">
        <f t="shared" si="153"/>
        <v>1014.2900000000002</v>
      </c>
      <c r="AK612" s="12">
        <f t="shared" si="156"/>
        <v>0.37158175666888316</v>
      </c>
      <c r="AL612">
        <f t="shared" si="157"/>
        <v>5</v>
      </c>
      <c r="AM612">
        <f t="shared" si="158"/>
        <v>2024</v>
      </c>
      <c r="AN612" t="str">
        <f t="shared" si="159"/>
        <v>Clean</v>
      </c>
    </row>
    <row r="613" spans="1:40">
      <c r="A613" t="s">
        <v>2906</v>
      </c>
      <c r="B613" s="3" t="s">
        <v>2611</v>
      </c>
      <c r="C613" s="10">
        <v>45846</v>
      </c>
      <c r="D613" s="3" t="s">
        <v>2907</v>
      </c>
      <c r="E613" s="10">
        <v>45853</v>
      </c>
      <c r="F613" s="6" t="str">
        <f t="shared" si="144"/>
        <v>Valid</v>
      </c>
      <c r="G613" s="8">
        <f t="shared" si="145"/>
        <v>7</v>
      </c>
      <c r="H613" s="8" t="str">
        <f t="shared" si="146"/>
        <v>Valid</v>
      </c>
      <c r="I613" t="s">
        <v>2908</v>
      </c>
      <c r="J613" t="s">
        <v>71</v>
      </c>
      <c r="K613" t="s">
        <v>71</v>
      </c>
      <c r="L613" t="s">
        <v>40</v>
      </c>
      <c r="M613" s="3" t="str">
        <f t="shared" si="147"/>
        <v>Small Business</v>
      </c>
      <c r="N613" t="s">
        <v>26</v>
      </c>
      <c r="O613" s="3" t="str">
        <f t="shared" si="148"/>
        <v>North</v>
      </c>
      <c r="P613" t="s">
        <v>27</v>
      </c>
      <c r="Q613" t="s">
        <v>28</v>
      </c>
      <c r="R613" t="s">
        <v>29</v>
      </c>
      <c r="S613" s="3" t="str">
        <f t="shared" si="149"/>
        <v>Office Supplies</v>
      </c>
      <c r="T613" t="s">
        <v>197</v>
      </c>
      <c r="U613" t="s">
        <v>2909</v>
      </c>
      <c r="V613" t="s">
        <v>47</v>
      </c>
      <c r="W613" s="3" t="str">
        <f t="shared" si="150"/>
        <v>Same Day</v>
      </c>
      <c r="X613">
        <v>8</v>
      </c>
      <c r="Y613">
        <v>655.28</v>
      </c>
      <c r="Z613">
        <v>0.1</v>
      </c>
      <c r="AA613">
        <f t="shared" si="154"/>
        <v>0.1</v>
      </c>
      <c r="AB613">
        <f t="shared" si="155"/>
        <v>4718.0159999999996</v>
      </c>
      <c r="AC613">
        <v>4718.0200000000004</v>
      </c>
      <c r="AD613">
        <v>3908.23</v>
      </c>
      <c r="AE613">
        <v>809.79</v>
      </c>
      <c r="AF613" t="s">
        <v>33</v>
      </c>
      <c r="AG613" t="s">
        <v>34</v>
      </c>
      <c r="AH613" t="str">
        <f t="shared" si="151"/>
        <v>Completed</v>
      </c>
      <c r="AI613" t="str">
        <f t="shared" si="152"/>
        <v>Valid</v>
      </c>
      <c r="AJ613">
        <f t="shared" si="153"/>
        <v>809.79000000000042</v>
      </c>
      <c r="AK613" s="12">
        <f t="shared" si="156"/>
        <v>0.17163782403450953</v>
      </c>
      <c r="AL613">
        <f t="shared" si="157"/>
        <v>7</v>
      </c>
      <c r="AM613">
        <f t="shared" si="158"/>
        <v>2025</v>
      </c>
      <c r="AN613" t="str">
        <f t="shared" si="159"/>
        <v>Clean</v>
      </c>
    </row>
    <row r="614" spans="1:40">
      <c r="A614" t="s">
        <v>2910</v>
      </c>
      <c r="B614" s="3" t="s">
        <v>2911</v>
      </c>
      <c r="C614" s="10">
        <v>45753</v>
      </c>
      <c r="D614" s="3" t="s">
        <v>2912</v>
      </c>
      <c r="E614" s="10">
        <v>45760</v>
      </c>
      <c r="F614" s="6" t="str">
        <f t="shared" si="144"/>
        <v>Valid</v>
      </c>
      <c r="G614" s="8">
        <f t="shared" si="145"/>
        <v>7</v>
      </c>
      <c r="H614" s="8" t="str">
        <f t="shared" si="146"/>
        <v>Valid</v>
      </c>
      <c r="I614" t="s">
        <v>2913</v>
      </c>
      <c r="J614" t="s">
        <v>106</v>
      </c>
      <c r="K614" t="s">
        <v>106</v>
      </c>
      <c r="L614" t="s">
        <v>25</v>
      </c>
      <c r="M614" s="3" t="str">
        <f t="shared" si="147"/>
        <v>Consumer</v>
      </c>
      <c r="O614" s="3" t="str">
        <f t="shared" si="148"/>
        <v>Unknown</v>
      </c>
      <c r="P614" t="s">
        <v>42</v>
      </c>
      <c r="Q614" t="s">
        <v>43</v>
      </c>
      <c r="R614" t="s">
        <v>85</v>
      </c>
      <c r="S614" s="3" t="str">
        <f t="shared" si="149"/>
        <v>Technology</v>
      </c>
      <c r="T614" t="s">
        <v>222</v>
      </c>
      <c r="U614" t="s">
        <v>2914</v>
      </c>
      <c r="V614" t="s">
        <v>66</v>
      </c>
      <c r="W614" s="3" t="str">
        <f t="shared" si="150"/>
        <v>Standard Class</v>
      </c>
      <c r="X614">
        <v>1</v>
      </c>
      <c r="Y614">
        <v>3844.01</v>
      </c>
      <c r="Z614">
        <v>0</v>
      </c>
      <c r="AA614">
        <f t="shared" si="154"/>
        <v>0</v>
      </c>
      <c r="AB614">
        <f t="shared" si="155"/>
        <v>3844.01</v>
      </c>
      <c r="AC614">
        <v>3844.01</v>
      </c>
      <c r="AD614">
        <v>2195.79</v>
      </c>
      <c r="AE614">
        <v>1648.22</v>
      </c>
      <c r="AF614" t="s">
        <v>33</v>
      </c>
      <c r="AG614" t="s">
        <v>34</v>
      </c>
      <c r="AH614" t="str">
        <f t="shared" si="151"/>
        <v>Completed</v>
      </c>
      <c r="AI614" t="str">
        <f t="shared" si="152"/>
        <v>Valid</v>
      </c>
      <c r="AJ614">
        <f t="shared" si="153"/>
        <v>1648.2200000000003</v>
      </c>
      <c r="AK614" s="12">
        <f t="shared" si="156"/>
        <v>0.42877619985379856</v>
      </c>
      <c r="AL614">
        <f t="shared" si="157"/>
        <v>4</v>
      </c>
      <c r="AM614">
        <f t="shared" si="158"/>
        <v>2025</v>
      </c>
      <c r="AN614" t="str">
        <f t="shared" si="159"/>
        <v>Clean</v>
      </c>
    </row>
    <row r="615" spans="1:40">
      <c r="A615" t="s">
        <v>2915</v>
      </c>
      <c r="B615" s="3" t="s">
        <v>2447</v>
      </c>
      <c r="C615" s="10">
        <v>45570</v>
      </c>
      <c r="D615" s="3" t="s">
        <v>2916</v>
      </c>
      <c r="E615" s="10">
        <v>45575</v>
      </c>
      <c r="F615" s="6" t="str">
        <f t="shared" si="144"/>
        <v>Valid</v>
      </c>
      <c r="G615" s="8">
        <f t="shared" si="145"/>
        <v>5</v>
      </c>
      <c r="H615" s="8" t="str">
        <f t="shared" si="146"/>
        <v>Valid</v>
      </c>
      <c r="I615" t="s">
        <v>2917</v>
      </c>
      <c r="J615" t="s">
        <v>209</v>
      </c>
      <c r="K615" t="s">
        <v>209</v>
      </c>
      <c r="L615" t="s">
        <v>114</v>
      </c>
      <c r="M615" s="3" t="str">
        <f t="shared" si="147"/>
        <v>Home Office</v>
      </c>
      <c r="N615" t="s">
        <v>72</v>
      </c>
      <c r="O615" s="3" t="str">
        <f t="shared" si="148"/>
        <v>West</v>
      </c>
      <c r="P615" t="s">
        <v>234</v>
      </c>
      <c r="Q615" t="s">
        <v>235</v>
      </c>
      <c r="R615" t="s">
        <v>85</v>
      </c>
      <c r="S615" s="3" t="str">
        <f t="shared" si="149"/>
        <v>Technology</v>
      </c>
      <c r="T615" t="s">
        <v>381</v>
      </c>
      <c r="U615" t="s">
        <v>2918</v>
      </c>
      <c r="V615" t="s">
        <v>47</v>
      </c>
      <c r="W615" s="3" t="str">
        <f t="shared" si="150"/>
        <v>Same Day</v>
      </c>
      <c r="X615">
        <v>9</v>
      </c>
      <c r="Y615">
        <v>3361.3</v>
      </c>
      <c r="Z615">
        <v>0.25</v>
      </c>
      <c r="AA615">
        <f t="shared" si="154"/>
        <v>0.25</v>
      </c>
      <c r="AB615">
        <f t="shared" si="155"/>
        <v>22688.775000000001</v>
      </c>
      <c r="AC615">
        <v>22688.78</v>
      </c>
      <c r="AD615">
        <v>14672.41</v>
      </c>
      <c r="AE615">
        <v>8016.37</v>
      </c>
      <c r="AF615" t="s">
        <v>33</v>
      </c>
      <c r="AG615" t="s">
        <v>34</v>
      </c>
      <c r="AH615" t="str">
        <f t="shared" si="151"/>
        <v>Completed</v>
      </c>
      <c r="AI615" t="str">
        <f t="shared" si="152"/>
        <v>Valid</v>
      </c>
      <c r="AJ615">
        <f t="shared" si="153"/>
        <v>8016.369999999999</v>
      </c>
      <c r="AK615" s="12">
        <f t="shared" si="156"/>
        <v>0.35331876665884332</v>
      </c>
      <c r="AL615">
        <f t="shared" si="157"/>
        <v>10</v>
      </c>
      <c r="AM615">
        <f t="shared" si="158"/>
        <v>2024</v>
      </c>
      <c r="AN615" t="str">
        <f t="shared" si="159"/>
        <v>Clean</v>
      </c>
    </row>
    <row r="616" spans="1:40">
      <c r="A616" t="s">
        <v>2919</v>
      </c>
      <c r="B616" s="3" t="s">
        <v>2305</v>
      </c>
      <c r="C616" s="10">
        <v>45333</v>
      </c>
      <c r="D616" s="3" t="s">
        <v>2920</v>
      </c>
      <c r="E616" s="10">
        <v>45341</v>
      </c>
      <c r="F616" s="6" t="str">
        <f t="shared" si="144"/>
        <v>Valid</v>
      </c>
      <c r="G616" s="8">
        <f t="shared" si="145"/>
        <v>8</v>
      </c>
      <c r="H616" s="8" t="str">
        <f t="shared" si="146"/>
        <v>Valid</v>
      </c>
      <c r="I616" t="s">
        <v>2921</v>
      </c>
      <c r="J616" t="s">
        <v>71</v>
      </c>
      <c r="K616" t="s">
        <v>71</v>
      </c>
      <c r="L616" t="s">
        <v>114</v>
      </c>
      <c r="M616" s="3" t="str">
        <f t="shared" si="147"/>
        <v>Home Office</v>
      </c>
      <c r="N616" t="s">
        <v>61</v>
      </c>
      <c r="O616" s="3" t="str">
        <f t="shared" si="148"/>
        <v>South</v>
      </c>
      <c r="P616" t="s">
        <v>62</v>
      </c>
      <c r="Q616" t="s">
        <v>63</v>
      </c>
      <c r="R616" t="s">
        <v>44</v>
      </c>
      <c r="S616" s="3" t="str">
        <f t="shared" si="149"/>
        <v>Furniture</v>
      </c>
      <c r="T616" t="s">
        <v>75</v>
      </c>
      <c r="U616" t="s">
        <v>2922</v>
      </c>
      <c r="V616" t="s">
        <v>66</v>
      </c>
      <c r="W616" s="3" t="str">
        <f t="shared" si="150"/>
        <v>Standard Class</v>
      </c>
      <c r="X616">
        <v>8</v>
      </c>
      <c r="Y616">
        <v>3398.32</v>
      </c>
      <c r="Z616">
        <v>0.25</v>
      </c>
      <c r="AA616">
        <f t="shared" si="154"/>
        <v>0.25</v>
      </c>
      <c r="AB616">
        <f t="shared" si="155"/>
        <v>20389.920000000002</v>
      </c>
      <c r="AC616">
        <v>20389.919999999998</v>
      </c>
      <c r="AD616">
        <v>16661.080000000002</v>
      </c>
      <c r="AE616">
        <v>3728.84</v>
      </c>
      <c r="AF616" t="s">
        <v>123</v>
      </c>
      <c r="AG616" t="s">
        <v>77</v>
      </c>
      <c r="AH616" t="str">
        <f t="shared" si="151"/>
        <v>Cancelled</v>
      </c>
      <c r="AI616" t="str">
        <f t="shared" si="152"/>
        <v>Valid</v>
      </c>
      <c r="AJ616">
        <f t="shared" si="153"/>
        <v>3728.8399999999965</v>
      </c>
      <c r="AK616" s="12">
        <f t="shared" si="156"/>
        <v>0.18287663708342142</v>
      </c>
      <c r="AL616">
        <f t="shared" si="157"/>
        <v>2</v>
      </c>
      <c r="AM616">
        <f t="shared" si="158"/>
        <v>2024</v>
      </c>
      <c r="AN616" t="str">
        <f t="shared" si="159"/>
        <v>Clean</v>
      </c>
    </row>
    <row r="617" spans="1:40">
      <c r="A617" t="s">
        <v>2923</v>
      </c>
      <c r="B617" s="3" t="s">
        <v>2924</v>
      </c>
      <c r="C617" s="10">
        <v>45569</v>
      </c>
      <c r="D617" s="3" t="s">
        <v>2925</v>
      </c>
      <c r="E617" s="10">
        <v>45572</v>
      </c>
      <c r="F617" s="6" t="str">
        <f t="shared" si="144"/>
        <v>Valid</v>
      </c>
      <c r="G617" s="8">
        <f t="shared" si="145"/>
        <v>3</v>
      </c>
      <c r="H617" s="8" t="str">
        <f t="shared" si="146"/>
        <v>Valid</v>
      </c>
      <c r="I617" t="s">
        <v>2926</v>
      </c>
      <c r="J617" t="s">
        <v>147</v>
      </c>
      <c r="K617" t="s">
        <v>147</v>
      </c>
      <c r="L617" t="s">
        <v>107</v>
      </c>
      <c r="M617" s="3" t="str">
        <f t="shared" si="147"/>
        <v>Corporate</v>
      </c>
      <c r="N617" t="s">
        <v>61</v>
      </c>
      <c r="O617" s="3" t="str">
        <f t="shared" si="148"/>
        <v>South</v>
      </c>
      <c r="P617" t="s">
        <v>241</v>
      </c>
      <c r="Q617" t="s">
        <v>242</v>
      </c>
      <c r="R617" t="s">
        <v>29</v>
      </c>
      <c r="S617" s="3" t="str">
        <f t="shared" si="149"/>
        <v>Office Supplies</v>
      </c>
      <c r="T617" t="s">
        <v>53</v>
      </c>
      <c r="U617" t="s">
        <v>2927</v>
      </c>
      <c r="V617" t="s">
        <v>32</v>
      </c>
      <c r="W617" s="3" t="str">
        <f t="shared" si="150"/>
        <v>Second Class</v>
      </c>
      <c r="X617">
        <v>2</v>
      </c>
      <c r="Y617">
        <v>3144.38</v>
      </c>
      <c r="Z617">
        <v>0.1</v>
      </c>
      <c r="AA617">
        <f t="shared" si="154"/>
        <v>0.1</v>
      </c>
      <c r="AB617">
        <f t="shared" si="155"/>
        <v>5659.884</v>
      </c>
      <c r="AC617">
        <v>5904.57</v>
      </c>
      <c r="AD617">
        <v>4337.79</v>
      </c>
      <c r="AE617">
        <v>1322.09</v>
      </c>
      <c r="AF617" t="s">
        <v>33</v>
      </c>
      <c r="AG617" t="s">
        <v>34</v>
      </c>
      <c r="AH617" t="str">
        <f t="shared" si="151"/>
        <v>Completed</v>
      </c>
      <c r="AI617" t="str">
        <f t="shared" si="152"/>
        <v>Valid</v>
      </c>
      <c r="AJ617">
        <f t="shared" si="153"/>
        <v>1566.7799999999997</v>
      </c>
      <c r="AK617" s="12">
        <f t="shared" si="156"/>
        <v>0.27682192779922693</v>
      </c>
      <c r="AL617">
        <f t="shared" si="157"/>
        <v>10</v>
      </c>
      <c r="AM617">
        <f t="shared" si="158"/>
        <v>2024</v>
      </c>
      <c r="AN617" t="str">
        <f t="shared" si="159"/>
        <v>Clean</v>
      </c>
    </row>
    <row r="618" spans="1:40">
      <c r="A618" t="s">
        <v>2928</v>
      </c>
      <c r="B618" s="3" t="s">
        <v>2929</v>
      </c>
      <c r="C618" s="10">
        <v>45520</v>
      </c>
      <c r="D618" s="3" t="s">
        <v>2860</v>
      </c>
      <c r="E618" s="10">
        <v>45523</v>
      </c>
      <c r="F618" s="6" t="str">
        <f t="shared" si="144"/>
        <v>Valid</v>
      </c>
      <c r="G618" s="8">
        <f t="shared" si="145"/>
        <v>3</v>
      </c>
      <c r="H618" s="8" t="str">
        <f t="shared" si="146"/>
        <v>Valid</v>
      </c>
      <c r="I618" t="s">
        <v>2930</v>
      </c>
      <c r="J618" t="s">
        <v>365</v>
      </c>
      <c r="K618" t="s">
        <v>365</v>
      </c>
      <c r="L618" t="s">
        <v>25</v>
      </c>
      <c r="M618" s="3" t="str">
        <f t="shared" si="147"/>
        <v>Consumer</v>
      </c>
      <c r="N618" t="s">
        <v>61</v>
      </c>
      <c r="O618" s="3" t="str">
        <f t="shared" si="148"/>
        <v>South</v>
      </c>
      <c r="P618" t="s">
        <v>62</v>
      </c>
      <c r="Q618" t="s">
        <v>63</v>
      </c>
      <c r="R618" t="s">
        <v>29</v>
      </c>
      <c r="S618" s="3" t="str">
        <f t="shared" si="149"/>
        <v>Office Supplies</v>
      </c>
      <c r="T618" t="s">
        <v>30</v>
      </c>
      <c r="U618" t="s">
        <v>2931</v>
      </c>
      <c r="V618" t="s">
        <v>66</v>
      </c>
      <c r="W618" s="3" t="str">
        <f t="shared" si="150"/>
        <v>Standard Class</v>
      </c>
      <c r="X618">
        <v>6</v>
      </c>
      <c r="Y618">
        <v>3925.55</v>
      </c>
      <c r="Z618">
        <v>0.2</v>
      </c>
      <c r="AA618">
        <f t="shared" si="154"/>
        <v>0.2</v>
      </c>
      <c r="AB618">
        <f t="shared" si="155"/>
        <v>18842.640000000003</v>
      </c>
      <c r="AC618">
        <v>18842.64</v>
      </c>
      <c r="AD618">
        <v>11840.58</v>
      </c>
      <c r="AE618">
        <v>7002.06</v>
      </c>
      <c r="AF618" t="s">
        <v>33</v>
      </c>
      <c r="AG618" t="s">
        <v>34</v>
      </c>
      <c r="AH618" t="str">
        <f t="shared" si="151"/>
        <v>Completed</v>
      </c>
      <c r="AI618" t="str">
        <f t="shared" si="152"/>
        <v>Valid</v>
      </c>
      <c r="AJ618">
        <f t="shared" si="153"/>
        <v>7002.0599999999995</v>
      </c>
      <c r="AK618" s="12">
        <f t="shared" si="156"/>
        <v>0.37160716332743171</v>
      </c>
      <c r="AL618">
        <f t="shared" si="157"/>
        <v>8</v>
      </c>
      <c r="AM618">
        <f t="shared" si="158"/>
        <v>2024</v>
      </c>
      <c r="AN618" t="str">
        <f t="shared" si="159"/>
        <v>Clean</v>
      </c>
    </row>
    <row r="619" spans="1:40">
      <c r="A619" t="s">
        <v>2932</v>
      </c>
      <c r="B619" s="3" t="s">
        <v>2933</v>
      </c>
      <c r="C619" s="10">
        <v>45564</v>
      </c>
      <c r="D619" s="3" t="s">
        <v>973</v>
      </c>
      <c r="E619" s="10">
        <v>45565</v>
      </c>
      <c r="F619" s="6" t="str">
        <f t="shared" si="144"/>
        <v>Valid</v>
      </c>
      <c r="G619" s="8">
        <f t="shared" si="145"/>
        <v>1</v>
      </c>
      <c r="H619" s="8" t="str">
        <f t="shared" si="146"/>
        <v>Valid</v>
      </c>
      <c r="I619" t="s">
        <v>2934</v>
      </c>
      <c r="J619" t="s">
        <v>39</v>
      </c>
      <c r="K619" t="s">
        <v>39</v>
      </c>
      <c r="L619" t="s">
        <v>114</v>
      </c>
      <c r="M619" s="3" t="str">
        <f t="shared" si="147"/>
        <v>Home Office</v>
      </c>
      <c r="N619" t="s">
        <v>61</v>
      </c>
      <c r="O619" s="3" t="str">
        <f t="shared" si="148"/>
        <v>South</v>
      </c>
      <c r="P619" t="s">
        <v>62</v>
      </c>
      <c r="Q619" t="s">
        <v>63</v>
      </c>
      <c r="R619" t="s">
        <v>85</v>
      </c>
      <c r="S619" s="3" t="str">
        <f t="shared" si="149"/>
        <v>Technology</v>
      </c>
      <c r="T619" t="s">
        <v>222</v>
      </c>
      <c r="U619" t="s">
        <v>2935</v>
      </c>
      <c r="V619" t="s">
        <v>66</v>
      </c>
      <c r="W619" s="3" t="str">
        <f t="shared" si="150"/>
        <v>Standard Class</v>
      </c>
      <c r="X619">
        <v>9</v>
      </c>
      <c r="Y619">
        <v>2741.91</v>
      </c>
      <c r="Z619">
        <v>0</v>
      </c>
      <c r="AA619">
        <f t="shared" si="154"/>
        <v>0</v>
      </c>
      <c r="AB619">
        <f t="shared" si="155"/>
        <v>24677.19</v>
      </c>
      <c r="AC619">
        <v>24677.19</v>
      </c>
      <c r="AD619">
        <v>20350.849999999999</v>
      </c>
      <c r="AE619">
        <v>4326.34</v>
      </c>
      <c r="AF619" t="s">
        <v>33</v>
      </c>
      <c r="AG619" t="s">
        <v>34</v>
      </c>
      <c r="AH619" t="str">
        <f t="shared" si="151"/>
        <v>Completed</v>
      </c>
      <c r="AI619" t="str">
        <f t="shared" si="152"/>
        <v>Valid</v>
      </c>
      <c r="AJ619">
        <f t="shared" si="153"/>
        <v>4326.34</v>
      </c>
      <c r="AK619" s="12">
        <f t="shared" si="156"/>
        <v>0.17531736798233513</v>
      </c>
      <c r="AL619">
        <f t="shared" si="157"/>
        <v>9</v>
      </c>
      <c r="AM619">
        <f t="shared" si="158"/>
        <v>2024</v>
      </c>
      <c r="AN619" t="str">
        <f t="shared" si="159"/>
        <v>Clean</v>
      </c>
    </row>
    <row r="620" spans="1:40">
      <c r="A620" t="s">
        <v>2936</v>
      </c>
      <c r="B620" s="3" t="s">
        <v>2937</v>
      </c>
      <c r="C620" s="10">
        <v>45496</v>
      </c>
      <c r="D620" s="3" t="s">
        <v>528</v>
      </c>
      <c r="E620" s="10">
        <v>45503</v>
      </c>
      <c r="F620" s="6" t="str">
        <f t="shared" si="144"/>
        <v>Valid</v>
      </c>
      <c r="G620" s="8">
        <f t="shared" si="145"/>
        <v>7</v>
      </c>
      <c r="H620" s="8" t="str">
        <f t="shared" si="146"/>
        <v>Valid</v>
      </c>
      <c r="I620" t="s">
        <v>2938</v>
      </c>
      <c r="J620" t="s">
        <v>365</v>
      </c>
      <c r="K620" t="s">
        <v>365</v>
      </c>
      <c r="L620" t="s">
        <v>107</v>
      </c>
      <c r="M620" s="3" t="str">
        <f t="shared" si="147"/>
        <v>Corporate</v>
      </c>
      <c r="N620" t="s">
        <v>26</v>
      </c>
      <c r="O620" s="3" t="str">
        <f t="shared" si="148"/>
        <v>North</v>
      </c>
      <c r="P620" t="s">
        <v>27</v>
      </c>
      <c r="Q620" t="s">
        <v>28</v>
      </c>
      <c r="R620" t="s">
        <v>44</v>
      </c>
      <c r="S620" s="3" t="str">
        <f t="shared" si="149"/>
        <v>Furniture</v>
      </c>
      <c r="T620" t="s">
        <v>45</v>
      </c>
      <c r="U620" t="s">
        <v>2939</v>
      </c>
      <c r="V620" t="s">
        <v>47</v>
      </c>
      <c r="W620" s="3" t="str">
        <f t="shared" si="150"/>
        <v>Same Day</v>
      </c>
      <c r="X620">
        <v>9</v>
      </c>
      <c r="Y620">
        <v>1870.11</v>
      </c>
      <c r="Z620">
        <v>0.25</v>
      </c>
      <c r="AA620">
        <f t="shared" si="154"/>
        <v>0.25</v>
      </c>
      <c r="AB620">
        <f t="shared" si="155"/>
        <v>12623.242499999998</v>
      </c>
      <c r="AC620">
        <v>12623.24</v>
      </c>
      <c r="AD620">
        <v>10540.8</v>
      </c>
      <c r="AE620">
        <v>2082.44</v>
      </c>
      <c r="AF620" t="s">
        <v>199</v>
      </c>
      <c r="AG620" t="s">
        <v>77</v>
      </c>
      <c r="AH620" t="str">
        <f t="shared" si="151"/>
        <v>Cancelled</v>
      </c>
      <c r="AI620" t="str">
        <f t="shared" si="152"/>
        <v>Valid</v>
      </c>
      <c r="AJ620">
        <f t="shared" si="153"/>
        <v>2082.4400000000005</v>
      </c>
      <c r="AK620" s="12">
        <f t="shared" si="156"/>
        <v>0.16496870752502779</v>
      </c>
      <c r="AL620">
        <f t="shared" si="157"/>
        <v>7</v>
      </c>
      <c r="AM620">
        <f t="shared" si="158"/>
        <v>2024</v>
      </c>
      <c r="AN620" t="str">
        <f t="shared" si="159"/>
        <v>Clean</v>
      </c>
    </row>
    <row r="621" spans="1:40">
      <c r="A621" t="s">
        <v>2940</v>
      </c>
      <c r="B621" s="3" t="s">
        <v>910</v>
      </c>
      <c r="C621" s="10">
        <v>45618</v>
      </c>
      <c r="D621" s="3" t="s">
        <v>2941</v>
      </c>
      <c r="E621" s="10">
        <v>45623</v>
      </c>
      <c r="F621" s="6" t="str">
        <f t="shared" si="144"/>
        <v>Valid</v>
      </c>
      <c r="G621" s="8">
        <f t="shared" si="145"/>
        <v>5</v>
      </c>
      <c r="H621" s="8" t="str">
        <f t="shared" si="146"/>
        <v>Valid</v>
      </c>
      <c r="I621" t="s">
        <v>2942</v>
      </c>
      <c r="J621" t="s">
        <v>141</v>
      </c>
      <c r="K621" t="s">
        <v>141</v>
      </c>
      <c r="L621" t="s">
        <v>107</v>
      </c>
      <c r="M621" s="3" t="str">
        <f t="shared" si="147"/>
        <v>Corporate</v>
      </c>
      <c r="N621" t="s">
        <v>61</v>
      </c>
      <c r="O621" s="3" t="str">
        <f t="shared" si="148"/>
        <v>South</v>
      </c>
      <c r="P621" t="s">
        <v>338</v>
      </c>
      <c r="Q621" t="s">
        <v>339</v>
      </c>
      <c r="R621" t="s">
        <v>29</v>
      </c>
      <c r="S621" s="3" t="str">
        <f t="shared" si="149"/>
        <v>Office Supplies</v>
      </c>
      <c r="T621" t="s">
        <v>197</v>
      </c>
      <c r="U621" t="s">
        <v>2943</v>
      </c>
      <c r="V621" t="s">
        <v>55</v>
      </c>
      <c r="W621" s="3" t="str">
        <f t="shared" si="150"/>
        <v>First Class</v>
      </c>
      <c r="X621">
        <v>1</v>
      </c>
      <c r="Y621">
        <v>4251.26</v>
      </c>
      <c r="Z621">
        <v>0.2</v>
      </c>
      <c r="AA621">
        <f t="shared" si="154"/>
        <v>0.2</v>
      </c>
      <c r="AB621">
        <f t="shared" si="155"/>
        <v>3401.0080000000003</v>
      </c>
      <c r="AC621">
        <v>3401.01</v>
      </c>
      <c r="AD621">
        <v>2917.54</v>
      </c>
      <c r="AE621">
        <v>483.47</v>
      </c>
      <c r="AF621" t="s">
        <v>123</v>
      </c>
      <c r="AG621" t="s">
        <v>124</v>
      </c>
      <c r="AH621" t="str">
        <f t="shared" si="151"/>
        <v>Returned</v>
      </c>
      <c r="AI621" t="str">
        <f t="shared" si="152"/>
        <v>Valid</v>
      </c>
      <c r="AJ621">
        <f t="shared" si="153"/>
        <v>483.47000000000025</v>
      </c>
      <c r="AK621" s="12">
        <f t="shared" si="156"/>
        <v>0.14215491407253386</v>
      </c>
      <c r="AL621">
        <f t="shared" si="157"/>
        <v>11</v>
      </c>
      <c r="AM621">
        <f t="shared" si="158"/>
        <v>2024</v>
      </c>
      <c r="AN621" t="str">
        <f t="shared" si="159"/>
        <v>Clean</v>
      </c>
    </row>
    <row r="622" spans="1:40">
      <c r="A622" t="s">
        <v>2944</v>
      </c>
      <c r="B622" s="3" t="s">
        <v>2945</v>
      </c>
      <c r="C622" s="10">
        <v>45522</v>
      </c>
      <c r="D622" s="3" t="s">
        <v>2946</v>
      </c>
      <c r="E622" s="10">
        <v>45525</v>
      </c>
      <c r="F622" s="6" t="str">
        <f t="shared" si="144"/>
        <v>Valid</v>
      </c>
      <c r="G622" s="8">
        <f t="shared" si="145"/>
        <v>3</v>
      </c>
      <c r="H622" s="8" t="str">
        <f t="shared" si="146"/>
        <v>Valid</v>
      </c>
      <c r="I622" t="s">
        <v>2947</v>
      </c>
      <c r="J622" t="s">
        <v>82</v>
      </c>
      <c r="K622" t="s">
        <v>82</v>
      </c>
      <c r="L622" t="s">
        <v>25</v>
      </c>
      <c r="M622" s="3" t="str">
        <f t="shared" si="147"/>
        <v>Consumer</v>
      </c>
      <c r="N622" t="s">
        <v>26</v>
      </c>
      <c r="O622" s="3" t="str">
        <f t="shared" si="148"/>
        <v>North</v>
      </c>
      <c r="P622" t="s">
        <v>173</v>
      </c>
      <c r="Q622" t="s">
        <v>174</v>
      </c>
      <c r="R622" t="s">
        <v>85</v>
      </c>
      <c r="S622" s="3" t="str">
        <f t="shared" si="149"/>
        <v>Technology</v>
      </c>
      <c r="T622" t="s">
        <v>381</v>
      </c>
      <c r="U622" t="s">
        <v>2948</v>
      </c>
      <c r="V622" t="s">
        <v>66</v>
      </c>
      <c r="W622" s="3" t="str">
        <f t="shared" si="150"/>
        <v>Standard Class</v>
      </c>
      <c r="X622">
        <v>9</v>
      </c>
      <c r="Y622">
        <v>734.34</v>
      </c>
      <c r="Z622">
        <v>0</v>
      </c>
      <c r="AA622">
        <f t="shared" si="154"/>
        <v>0</v>
      </c>
      <c r="AB622">
        <f t="shared" si="155"/>
        <v>6609.06</v>
      </c>
      <c r="AC622">
        <v>6609.06</v>
      </c>
      <c r="AD622">
        <v>4946.78</v>
      </c>
      <c r="AE622">
        <v>1662.28</v>
      </c>
      <c r="AF622" t="s">
        <v>33</v>
      </c>
      <c r="AG622" t="s">
        <v>34</v>
      </c>
      <c r="AH622" t="str">
        <f t="shared" si="151"/>
        <v>Completed</v>
      </c>
      <c r="AI622" t="str">
        <f t="shared" si="152"/>
        <v>Valid</v>
      </c>
      <c r="AJ622">
        <f t="shared" si="153"/>
        <v>1662.2800000000007</v>
      </c>
      <c r="AK622" s="12">
        <f t="shared" si="156"/>
        <v>0.25151534408826681</v>
      </c>
      <c r="AL622">
        <f t="shared" si="157"/>
        <v>8</v>
      </c>
      <c r="AM622">
        <f t="shared" si="158"/>
        <v>2024</v>
      </c>
      <c r="AN622" t="str">
        <f t="shared" si="159"/>
        <v>Clean</v>
      </c>
    </row>
    <row r="623" spans="1:40">
      <c r="A623" t="s">
        <v>2949</v>
      </c>
      <c r="B623" s="3" t="s">
        <v>57</v>
      </c>
      <c r="C623" s="10">
        <v>45624</v>
      </c>
      <c r="D623" s="3" t="s">
        <v>2950</v>
      </c>
      <c r="E623" s="10">
        <v>45632</v>
      </c>
      <c r="F623" s="6" t="str">
        <f t="shared" si="144"/>
        <v>Valid</v>
      </c>
      <c r="G623" s="8">
        <f t="shared" si="145"/>
        <v>8</v>
      </c>
      <c r="H623" s="8" t="str">
        <f t="shared" si="146"/>
        <v>Valid</v>
      </c>
      <c r="I623" t="s">
        <v>2951</v>
      </c>
      <c r="J623" t="s">
        <v>106</v>
      </c>
      <c r="K623" t="s">
        <v>106</v>
      </c>
      <c r="L623" t="s">
        <v>25</v>
      </c>
      <c r="M623" s="3" t="str">
        <f t="shared" si="147"/>
        <v>Consumer</v>
      </c>
      <c r="N623" t="s">
        <v>72</v>
      </c>
      <c r="O623" s="3" t="str">
        <f t="shared" si="148"/>
        <v>West</v>
      </c>
      <c r="P623" t="s">
        <v>73</v>
      </c>
      <c r="Q623" t="s">
        <v>74</v>
      </c>
      <c r="R623" t="s">
        <v>44</v>
      </c>
      <c r="S623" s="3" t="str">
        <f t="shared" si="149"/>
        <v>Furniture</v>
      </c>
      <c r="T623" t="s">
        <v>75</v>
      </c>
      <c r="U623" t="s">
        <v>2952</v>
      </c>
      <c r="V623" t="s">
        <v>47</v>
      </c>
      <c r="W623" s="3" t="str">
        <f t="shared" si="150"/>
        <v>Same Day</v>
      </c>
      <c r="X623">
        <v>5</v>
      </c>
      <c r="Y623">
        <v>1092.8399999999999</v>
      </c>
      <c r="AA623">
        <f t="shared" si="154"/>
        <v>0</v>
      </c>
      <c r="AB623">
        <f t="shared" si="155"/>
        <v>5464.2</v>
      </c>
      <c r="AC623">
        <v>5464.2</v>
      </c>
      <c r="AD623">
        <v>3318.09</v>
      </c>
      <c r="AE623">
        <v>2146.11</v>
      </c>
      <c r="AF623" t="s">
        <v>33</v>
      </c>
      <c r="AG623" t="s">
        <v>34</v>
      </c>
      <c r="AH623" t="str">
        <f t="shared" si="151"/>
        <v>Completed</v>
      </c>
      <c r="AI623" t="str">
        <f t="shared" si="152"/>
        <v>Valid</v>
      </c>
      <c r="AJ623">
        <f t="shared" si="153"/>
        <v>2146.1099999999997</v>
      </c>
      <c r="AK623" s="12">
        <f t="shared" si="156"/>
        <v>0.39275831777753373</v>
      </c>
      <c r="AL623">
        <f t="shared" si="157"/>
        <v>11</v>
      </c>
      <c r="AM623">
        <f t="shared" si="158"/>
        <v>2024</v>
      </c>
      <c r="AN623" t="str">
        <f t="shared" si="159"/>
        <v>Clean</v>
      </c>
    </row>
    <row r="624" spans="1:40">
      <c r="A624" t="s">
        <v>2953</v>
      </c>
      <c r="B624" s="3" t="s">
        <v>2954</v>
      </c>
      <c r="C624" s="10">
        <v>45686</v>
      </c>
      <c r="D624" s="3" t="s">
        <v>2955</v>
      </c>
      <c r="E624" s="10">
        <v>45694</v>
      </c>
      <c r="F624" s="6" t="str">
        <f t="shared" si="144"/>
        <v>Valid</v>
      </c>
      <c r="G624" s="8">
        <f t="shared" si="145"/>
        <v>8</v>
      </c>
      <c r="H624" s="8" t="str">
        <f t="shared" si="146"/>
        <v>Valid</v>
      </c>
      <c r="I624" t="s">
        <v>2956</v>
      </c>
      <c r="J624" t="s">
        <v>82</v>
      </c>
      <c r="K624" t="s">
        <v>82</v>
      </c>
      <c r="L624" t="s">
        <v>25</v>
      </c>
      <c r="M624" s="3" t="str">
        <f t="shared" si="147"/>
        <v>Consumer</v>
      </c>
      <c r="N624" t="s">
        <v>41</v>
      </c>
      <c r="O624" s="3" t="str">
        <f t="shared" si="148"/>
        <v>East</v>
      </c>
      <c r="P624" t="s">
        <v>185</v>
      </c>
      <c r="Q624" t="s">
        <v>186</v>
      </c>
      <c r="R624" t="s">
        <v>29</v>
      </c>
      <c r="S624" s="3" t="str">
        <f t="shared" si="149"/>
        <v>Office Supplies</v>
      </c>
      <c r="T624" t="s">
        <v>155</v>
      </c>
      <c r="U624" t="s">
        <v>2957</v>
      </c>
      <c r="V624" t="s">
        <v>66</v>
      </c>
      <c r="W624" s="3" t="str">
        <f t="shared" si="150"/>
        <v>Standard Class</v>
      </c>
      <c r="X624">
        <v>4</v>
      </c>
      <c r="Y624">
        <v>2759.01</v>
      </c>
      <c r="Z624">
        <v>0.05</v>
      </c>
      <c r="AA624">
        <f t="shared" si="154"/>
        <v>0.05</v>
      </c>
      <c r="AB624">
        <f t="shared" si="155"/>
        <v>10484.238000000001</v>
      </c>
      <c r="AC624">
        <v>10484.24</v>
      </c>
      <c r="AD624">
        <v>6680.15</v>
      </c>
      <c r="AE624">
        <v>3804.09</v>
      </c>
      <c r="AF624" t="s">
        <v>33</v>
      </c>
      <c r="AG624" t="s">
        <v>34</v>
      </c>
      <c r="AH624" t="str">
        <f t="shared" si="151"/>
        <v>Completed</v>
      </c>
      <c r="AI624" t="str">
        <f t="shared" si="152"/>
        <v>Valid</v>
      </c>
      <c r="AJ624">
        <f t="shared" si="153"/>
        <v>3804.09</v>
      </c>
      <c r="AK624" s="12">
        <f t="shared" si="156"/>
        <v>0.36283895882561989</v>
      </c>
      <c r="AL624">
        <f t="shared" si="157"/>
        <v>1</v>
      </c>
      <c r="AM624">
        <f t="shared" si="158"/>
        <v>2025</v>
      </c>
      <c r="AN624" t="str">
        <f t="shared" si="159"/>
        <v>Clean</v>
      </c>
    </row>
    <row r="625" spans="1:40">
      <c r="A625" t="s">
        <v>2958</v>
      </c>
      <c r="B625" s="3" t="s">
        <v>2959</v>
      </c>
      <c r="C625" s="10">
        <v>45512</v>
      </c>
      <c r="D625" s="3" t="s">
        <v>2960</v>
      </c>
      <c r="E625" s="10">
        <v>45518</v>
      </c>
      <c r="F625" s="6" t="str">
        <f t="shared" si="144"/>
        <v>Valid</v>
      </c>
      <c r="G625" s="8">
        <f t="shared" si="145"/>
        <v>6</v>
      </c>
      <c r="H625" s="8" t="str">
        <f t="shared" si="146"/>
        <v>Valid</v>
      </c>
      <c r="I625" t="s">
        <v>2961</v>
      </c>
      <c r="J625" t="s">
        <v>82</v>
      </c>
      <c r="K625" t="s">
        <v>82</v>
      </c>
      <c r="L625" t="s">
        <v>114</v>
      </c>
      <c r="M625" s="3" t="str">
        <f t="shared" si="147"/>
        <v>Home Office</v>
      </c>
      <c r="N625" t="s">
        <v>26</v>
      </c>
      <c r="O625" s="3" t="str">
        <f t="shared" si="148"/>
        <v>North</v>
      </c>
      <c r="P625" t="s">
        <v>153</v>
      </c>
      <c r="Q625" t="s">
        <v>154</v>
      </c>
      <c r="R625" t="s">
        <v>29</v>
      </c>
      <c r="S625" s="3" t="str">
        <f t="shared" si="149"/>
        <v>Office Supplies</v>
      </c>
      <c r="T625" t="s">
        <v>155</v>
      </c>
      <c r="U625" t="s">
        <v>2962</v>
      </c>
      <c r="V625" t="s">
        <v>32</v>
      </c>
      <c r="W625" s="3" t="str">
        <f t="shared" si="150"/>
        <v>Second Class</v>
      </c>
      <c r="X625">
        <v>8</v>
      </c>
      <c r="Y625">
        <v>1359.19</v>
      </c>
      <c r="Z625">
        <v>0.05</v>
      </c>
      <c r="AA625">
        <f t="shared" si="154"/>
        <v>0.05</v>
      </c>
      <c r="AB625">
        <f t="shared" si="155"/>
        <v>10329.843999999999</v>
      </c>
      <c r="AC625">
        <v>10329.84</v>
      </c>
      <c r="AD625">
        <v>7512.22</v>
      </c>
      <c r="AE625">
        <v>2817.62</v>
      </c>
      <c r="AF625" t="s">
        <v>33</v>
      </c>
      <c r="AG625" t="s">
        <v>34</v>
      </c>
      <c r="AH625" t="str">
        <f t="shared" si="151"/>
        <v>Completed</v>
      </c>
      <c r="AI625" t="str">
        <f t="shared" si="152"/>
        <v>Valid</v>
      </c>
      <c r="AJ625">
        <f t="shared" si="153"/>
        <v>2817.62</v>
      </c>
      <c r="AK625" s="12">
        <f t="shared" si="156"/>
        <v>0.27276500981040952</v>
      </c>
      <c r="AL625">
        <f t="shared" si="157"/>
        <v>8</v>
      </c>
      <c r="AM625">
        <f t="shared" si="158"/>
        <v>2024</v>
      </c>
      <c r="AN625" t="str">
        <f t="shared" si="159"/>
        <v>Clean</v>
      </c>
    </row>
    <row r="626" spans="1:40">
      <c r="A626" t="s">
        <v>2963</v>
      </c>
      <c r="B626" s="3" t="s">
        <v>2964</v>
      </c>
      <c r="C626" s="10">
        <v>45321</v>
      </c>
      <c r="D626" s="3" t="s">
        <v>2965</v>
      </c>
      <c r="E626" s="10">
        <v>45323</v>
      </c>
      <c r="F626" s="6" t="str">
        <f t="shared" si="144"/>
        <v>Valid</v>
      </c>
      <c r="G626" s="8">
        <f t="shared" si="145"/>
        <v>2</v>
      </c>
      <c r="H626" s="8" t="str">
        <f t="shared" si="146"/>
        <v>Valid</v>
      </c>
      <c r="I626" t="s">
        <v>2966</v>
      </c>
      <c r="J626" t="s">
        <v>92</v>
      </c>
      <c r="K626" t="s">
        <v>92</v>
      </c>
      <c r="L626" t="s">
        <v>114</v>
      </c>
      <c r="M626" s="3" t="str">
        <f t="shared" si="147"/>
        <v>Home Office</v>
      </c>
      <c r="N626" t="s">
        <v>41</v>
      </c>
      <c r="O626" s="3" t="str">
        <f t="shared" si="148"/>
        <v>East</v>
      </c>
      <c r="P626" t="s">
        <v>215</v>
      </c>
      <c r="Q626" t="s">
        <v>216</v>
      </c>
      <c r="R626" t="s">
        <v>44</v>
      </c>
      <c r="S626" s="3" t="str">
        <f t="shared" si="149"/>
        <v>Furniture</v>
      </c>
      <c r="T626" t="s">
        <v>75</v>
      </c>
      <c r="U626" t="s">
        <v>2967</v>
      </c>
      <c r="V626" t="s">
        <v>55</v>
      </c>
      <c r="W626" s="3" t="str">
        <f t="shared" si="150"/>
        <v>First Class</v>
      </c>
      <c r="X626">
        <v>2</v>
      </c>
      <c r="Y626">
        <v>4451.03</v>
      </c>
      <c r="Z626">
        <v>0.05</v>
      </c>
      <c r="AA626">
        <f t="shared" si="154"/>
        <v>0.05</v>
      </c>
      <c r="AB626">
        <f t="shared" si="155"/>
        <v>8456.9569999999985</v>
      </c>
      <c r="AC626">
        <v>8456.9599999999991</v>
      </c>
      <c r="AD626">
        <v>5462.85</v>
      </c>
      <c r="AE626">
        <v>2994.11</v>
      </c>
      <c r="AF626" t="s">
        <v>33</v>
      </c>
      <c r="AG626" t="s">
        <v>34</v>
      </c>
      <c r="AH626" t="str">
        <f t="shared" si="151"/>
        <v>Completed</v>
      </c>
      <c r="AI626" t="str">
        <f t="shared" si="152"/>
        <v>Valid</v>
      </c>
      <c r="AJ626">
        <f t="shared" si="153"/>
        <v>2994.1099999999988</v>
      </c>
      <c r="AK626" s="12">
        <f t="shared" si="156"/>
        <v>0.35404105755770066</v>
      </c>
      <c r="AL626">
        <f t="shared" si="157"/>
        <v>1</v>
      </c>
      <c r="AM626">
        <f t="shared" si="158"/>
        <v>2024</v>
      </c>
      <c r="AN626" t="str">
        <f t="shared" si="159"/>
        <v>Clean</v>
      </c>
    </row>
    <row r="627" spans="1:40">
      <c r="A627" t="s">
        <v>2968</v>
      </c>
      <c r="B627" s="3" t="s">
        <v>2969</v>
      </c>
      <c r="C627" s="10">
        <v>45641</v>
      </c>
      <c r="D627" s="3" t="s">
        <v>1403</v>
      </c>
      <c r="E627" s="10">
        <v>45647</v>
      </c>
      <c r="F627" s="6" t="str">
        <f t="shared" si="144"/>
        <v>Valid</v>
      </c>
      <c r="G627" s="8">
        <f t="shared" si="145"/>
        <v>6</v>
      </c>
      <c r="H627" s="8" t="str">
        <f t="shared" si="146"/>
        <v>Valid</v>
      </c>
      <c r="I627" t="s">
        <v>2970</v>
      </c>
      <c r="J627" t="s">
        <v>209</v>
      </c>
      <c r="K627" t="s">
        <v>209</v>
      </c>
      <c r="L627" t="s">
        <v>107</v>
      </c>
      <c r="M627" s="3" t="str">
        <f t="shared" si="147"/>
        <v>Corporate</v>
      </c>
      <c r="N627" t="s">
        <v>72</v>
      </c>
      <c r="O627" s="3" t="str">
        <f t="shared" si="148"/>
        <v>West</v>
      </c>
      <c r="P627" t="s">
        <v>27</v>
      </c>
      <c r="Q627" t="s">
        <v>134</v>
      </c>
      <c r="R627" t="s">
        <v>44</v>
      </c>
      <c r="S627" s="3" t="str">
        <f t="shared" si="149"/>
        <v>Furniture</v>
      </c>
      <c r="T627" t="s">
        <v>75</v>
      </c>
      <c r="U627" t="s">
        <v>2971</v>
      </c>
      <c r="V627" t="s">
        <v>47</v>
      </c>
      <c r="W627" s="3" t="str">
        <f t="shared" si="150"/>
        <v>Same Day</v>
      </c>
      <c r="X627">
        <v>3</v>
      </c>
      <c r="Y627">
        <v>527.66999999999996</v>
      </c>
      <c r="Z627">
        <v>0.2</v>
      </c>
      <c r="AA627">
        <f t="shared" si="154"/>
        <v>0.2</v>
      </c>
      <c r="AB627">
        <f t="shared" si="155"/>
        <v>1266.4079999999999</v>
      </c>
      <c r="AC627">
        <v>1266.4100000000001</v>
      </c>
      <c r="AD627">
        <v>983.92</v>
      </c>
      <c r="AE627">
        <v>282.49</v>
      </c>
      <c r="AF627" t="s">
        <v>33</v>
      </c>
      <c r="AG627" t="s">
        <v>34</v>
      </c>
      <c r="AH627" t="str">
        <f t="shared" si="151"/>
        <v>Completed</v>
      </c>
      <c r="AI627" t="str">
        <f t="shared" si="152"/>
        <v>Valid</v>
      </c>
      <c r="AJ627">
        <f t="shared" si="153"/>
        <v>282.49000000000012</v>
      </c>
      <c r="AK627" s="12">
        <f t="shared" si="156"/>
        <v>0.22306397306397319</v>
      </c>
      <c r="AL627">
        <f t="shared" si="157"/>
        <v>12</v>
      </c>
      <c r="AM627">
        <f t="shared" si="158"/>
        <v>2024</v>
      </c>
      <c r="AN627" t="str">
        <f t="shared" si="159"/>
        <v>Clean</v>
      </c>
    </row>
    <row r="628" spans="1:40">
      <c r="A628" t="s">
        <v>2972</v>
      </c>
      <c r="B628" s="3" t="s">
        <v>1388</v>
      </c>
      <c r="C628" s="10">
        <v>45812</v>
      </c>
      <c r="D628" s="3" t="s">
        <v>2973</v>
      </c>
      <c r="E628" s="10">
        <v>45815</v>
      </c>
      <c r="F628" s="6" t="str">
        <f t="shared" si="144"/>
        <v>Valid</v>
      </c>
      <c r="G628" s="8">
        <f t="shared" si="145"/>
        <v>3</v>
      </c>
      <c r="H628" s="8" t="str">
        <f t="shared" si="146"/>
        <v>Valid</v>
      </c>
      <c r="I628" t="s">
        <v>2974</v>
      </c>
      <c r="J628" t="s">
        <v>167</v>
      </c>
      <c r="K628" t="s">
        <v>167</v>
      </c>
      <c r="L628" t="s">
        <v>114</v>
      </c>
      <c r="M628" s="3" t="str">
        <f t="shared" si="147"/>
        <v>Home Office</v>
      </c>
      <c r="N628" t="s">
        <v>41</v>
      </c>
      <c r="O628" s="3" t="str">
        <f t="shared" si="148"/>
        <v>East</v>
      </c>
      <c r="P628" t="s">
        <v>215</v>
      </c>
      <c r="Q628" t="s">
        <v>216</v>
      </c>
      <c r="R628" t="s">
        <v>85</v>
      </c>
      <c r="S628" s="3" t="str">
        <f t="shared" si="149"/>
        <v>Technology</v>
      </c>
      <c r="T628" t="s">
        <v>381</v>
      </c>
      <c r="U628" t="s">
        <v>2975</v>
      </c>
      <c r="V628" t="s">
        <v>66</v>
      </c>
      <c r="W628" s="3" t="str">
        <f t="shared" si="150"/>
        <v>Standard Class</v>
      </c>
      <c r="X628">
        <v>8</v>
      </c>
      <c r="Y628">
        <v>1434.13</v>
      </c>
      <c r="Z628">
        <v>0</v>
      </c>
      <c r="AA628">
        <f t="shared" si="154"/>
        <v>0</v>
      </c>
      <c r="AB628">
        <f t="shared" si="155"/>
        <v>11473.04</v>
      </c>
      <c r="AC628">
        <v>11473.04</v>
      </c>
      <c r="AD628">
        <v>8931.33</v>
      </c>
      <c r="AE628">
        <v>2541.71</v>
      </c>
      <c r="AF628" t="s">
        <v>136</v>
      </c>
      <c r="AG628" t="s">
        <v>124</v>
      </c>
      <c r="AH628" t="str">
        <f t="shared" si="151"/>
        <v>Returned</v>
      </c>
      <c r="AI628" t="str">
        <f t="shared" si="152"/>
        <v>Valid</v>
      </c>
      <c r="AJ628">
        <f t="shared" si="153"/>
        <v>2541.7100000000009</v>
      </c>
      <c r="AK628" s="12">
        <f t="shared" si="156"/>
        <v>0.22153762211236086</v>
      </c>
      <c r="AL628">
        <f t="shared" si="157"/>
        <v>6</v>
      </c>
      <c r="AM628">
        <f t="shared" si="158"/>
        <v>2025</v>
      </c>
      <c r="AN628" t="str">
        <f t="shared" si="159"/>
        <v>Clean</v>
      </c>
    </row>
    <row r="629" spans="1:40">
      <c r="A629" t="s">
        <v>2976</v>
      </c>
      <c r="B629" s="3" t="s">
        <v>1413</v>
      </c>
      <c r="C629" s="10">
        <v>45701</v>
      </c>
      <c r="D629" s="3" t="s">
        <v>1774</v>
      </c>
      <c r="E629" s="10">
        <v>45709</v>
      </c>
      <c r="F629" s="6" t="str">
        <f t="shared" si="144"/>
        <v>Valid</v>
      </c>
      <c r="G629" s="8">
        <f t="shared" si="145"/>
        <v>8</v>
      </c>
      <c r="H629" s="8" t="str">
        <f t="shared" si="146"/>
        <v>Valid</v>
      </c>
      <c r="I629" t="s">
        <v>2977</v>
      </c>
      <c r="J629" t="s">
        <v>24</v>
      </c>
      <c r="K629" t="s">
        <v>24</v>
      </c>
      <c r="L629" t="s">
        <v>40</v>
      </c>
      <c r="M629" s="3" t="str">
        <f t="shared" si="147"/>
        <v>Small Business</v>
      </c>
      <c r="N629" t="s">
        <v>61</v>
      </c>
      <c r="O629" s="3" t="str">
        <f t="shared" si="148"/>
        <v>South</v>
      </c>
      <c r="P629" t="s">
        <v>241</v>
      </c>
      <c r="Q629" t="s">
        <v>242</v>
      </c>
      <c r="R629" t="s">
        <v>85</v>
      </c>
      <c r="S629" s="3" t="str">
        <f t="shared" si="149"/>
        <v>Technology</v>
      </c>
      <c r="T629" t="s">
        <v>222</v>
      </c>
      <c r="U629" t="s">
        <v>2978</v>
      </c>
      <c r="V629" t="s">
        <v>32</v>
      </c>
      <c r="W629" s="3" t="str">
        <f t="shared" si="150"/>
        <v>Second Class</v>
      </c>
      <c r="X629">
        <v>2</v>
      </c>
      <c r="Y629">
        <v>2360.02</v>
      </c>
      <c r="Z629">
        <v>0.15</v>
      </c>
      <c r="AA629">
        <f t="shared" si="154"/>
        <v>0.15</v>
      </c>
      <c r="AB629">
        <f t="shared" si="155"/>
        <v>4012.0339999999997</v>
      </c>
      <c r="AC629">
        <v>4012.03</v>
      </c>
      <c r="AD629">
        <v>3142.92</v>
      </c>
      <c r="AE629">
        <v>869.11</v>
      </c>
      <c r="AF629" t="s">
        <v>136</v>
      </c>
      <c r="AG629" t="s">
        <v>77</v>
      </c>
      <c r="AH629" t="str">
        <f t="shared" si="151"/>
        <v>Cancelled</v>
      </c>
      <c r="AI629" t="str">
        <f t="shared" si="152"/>
        <v>Valid</v>
      </c>
      <c r="AJ629">
        <f t="shared" si="153"/>
        <v>869.11000000000013</v>
      </c>
      <c r="AK629" s="12">
        <f t="shared" si="156"/>
        <v>0.21662578133684815</v>
      </c>
      <c r="AL629">
        <f t="shared" si="157"/>
        <v>2</v>
      </c>
      <c r="AM629">
        <f t="shared" si="158"/>
        <v>2025</v>
      </c>
      <c r="AN629" t="str">
        <f t="shared" si="159"/>
        <v>Clean</v>
      </c>
    </row>
    <row r="630" spans="1:40">
      <c r="A630" t="s">
        <v>2979</v>
      </c>
      <c r="B630" s="3" t="s">
        <v>2552</v>
      </c>
      <c r="C630" s="10">
        <v>45935</v>
      </c>
      <c r="D630" s="3" t="s">
        <v>2980</v>
      </c>
      <c r="E630" s="10">
        <v>45942</v>
      </c>
      <c r="F630" s="6" t="str">
        <f t="shared" si="144"/>
        <v>Valid</v>
      </c>
      <c r="G630" s="8">
        <f t="shared" si="145"/>
        <v>7</v>
      </c>
      <c r="H630" s="8" t="str">
        <f t="shared" si="146"/>
        <v>Valid</v>
      </c>
      <c r="I630" t="s">
        <v>2981</v>
      </c>
      <c r="J630" t="s">
        <v>71</v>
      </c>
      <c r="K630" t="s">
        <v>71</v>
      </c>
      <c r="L630" t="s">
        <v>114</v>
      </c>
      <c r="M630" s="3" t="str">
        <f t="shared" si="147"/>
        <v>Home Office</v>
      </c>
      <c r="N630" t="s">
        <v>41</v>
      </c>
      <c r="O630" s="3" t="str">
        <f t="shared" si="148"/>
        <v>East</v>
      </c>
      <c r="P630" t="s">
        <v>310</v>
      </c>
      <c r="Q630" t="s">
        <v>311</v>
      </c>
      <c r="R630" t="s">
        <v>85</v>
      </c>
      <c r="S630" s="3" t="str">
        <f t="shared" si="149"/>
        <v>Technology</v>
      </c>
      <c r="T630" t="s">
        <v>86</v>
      </c>
      <c r="U630" t="s">
        <v>2982</v>
      </c>
      <c r="V630" t="s">
        <v>47</v>
      </c>
      <c r="W630" s="3" t="str">
        <f t="shared" si="150"/>
        <v>Same Day</v>
      </c>
      <c r="X630">
        <v>7</v>
      </c>
      <c r="Y630">
        <v>806.67</v>
      </c>
      <c r="Z630">
        <v>0.05</v>
      </c>
      <c r="AA630">
        <f t="shared" si="154"/>
        <v>0.05</v>
      </c>
      <c r="AB630">
        <f t="shared" si="155"/>
        <v>5364.3554999999997</v>
      </c>
      <c r="AC630">
        <v>5364.36</v>
      </c>
      <c r="AD630">
        <v>4391.29</v>
      </c>
      <c r="AE630">
        <v>973.07</v>
      </c>
      <c r="AF630" t="s">
        <v>33</v>
      </c>
      <c r="AG630" t="s">
        <v>34</v>
      </c>
      <c r="AH630" t="str">
        <f t="shared" si="151"/>
        <v>Completed</v>
      </c>
      <c r="AI630" t="str">
        <f t="shared" si="152"/>
        <v>Valid</v>
      </c>
      <c r="AJ630">
        <f t="shared" si="153"/>
        <v>973.06999999999971</v>
      </c>
      <c r="AK630" s="12">
        <f t="shared" si="156"/>
        <v>0.18139550967492735</v>
      </c>
      <c r="AL630">
        <f t="shared" si="157"/>
        <v>10</v>
      </c>
      <c r="AM630">
        <f t="shared" si="158"/>
        <v>2025</v>
      </c>
      <c r="AN630" t="str">
        <f t="shared" si="159"/>
        <v>Clean</v>
      </c>
    </row>
    <row r="631" spans="1:40">
      <c r="A631" t="s">
        <v>2983</v>
      </c>
      <c r="B631" s="3" t="s">
        <v>572</v>
      </c>
      <c r="C631" s="10">
        <v>45910</v>
      </c>
      <c r="D631" s="3" t="s">
        <v>2984</v>
      </c>
      <c r="E631" s="10">
        <v>45914</v>
      </c>
      <c r="F631" s="6" t="str">
        <f t="shared" si="144"/>
        <v>Valid</v>
      </c>
      <c r="G631" s="8">
        <f t="shared" si="145"/>
        <v>4</v>
      </c>
      <c r="H631" s="8" t="str">
        <f t="shared" si="146"/>
        <v>Valid</v>
      </c>
      <c r="I631" t="s">
        <v>2985</v>
      </c>
      <c r="J631" t="s">
        <v>60</v>
      </c>
      <c r="K631" t="s">
        <v>60</v>
      </c>
      <c r="L631" t="s">
        <v>114</v>
      </c>
      <c r="M631" s="3" t="str">
        <f t="shared" si="147"/>
        <v>Home Office</v>
      </c>
      <c r="N631" t="s">
        <v>72</v>
      </c>
      <c r="O631" s="3" t="str">
        <f t="shared" si="148"/>
        <v>West</v>
      </c>
      <c r="P631" t="s">
        <v>234</v>
      </c>
      <c r="Q631" t="s">
        <v>235</v>
      </c>
      <c r="R631" t="s">
        <v>44</v>
      </c>
      <c r="S631" s="3" t="str">
        <f t="shared" si="149"/>
        <v>Furniture</v>
      </c>
      <c r="T631" t="s">
        <v>45</v>
      </c>
      <c r="U631" t="s">
        <v>2986</v>
      </c>
      <c r="V631" t="s">
        <v>47</v>
      </c>
      <c r="W631" s="3" t="str">
        <f t="shared" si="150"/>
        <v>Same Day</v>
      </c>
      <c r="X631">
        <v>3</v>
      </c>
      <c r="Y631">
        <v>4198.46</v>
      </c>
      <c r="Z631">
        <v>0.15</v>
      </c>
      <c r="AA631">
        <f t="shared" si="154"/>
        <v>0.15</v>
      </c>
      <c r="AB631">
        <f t="shared" si="155"/>
        <v>10706.073</v>
      </c>
      <c r="AC631">
        <v>10706.07</v>
      </c>
      <c r="AD631">
        <v>5927.1</v>
      </c>
      <c r="AE631">
        <v>4778.97</v>
      </c>
      <c r="AF631" t="s">
        <v>33</v>
      </c>
      <c r="AG631" t="s">
        <v>34</v>
      </c>
      <c r="AH631" t="str">
        <f t="shared" si="151"/>
        <v>Completed</v>
      </c>
      <c r="AI631" t="str">
        <f t="shared" si="152"/>
        <v>Valid</v>
      </c>
      <c r="AJ631">
        <f t="shared" si="153"/>
        <v>4778.9699999999993</v>
      </c>
      <c r="AK631" s="12">
        <f t="shared" si="156"/>
        <v>0.44637935870603529</v>
      </c>
      <c r="AL631">
        <f t="shared" si="157"/>
        <v>9</v>
      </c>
      <c r="AM631">
        <f t="shared" si="158"/>
        <v>2025</v>
      </c>
      <c r="AN631" t="str">
        <f t="shared" si="159"/>
        <v>Clean</v>
      </c>
    </row>
    <row r="632" spans="1:40">
      <c r="A632" t="s">
        <v>2987</v>
      </c>
      <c r="B632" s="3" t="s">
        <v>2442</v>
      </c>
      <c r="C632" s="10">
        <v>45391</v>
      </c>
      <c r="D632" s="3" t="s">
        <v>1496</v>
      </c>
      <c r="E632" s="10">
        <v>45392</v>
      </c>
      <c r="F632" s="6" t="str">
        <f t="shared" si="144"/>
        <v>Valid</v>
      </c>
      <c r="G632" s="8">
        <f t="shared" si="145"/>
        <v>1</v>
      </c>
      <c r="H632" s="8" t="str">
        <f t="shared" si="146"/>
        <v>Valid</v>
      </c>
      <c r="I632" t="s">
        <v>2988</v>
      </c>
      <c r="J632" t="s">
        <v>141</v>
      </c>
      <c r="K632" t="s">
        <v>141</v>
      </c>
      <c r="L632" t="s">
        <v>107</v>
      </c>
      <c r="M632" s="3" t="str">
        <f t="shared" si="147"/>
        <v>Corporate</v>
      </c>
      <c r="N632" t="s">
        <v>41</v>
      </c>
      <c r="O632" s="3" t="str">
        <f t="shared" si="148"/>
        <v>East</v>
      </c>
      <c r="P632" t="s">
        <v>215</v>
      </c>
      <c r="Q632" t="s">
        <v>216</v>
      </c>
      <c r="R632" t="s">
        <v>29</v>
      </c>
      <c r="S632" s="3" t="str">
        <f t="shared" si="149"/>
        <v>Office Supplies</v>
      </c>
      <c r="T632" t="s">
        <v>30</v>
      </c>
      <c r="U632" t="s">
        <v>2989</v>
      </c>
      <c r="V632" t="s">
        <v>66</v>
      </c>
      <c r="W632" s="3" t="str">
        <f t="shared" si="150"/>
        <v>Standard Class</v>
      </c>
      <c r="X632">
        <v>4</v>
      </c>
      <c r="Y632">
        <v>3047.05</v>
      </c>
      <c r="Z632">
        <v>0.1</v>
      </c>
      <c r="AA632">
        <f t="shared" si="154"/>
        <v>0.1</v>
      </c>
      <c r="AB632">
        <f t="shared" si="155"/>
        <v>10969.380000000001</v>
      </c>
      <c r="AC632">
        <v>10969.38</v>
      </c>
      <c r="AD632">
        <v>9254.4599999999991</v>
      </c>
      <c r="AE632">
        <v>1714.92</v>
      </c>
      <c r="AF632" t="s">
        <v>33</v>
      </c>
      <c r="AG632" t="s">
        <v>34</v>
      </c>
      <c r="AH632" t="str">
        <f t="shared" si="151"/>
        <v>Completed</v>
      </c>
      <c r="AI632" t="str">
        <f t="shared" si="152"/>
        <v>Valid</v>
      </c>
      <c r="AJ632">
        <f t="shared" si="153"/>
        <v>1714.92</v>
      </c>
      <c r="AK632" s="12">
        <f t="shared" si="156"/>
        <v>0.15633700354988156</v>
      </c>
      <c r="AL632">
        <f t="shared" si="157"/>
        <v>4</v>
      </c>
      <c r="AM632">
        <f t="shared" si="158"/>
        <v>2024</v>
      </c>
      <c r="AN632" t="str">
        <f t="shared" si="159"/>
        <v>Clean</v>
      </c>
    </row>
    <row r="633" spans="1:40">
      <c r="A633" t="s">
        <v>2990</v>
      </c>
      <c r="B633" s="3" t="s">
        <v>1439</v>
      </c>
      <c r="C633" s="10">
        <v>45392</v>
      </c>
      <c r="D633" s="3" t="s">
        <v>1539</v>
      </c>
      <c r="E633" s="10">
        <v>45397</v>
      </c>
      <c r="F633" s="6" t="str">
        <f t="shared" si="144"/>
        <v>Valid</v>
      </c>
      <c r="G633" s="8">
        <f t="shared" si="145"/>
        <v>5</v>
      </c>
      <c r="H633" s="8" t="str">
        <f t="shared" si="146"/>
        <v>Valid</v>
      </c>
      <c r="I633" t="s">
        <v>2991</v>
      </c>
      <c r="J633" t="s">
        <v>161</v>
      </c>
      <c r="K633" t="s">
        <v>161</v>
      </c>
      <c r="L633" t="s">
        <v>114</v>
      </c>
      <c r="M633" s="3" t="str">
        <f t="shared" si="147"/>
        <v>Home Office</v>
      </c>
      <c r="N633" t="s">
        <v>72</v>
      </c>
      <c r="O633" s="3" t="str">
        <f t="shared" si="148"/>
        <v>West</v>
      </c>
      <c r="P633" t="s">
        <v>27</v>
      </c>
      <c r="Q633" t="s">
        <v>134</v>
      </c>
      <c r="R633" t="s">
        <v>44</v>
      </c>
      <c r="S633" s="3" t="str">
        <f t="shared" si="149"/>
        <v>Furniture</v>
      </c>
      <c r="T633" t="s">
        <v>75</v>
      </c>
      <c r="U633" t="s">
        <v>2992</v>
      </c>
      <c r="V633" t="s">
        <v>66</v>
      </c>
      <c r="W633" s="3" t="str">
        <f t="shared" si="150"/>
        <v>Standard Class</v>
      </c>
      <c r="X633">
        <v>8</v>
      </c>
      <c r="Y633">
        <v>4362.4799999999996</v>
      </c>
      <c r="Z633">
        <v>0.1</v>
      </c>
      <c r="AA633">
        <f t="shared" si="154"/>
        <v>0.1</v>
      </c>
      <c r="AB633">
        <f t="shared" si="155"/>
        <v>31409.855999999996</v>
      </c>
      <c r="AC633">
        <v>31409.86</v>
      </c>
      <c r="AD633">
        <v>22523.54</v>
      </c>
      <c r="AE633">
        <v>8886.32</v>
      </c>
      <c r="AF633" t="s">
        <v>33</v>
      </c>
      <c r="AG633" t="s">
        <v>34</v>
      </c>
      <c r="AH633" t="str">
        <f t="shared" si="151"/>
        <v>Completed</v>
      </c>
      <c r="AI633" t="str">
        <f t="shared" si="152"/>
        <v>Valid</v>
      </c>
      <c r="AJ633">
        <f t="shared" si="153"/>
        <v>8886.32</v>
      </c>
      <c r="AK633" s="12">
        <f t="shared" si="156"/>
        <v>0.28291501877627201</v>
      </c>
      <c r="AL633">
        <f t="shared" si="157"/>
        <v>4</v>
      </c>
      <c r="AM633">
        <f t="shared" si="158"/>
        <v>2024</v>
      </c>
      <c r="AN633" t="str">
        <f t="shared" si="159"/>
        <v>Clean</v>
      </c>
    </row>
    <row r="634" spans="1:40">
      <c r="A634" t="s">
        <v>2993</v>
      </c>
      <c r="B634" s="3" t="s">
        <v>2994</v>
      </c>
      <c r="C634" s="10">
        <v>45762</v>
      </c>
      <c r="D634" s="3" t="s">
        <v>2995</v>
      </c>
      <c r="E634" s="10">
        <v>45763</v>
      </c>
      <c r="F634" s="6" t="str">
        <f t="shared" si="144"/>
        <v>Valid</v>
      </c>
      <c r="G634" s="8">
        <f t="shared" si="145"/>
        <v>1</v>
      </c>
      <c r="H634" s="8" t="str">
        <f t="shared" si="146"/>
        <v>Valid</v>
      </c>
      <c r="I634" t="s">
        <v>2996</v>
      </c>
      <c r="J634" t="s">
        <v>167</v>
      </c>
      <c r="K634" t="s">
        <v>167</v>
      </c>
      <c r="L634" t="s">
        <v>40</v>
      </c>
      <c r="M634" s="3" t="str">
        <f t="shared" si="147"/>
        <v>Small Business</v>
      </c>
      <c r="N634" t="s">
        <v>61</v>
      </c>
      <c r="O634" s="3" t="str">
        <f t="shared" si="148"/>
        <v>South</v>
      </c>
      <c r="P634" t="s">
        <v>228</v>
      </c>
      <c r="Q634" t="s">
        <v>229</v>
      </c>
      <c r="R634" t="s">
        <v>44</v>
      </c>
      <c r="S634" s="3" t="str">
        <f t="shared" si="149"/>
        <v>Furniture</v>
      </c>
      <c r="T634" t="s">
        <v>64</v>
      </c>
      <c r="U634" t="s">
        <v>2997</v>
      </c>
      <c r="V634" t="s">
        <v>55</v>
      </c>
      <c r="W634" s="3" t="str">
        <f t="shared" si="150"/>
        <v>First Class</v>
      </c>
      <c r="X634">
        <v>5</v>
      </c>
      <c r="Y634">
        <v>2850.53</v>
      </c>
      <c r="Z634">
        <v>0</v>
      </c>
      <c r="AA634">
        <f t="shared" si="154"/>
        <v>0</v>
      </c>
      <c r="AB634">
        <f t="shared" si="155"/>
        <v>14252.650000000001</v>
      </c>
      <c r="AC634">
        <v>14252.65</v>
      </c>
      <c r="AD634">
        <v>11558.31</v>
      </c>
      <c r="AE634">
        <v>2694.34</v>
      </c>
      <c r="AF634" t="s">
        <v>33</v>
      </c>
      <c r="AG634" t="s">
        <v>34</v>
      </c>
      <c r="AH634" t="str">
        <f t="shared" si="151"/>
        <v>Completed</v>
      </c>
      <c r="AI634" t="str">
        <f t="shared" si="152"/>
        <v>Valid</v>
      </c>
      <c r="AJ634">
        <f t="shared" si="153"/>
        <v>2694.34</v>
      </c>
      <c r="AK634" s="12">
        <f t="shared" si="156"/>
        <v>0.18904133617257141</v>
      </c>
      <c r="AL634">
        <f t="shared" si="157"/>
        <v>4</v>
      </c>
      <c r="AM634">
        <f t="shared" si="158"/>
        <v>2025</v>
      </c>
      <c r="AN634" t="str">
        <f t="shared" si="159"/>
        <v>Clean</v>
      </c>
    </row>
    <row r="635" spans="1:40">
      <c r="A635" t="s">
        <v>2998</v>
      </c>
      <c r="B635" s="3" t="s">
        <v>2999</v>
      </c>
      <c r="C635" s="10">
        <v>45765</v>
      </c>
      <c r="D635" s="3" t="s">
        <v>3000</v>
      </c>
      <c r="E635" s="10">
        <v>45767</v>
      </c>
      <c r="F635" s="6" t="str">
        <f t="shared" si="144"/>
        <v>Valid</v>
      </c>
      <c r="G635" s="8">
        <f t="shared" si="145"/>
        <v>2</v>
      </c>
      <c r="H635" s="8" t="str">
        <f t="shared" si="146"/>
        <v>Valid</v>
      </c>
      <c r="I635" t="s">
        <v>3001</v>
      </c>
      <c r="J635" t="s">
        <v>161</v>
      </c>
      <c r="K635" t="s">
        <v>161</v>
      </c>
      <c r="L635" t="s">
        <v>40</v>
      </c>
      <c r="M635" s="3" t="str">
        <f t="shared" si="147"/>
        <v>Small Business</v>
      </c>
      <c r="N635" t="s">
        <v>61</v>
      </c>
      <c r="O635" s="3" t="str">
        <f t="shared" si="148"/>
        <v>South</v>
      </c>
      <c r="P635" t="s">
        <v>338</v>
      </c>
      <c r="Q635" t="s">
        <v>339</v>
      </c>
      <c r="R635" t="s">
        <v>85</v>
      </c>
      <c r="S635" s="3" t="str">
        <f t="shared" si="149"/>
        <v>Technology</v>
      </c>
      <c r="T635" t="s">
        <v>86</v>
      </c>
      <c r="U635" t="s">
        <v>3002</v>
      </c>
      <c r="V635" t="s">
        <v>32</v>
      </c>
      <c r="W635" s="3" t="str">
        <f t="shared" si="150"/>
        <v>Second Class</v>
      </c>
      <c r="X635">
        <v>1</v>
      </c>
      <c r="Y635">
        <v>1626.08</v>
      </c>
      <c r="Z635">
        <v>0.15</v>
      </c>
      <c r="AA635">
        <f t="shared" si="154"/>
        <v>0.15</v>
      </c>
      <c r="AB635">
        <f t="shared" si="155"/>
        <v>1382.1679999999999</v>
      </c>
      <c r="AC635">
        <v>1382.17</v>
      </c>
      <c r="AD635">
        <v>810.03</v>
      </c>
      <c r="AE635">
        <v>572.14</v>
      </c>
      <c r="AF635" t="s">
        <v>33</v>
      </c>
      <c r="AG635" t="s">
        <v>34</v>
      </c>
      <c r="AH635" t="str">
        <f t="shared" si="151"/>
        <v>Completed</v>
      </c>
      <c r="AI635" t="str">
        <f t="shared" si="152"/>
        <v>Valid</v>
      </c>
      <c r="AJ635">
        <f t="shared" si="153"/>
        <v>572.1400000000001</v>
      </c>
      <c r="AK635" s="12">
        <f t="shared" si="156"/>
        <v>0.4139438910465299</v>
      </c>
      <c r="AL635">
        <f t="shared" si="157"/>
        <v>4</v>
      </c>
      <c r="AM635">
        <f t="shared" si="158"/>
        <v>2025</v>
      </c>
      <c r="AN635" t="str">
        <f t="shared" si="159"/>
        <v>Clean</v>
      </c>
    </row>
    <row r="636" spans="1:40">
      <c r="A636" t="s">
        <v>3003</v>
      </c>
      <c r="B636" s="3" t="s">
        <v>3004</v>
      </c>
      <c r="C636" s="10">
        <v>45668</v>
      </c>
      <c r="D636" s="3" t="s">
        <v>2177</v>
      </c>
      <c r="E636" s="10">
        <v>45669</v>
      </c>
      <c r="F636" s="6" t="str">
        <f t="shared" si="144"/>
        <v>Valid</v>
      </c>
      <c r="G636" s="8">
        <f t="shared" si="145"/>
        <v>1</v>
      </c>
      <c r="H636" s="8" t="str">
        <f t="shared" si="146"/>
        <v>Valid</v>
      </c>
      <c r="I636" t="s">
        <v>3005</v>
      </c>
      <c r="J636" t="s">
        <v>106</v>
      </c>
      <c r="K636" t="s">
        <v>106</v>
      </c>
      <c r="L636" t="s">
        <v>25</v>
      </c>
      <c r="M636" s="3" t="str">
        <f t="shared" si="147"/>
        <v>Consumer</v>
      </c>
      <c r="N636" t="s">
        <v>61</v>
      </c>
      <c r="O636" s="3" t="str">
        <f t="shared" si="148"/>
        <v>South</v>
      </c>
      <c r="P636" t="s">
        <v>62</v>
      </c>
      <c r="Q636" t="s">
        <v>63</v>
      </c>
      <c r="R636" t="s">
        <v>44</v>
      </c>
      <c r="S636" s="3" t="str">
        <f t="shared" si="149"/>
        <v>Furniture</v>
      </c>
      <c r="T636" t="s">
        <v>75</v>
      </c>
      <c r="U636" t="s">
        <v>3006</v>
      </c>
      <c r="V636" t="s">
        <v>32</v>
      </c>
      <c r="W636" s="3" t="str">
        <f t="shared" si="150"/>
        <v>Second Class</v>
      </c>
      <c r="X636">
        <v>4</v>
      </c>
      <c r="Y636">
        <v>2427.15</v>
      </c>
      <c r="Z636">
        <v>0.05</v>
      </c>
      <c r="AA636">
        <f t="shared" si="154"/>
        <v>0.05</v>
      </c>
      <c r="AB636">
        <f t="shared" si="155"/>
        <v>9223.17</v>
      </c>
      <c r="AC636">
        <v>9223.17</v>
      </c>
      <c r="AD636">
        <v>5103.7</v>
      </c>
      <c r="AE636">
        <v>4119.47</v>
      </c>
      <c r="AF636" t="s">
        <v>33</v>
      </c>
      <c r="AG636" t="s">
        <v>34</v>
      </c>
      <c r="AH636" t="str">
        <f t="shared" si="151"/>
        <v>Completed</v>
      </c>
      <c r="AI636" t="str">
        <f t="shared" si="152"/>
        <v>Valid</v>
      </c>
      <c r="AJ636">
        <f t="shared" si="153"/>
        <v>4119.47</v>
      </c>
      <c r="AK636" s="12">
        <f t="shared" si="156"/>
        <v>0.44664361602355807</v>
      </c>
      <c r="AL636">
        <f t="shared" si="157"/>
        <v>1</v>
      </c>
      <c r="AM636">
        <f t="shared" si="158"/>
        <v>2025</v>
      </c>
      <c r="AN636" t="str">
        <f t="shared" si="159"/>
        <v>Clean</v>
      </c>
    </row>
    <row r="637" spans="1:40">
      <c r="A637" t="s">
        <v>3007</v>
      </c>
      <c r="B637" s="3" t="s">
        <v>2903</v>
      </c>
      <c r="C637" s="10">
        <v>45432</v>
      </c>
      <c r="D637" s="3" t="s">
        <v>3008</v>
      </c>
      <c r="E637" s="10">
        <v>45437</v>
      </c>
      <c r="F637" s="6" t="str">
        <f t="shared" si="144"/>
        <v>Valid</v>
      </c>
      <c r="G637" s="8">
        <f t="shared" si="145"/>
        <v>5</v>
      </c>
      <c r="H637" s="8" t="str">
        <f t="shared" si="146"/>
        <v>Valid</v>
      </c>
      <c r="I637" t="s">
        <v>3009</v>
      </c>
      <c r="J637" t="s">
        <v>39</v>
      </c>
      <c r="K637" t="s">
        <v>39</v>
      </c>
      <c r="L637" t="s">
        <v>107</v>
      </c>
      <c r="M637" s="3" t="str">
        <f t="shared" si="147"/>
        <v>Corporate</v>
      </c>
      <c r="N637" t="s">
        <v>61</v>
      </c>
      <c r="O637" s="3" t="str">
        <f t="shared" si="148"/>
        <v>South</v>
      </c>
      <c r="P637" t="s">
        <v>99</v>
      </c>
      <c r="Q637" t="s">
        <v>100</v>
      </c>
      <c r="R637" t="s">
        <v>44</v>
      </c>
      <c r="S637" s="3" t="str">
        <f t="shared" si="149"/>
        <v>Furniture</v>
      </c>
      <c r="T637" t="s">
        <v>75</v>
      </c>
      <c r="U637" t="s">
        <v>3010</v>
      </c>
      <c r="V637" t="s">
        <v>47</v>
      </c>
      <c r="W637" s="3" t="str">
        <f t="shared" si="150"/>
        <v>Same Day</v>
      </c>
      <c r="X637">
        <v>7</v>
      </c>
      <c r="Y637">
        <v>3122.85</v>
      </c>
      <c r="Z637">
        <v>0.25</v>
      </c>
      <c r="AA637">
        <f t="shared" si="154"/>
        <v>0.25</v>
      </c>
      <c r="AB637">
        <f t="shared" si="155"/>
        <v>16394.962500000001</v>
      </c>
      <c r="AC637">
        <v>16394.96</v>
      </c>
      <c r="AD637">
        <v>10404.17</v>
      </c>
      <c r="AE637">
        <v>5990.79</v>
      </c>
      <c r="AF637" t="s">
        <v>33</v>
      </c>
      <c r="AG637" t="s">
        <v>34</v>
      </c>
      <c r="AH637" t="str">
        <f t="shared" si="151"/>
        <v>Completed</v>
      </c>
      <c r="AI637" t="str">
        <f t="shared" si="152"/>
        <v>Valid</v>
      </c>
      <c r="AJ637">
        <f t="shared" si="153"/>
        <v>5990.7899999999991</v>
      </c>
      <c r="AK637" s="12">
        <f t="shared" si="156"/>
        <v>0.36540431245268162</v>
      </c>
      <c r="AL637">
        <f t="shared" si="157"/>
        <v>5</v>
      </c>
      <c r="AM637">
        <f t="shared" si="158"/>
        <v>2024</v>
      </c>
      <c r="AN637" t="str">
        <f t="shared" si="159"/>
        <v>Clean</v>
      </c>
    </row>
    <row r="638" spans="1:40">
      <c r="A638" t="s">
        <v>3011</v>
      </c>
      <c r="B638" s="3" t="s">
        <v>3012</v>
      </c>
      <c r="C638" s="10">
        <v>45567</v>
      </c>
      <c r="D638" s="3" t="s">
        <v>3013</v>
      </c>
      <c r="E638" s="10">
        <v>45574</v>
      </c>
      <c r="F638" s="6" t="str">
        <f t="shared" si="144"/>
        <v>Valid</v>
      </c>
      <c r="G638" s="8">
        <f t="shared" si="145"/>
        <v>7</v>
      </c>
      <c r="H638" s="8" t="str">
        <f t="shared" si="146"/>
        <v>Valid</v>
      </c>
      <c r="I638" t="s">
        <v>3014</v>
      </c>
      <c r="J638" t="s">
        <v>71</v>
      </c>
      <c r="K638" t="s">
        <v>71</v>
      </c>
      <c r="L638" t="s">
        <v>25</v>
      </c>
      <c r="M638" s="3" t="str">
        <f t="shared" si="147"/>
        <v>Consumer</v>
      </c>
      <c r="N638" t="s">
        <v>61</v>
      </c>
      <c r="O638" s="3" t="str">
        <f t="shared" si="148"/>
        <v>South</v>
      </c>
      <c r="P638" t="s">
        <v>338</v>
      </c>
      <c r="Q638" t="s">
        <v>339</v>
      </c>
      <c r="R638" t="s">
        <v>29</v>
      </c>
      <c r="S638" s="3" t="str">
        <f t="shared" si="149"/>
        <v>Office Supplies</v>
      </c>
      <c r="T638" t="s">
        <v>30</v>
      </c>
      <c r="U638" t="s">
        <v>3015</v>
      </c>
      <c r="V638" t="s">
        <v>66</v>
      </c>
      <c r="W638" s="3" t="str">
        <f t="shared" si="150"/>
        <v>Standard Class</v>
      </c>
      <c r="X638">
        <v>8</v>
      </c>
      <c r="Y638">
        <v>1910.31</v>
      </c>
      <c r="Z638">
        <v>0.15</v>
      </c>
      <c r="AA638">
        <f t="shared" si="154"/>
        <v>0.15</v>
      </c>
      <c r="AB638">
        <f t="shared" si="155"/>
        <v>12990.108</v>
      </c>
      <c r="AC638">
        <v>12990.11</v>
      </c>
      <c r="AD638">
        <v>10200.799999999999</v>
      </c>
      <c r="AE638">
        <v>2789.31</v>
      </c>
      <c r="AF638" t="s">
        <v>33</v>
      </c>
      <c r="AG638" t="s">
        <v>34</v>
      </c>
      <c r="AH638" t="str">
        <f t="shared" si="151"/>
        <v>Completed</v>
      </c>
      <c r="AI638" t="str">
        <f t="shared" si="152"/>
        <v>Valid</v>
      </c>
      <c r="AJ638">
        <f t="shared" si="153"/>
        <v>2789.3100000000013</v>
      </c>
      <c r="AK638" s="12">
        <f t="shared" si="156"/>
        <v>0.2147256974306912</v>
      </c>
      <c r="AL638">
        <f t="shared" si="157"/>
        <v>10</v>
      </c>
      <c r="AM638">
        <f t="shared" si="158"/>
        <v>2024</v>
      </c>
      <c r="AN638" t="str">
        <f t="shared" si="159"/>
        <v>Clean</v>
      </c>
    </row>
    <row r="639" spans="1:40">
      <c r="A639" t="s">
        <v>3016</v>
      </c>
      <c r="B639" s="3" t="s">
        <v>3017</v>
      </c>
      <c r="C639" s="10">
        <v>45438</v>
      </c>
      <c r="D639" s="3" t="s">
        <v>3018</v>
      </c>
      <c r="E639" s="10">
        <v>45438</v>
      </c>
      <c r="F639" s="6" t="str">
        <f t="shared" si="144"/>
        <v>Valid</v>
      </c>
      <c r="G639" s="8">
        <f t="shared" si="145"/>
        <v>0</v>
      </c>
      <c r="H639" s="8" t="str">
        <f t="shared" si="146"/>
        <v>Valid</v>
      </c>
      <c r="I639" t="s">
        <v>3019</v>
      </c>
      <c r="J639" t="s">
        <v>147</v>
      </c>
      <c r="K639" t="s">
        <v>147</v>
      </c>
      <c r="L639" t="s">
        <v>40</v>
      </c>
      <c r="M639" s="3" t="str">
        <f t="shared" si="147"/>
        <v>Small Business</v>
      </c>
      <c r="N639" t="s">
        <v>72</v>
      </c>
      <c r="O639" s="3" t="str">
        <f t="shared" si="148"/>
        <v>West</v>
      </c>
      <c r="P639" t="s">
        <v>248</v>
      </c>
      <c r="Q639" t="s">
        <v>249</v>
      </c>
      <c r="R639" t="s">
        <v>85</v>
      </c>
      <c r="S639" s="3" t="str">
        <f t="shared" si="149"/>
        <v>Technology</v>
      </c>
      <c r="T639" t="s">
        <v>93</v>
      </c>
      <c r="U639" t="s">
        <v>3020</v>
      </c>
      <c r="V639" t="s">
        <v>55</v>
      </c>
      <c r="W639" s="3" t="str">
        <f t="shared" si="150"/>
        <v>First Class</v>
      </c>
      <c r="X639">
        <v>2</v>
      </c>
      <c r="Y639">
        <v>3192.47</v>
      </c>
      <c r="Z639">
        <v>0.2</v>
      </c>
      <c r="AA639">
        <f t="shared" si="154"/>
        <v>0.2</v>
      </c>
      <c r="AB639">
        <f t="shared" si="155"/>
        <v>5107.9520000000002</v>
      </c>
      <c r="AC639">
        <v>5107.95</v>
      </c>
      <c r="AD639">
        <v>3133.08</v>
      </c>
      <c r="AE639">
        <v>1974.87</v>
      </c>
      <c r="AF639" t="s">
        <v>33</v>
      </c>
      <c r="AG639" t="s">
        <v>34</v>
      </c>
      <c r="AH639" t="str">
        <f t="shared" si="151"/>
        <v>Completed</v>
      </c>
      <c r="AI639" t="str">
        <f t="shared" si="152"/>
        <v>Valid</v>
      </c>
      <c r="AJ639">
        <f t="shared" si="153"/>
        <v>1974.87</v>
      </c>
      <c r="AK639" s="12">
        <f t="shared" si="156"/>
        <v>0.38662657754027441</v>
      </c>
      <c r="AL639">
        <f t="shared" si="157"/>
        <v>5</v>
      </c>
      <c r="AM639">
        <f t="shared" si="158"/>
        <v>2024</v>
      </c>
      <c r="AN639" t="str">
        <f t="shared" si="159"/>
        <v>Clean</v>
      </c>
    </row>
    <row r="640" spans="1:40">
      <c r="A640" t="s">
        <v>3021</v>
      </c>
      <c r="B640" s="3" t="s">
        <v>2869</v>
      </c>
      <c r="C640" s="10">
        <v>45317</v>
      </c>
      <c r="D640" s="3" t="s">
        <v>3022</v>
      </c>
      <c r="E640" s="10">
        <v>45322</v>
      </c>
      <c r="F640" s="6" t="str">
        <f t="shared" si="144"/>
        <v>Valid</v>
      </c>
      <c r="G640" s="8">
        <f t="shared" si="145"/>
        <v>5</v>
      </c>
      <c r="H640" s="8" t="str">
        <f t="shared" si="146"/>
        <v>Valid</v>
      </c>
      <c r="I640" t="s">
        <v>3023</v>
      </c>
      <c r="J640" t="s">
        <v>24</v>
      </c>
      <c r="K640" t="s">
        <v>24</v>
      </c>
      <c r="L640" t="s">
        <v>107</v>
      </c>
      <c r="M640" s="3" t="str">
        <f t="shared" si="147"/>
        <v>Corporate</v>
      </c>
      <c r="N640" t="s">
        <v>61</v>
      </c>
      <c r="O640" s="3" t="str">
        <f t="shared" si="148"/>
        <v>South</v>
      </c>
      <c r="P640" t="s">
        <v>241</v>
      </c>
      <c r="Q640" t="s">
        <v>242</v>
      </c>
      <c r="R640" t="s">
        <v>29</v>
      </c>
      <c r="S640" s="3" t="str">
        <f t="shared" si="149"/>
        <v>Office Supplies</v>
      </c>
      <c r="T640" t="s">
        <v>155</v>
      </c>
      <c r="U640" t="s">
        <v>3024</v>
      </c>
      <c r="V640" t="s">
        <v>32</v>
      </c>
      <c r="W640" s="3" t="str">
        <f t="shared" si="150"/>
        <v>Second Class</v>
      </c>
      <c r="X640">
        <v>3</v>
      </c>
      <c r="Y640">
        <v>3224.32</v>
      </c>
      <c r="Z640">
        <v>0.2</v>
      </c>
      <c r="AA640">
        <f t="shared" si="154"/>
        <v>0.2</v>
      </c>
      <c r="AB640">
        <f t="shared" si="155"/>
        <v>7738.3680000000013</v>
      </c>
      <c r="AC640">
        <v>7738.37</v>
      </c>
      <c r="AD640">
        <v>4626.8500000000004</v>
      </c>
      <c r="AE640">
        <v>3111.52</v>
      </c>
      <c r="AF640" t="s">
        <v>199</v>
      </c>
      <c r="AG640" t="s">
        <v>124</v>
      </c>
      <c r="AH640" t="str">
        <f t="shared" si="151"/>
        <v>Returned</v>
      </c>
      <c r="AI640" t="str">
        <f t="shared" si="152"/>
        <v>Valid</v>
      </c>
      <c r="AJ640">
        <f t="shared" si="153"/>
        <v>3111.5199999999995</v>
      </c>
      <c r="AK640" s="12">
        <f t="shared" si="156"/>
        <v>0.40208994971549544</v>
      </c>
      <c r="AL640">
        <f t="shared" si="157"/>
        <v>1</v>
      </c>
      <c r="AM640">
        <f t="shared" si="158"/>
        <v>2024</v>
      </c>
      <c r="AN640" t="str">
        <f t="shared" si="159"/>
        <v>Clean</v>
      </c>
    </row>
    <row r="641" spans="1:40">
      <c r="A641" t="s">
        <v>3025</v>
      </c>
      <c r="B641" s="3" t="s">
        <v>3026</v>
      </c>
      <c r="C641" s="10">
        <v>45653</v>
      </c>
      <c r="D641" s="3" t="s">
        <v>1870</v>
      </c>
      <c r="E641" s="10">
        <v>45657</v>
      </c>
      <c r="F641" s="6" t="str">
        <f t="shared" si="144"/>
        <v>Valid</v>
      </c>
      <c r="G641" s="8">
        <f t="shared" si="145"/>
        <v>4</v>
      </c>
      <c r="H641" s="8" t="str">
        <f t="shared" si="146"/>
        <v>Valid</v>
      </c>
      <c r="I641" t="s">
        <v>3027</v>
      </c>
      <c r="J641" t="s">
        <v>52</v>
      </c>
      <c r="K641" t="s">
        <v>52</v>
      </c>
      <c r="L641" t="s">
        <v>40</v>
      </c>
      <c r="M641" s="3" t="str">
        <f t="shared" si="147"/>
        <v>Small Business</v>
      </c>
      <c r="N641" t="s">
        <v>41</v>
      </c>
      <c r="O641" s="3" t="str">
        <f t="shared" si="148"/>
        <v>East</v>
      </c>
      <c r="P641" t="s">
        <v>42</v>
      </c>
      <c r="Q641" t="s">
        <v>43</v>
      </c>
      <c r="R641" t="s">
        <v>44</v>
      </c>
      <c r="S641" s="3" t="str">
        <f t="shared" si="149"/>
        <v>Furniture</v>
      </c>
      <c r="T641" t="s">
        <v>75</v>
      </c>
      <c r="U641" t="s">
        <v>3028</v>
      </c>
      <c r="V641" t="s">
        <v>32</v>
      </c>
      <c r="W641" s="3" t="str">
        <f t="shared" si="150"/>
        <v>Second Class</v>
      </c>
      <c r="X641">
        <v>1</v>
      </c>
      <c r="Y641">
        <v>1594.7</v>
      </c>
      <c r="Z641">
        <v>0.05</v>
      </c>
      <c r="AA641">
        <f t="shared" si="154"/>
        <v>0.05</v>
      </c>
      <c r="AB641">
        <f t="shared" si="155"/>
        <v>1514.9649999999999</v>
      </c>
      <c r="AC641">
        <v>1514.96</v>
      </c>
      <c r="AD641">
        <v>1046.17</v>
      </c>
      <c r="AE641">
        <v>468.79</v>
      </c>
      <c r="AF641" t="s">
        <v>33</v>
      </c>
      <c r="AG641" t="s">
        <v>34</v>
      </c>
      <c r="AH641" t="str">
        <f t="shared" si="151"/>
        <v>Completed</v>
      </c>
      <c r="AI641" t="str">
        <f t="shared" si="152"/>
        <v>Valid</v>
      </c>
      <c r="AJ641">
        <f t="shared" si="153"/>
        <v>468.78999999999996</v>
      </c>
      <c r="AK641" s="12">
        <f t="shared" si="156"/>
        <v>0.30943949200146537</v>
      </c>
      <c r="AL641">
        <f t="shared" si="157"/>
        <v>12</v>
      </c>
      <c r="AM641">
        <f t="shared" si="158"/>
        <v>2024</v>
      </c>
      <c r="AN641" t="str">
        <f t="shared" si="159"/>
        <v>Clean</v>
      </c>
    </row>
    <row r="642" spans="1:40">
      <c r="A642" t="s">
        <v>3029</v>
      </c>
      <c r="B642" s="3" t="s">
        <v>3030</v>
      </c>
      <c r="C642" s="10">
        <v>45671</v>
      </c>
      <c r="D642" s="3" t="s">
        <v>3031</v>
      </c>
      <c r="E642" s="10">
        <v>45674</v>
      </c>
      <c r="F642" s="6" t="str">
        <f t="shared" ref="F642:F705" si="160">IF(E642&lt;C642,"Invalid Shipping Record","Valid")</f>
        <v>Valid</v>
      </c>
      <c r="G642" s="8">
        <f t="shared" ref="G642:G705" si="161">E642-C642</f>
        <v>3</v>
      </c>
      <c r="H642" s="8" t="str">
        <f t="shared" ref="H642:H705" si="162">IF(OR(C642="",E642=""),"Missing Date",IF(OR(NOT(ISNUMBER(C642)),NOT(ISNUMBER(E642))),"Invalid Date",IF(E642&lt;C642,"Invalid Shipping Record","Valid")))</f>
        <v>Valid</v>
      </c>
      <c r="I642" t="s">
        <v>3032</v>
      </c>
      <c r="J642" t="s">
        <v>82</v>
      </c>
      <c r="K642" t="s">
        <v>82</v>
      </c>
      <c r="L642" t="s">
        <v>25</v>
      </c>
      <c r="M642" s="3" t="str">
        <f t="shared" ref="M642:M705" si="163">PROPER(TRIM(L642))</f>
        <v>Consumer</v>
      </c>
      <c r="N642" t="s">
        <v>72</v>
      </c>
      <c r="O642" s="3" t="str">
        <f t="shared" ref="O642:O705" si="164">IF(TRIM(N642)="","Unknown",PROPER(TRIM(N642)))</f>
        <v>West</v>
      </c>
      <c r="P642" t="s">
        <v>248</v>
      </c>
      <c r="Q642" t="s">
        <v>249</v>
      </c>
      <c r="R642" t="s">
        <v>29</v>
      </c>
      <c r="S642" s="3" t="str">
        <f t="shared" ref="S642:S705" si="165">PROPER(TRIM(R642))</f>
        <v>Office Supplies</v>
      </c>
      <c r="T642" t="s">
        <v>155</v>
      </c>
      <c r="U642" t="s">
        <v>3033</v>
      </c>
      <c r="V642" t="s">
        <v>55</v>
      </c>
      <c r="W642" s="3" t="str">
        <f t="shared" ref="W642:W705" si="166">IF(TRIM(V642)="","Unknown",PROPER(TRIM(V642)))</f>
        <v>First Class</v>
      </c>
      <c r="X642">
        <v>1</v>
      </c>
      <c r="Y642">
        <v>1584.12</v>
      </c>
      <c r="Z642">
        <v>0.2</v>
      </c>
      <c r="AA642">
        <f t="shared" si="154"/>
        <v>0.2</v>
      </c>
      <c r="AB642">
        <f t="shared" si="155"/>
        <v>1267.296</v>
      </c>
      <c r="AC642">
        <v>1267.3</v>
      </c>
      <c r="AD642">
        <v>923.53</v>
      </c>
      <c r="AE642">
        <v>343.77</v>
      </c>
      <c r="AF642" t="s">
        <v>33</v>
      </c>
      <c r="AG642" t="s">
        <v>34</v>
      </c>
      <c r="AH642" t="str">
        <f t="shared" ref="AH642:AH705" si="167">PROPER(TRIM(AG642))</f>
        <v>Completed</v>
      </c>
      <c r="AI642" t="str">
        <f t="shared" ref="AI642:AI705" si="168">IF(Z642&lt;0,"Invalid - Negative Discount",IF(Z642&gt;1,"Invalid - Discount Above Range","Valid"))</f>
        <v>Valid</v>
      </c>
      <c r="AJ642">
        <f t="shared" ref="AJ642:AJ705" si="169">AC642-AD642</f>
        <v>343.77</v>
      </c>
      <c r="AK642" s="12">
        <f t="shared" si="156"/>
        <v>0.27126259374289824</v>
      </c>
      <c r="AL642">
        <f t="shared" si="157"/>
        <v>1</v>
      </c>
      <c r="AM642">
        <f t="shared" si="158"/>
        <v>2025</v>
      </c>
      <c r="AN642" t="str">
        <f t="shared" si="159"/>
        <v>Clean</v>
      </c>
    </row>
    <row r="643" spans="1:40">
      <c r="A643" t="s">
        <v>3034</v>
      </c>
      <c r="B643" s="3" t="s">
        <v>3035</v>
      </c>
      <c r="C643" s="10">
        <v>45756</v>
      </c>
      <c r="D643" s="3" t="s">
        <v>1961</v>
      </c>
      <c r="E643" s="10">
        <v>45761</v>
      </c>
      <c r="F643" s="6" t="str">
        <f t="shared" si="160"/>
        <v>Valid</v>
      </c>
      <c r="G643" s="8">
        <f t="shared" si="161"/>
        <v>5</v>
      </c>
      <c r="H643" s="8" t="str">
        <f t="shared" si="162"/>
        <v>Valid</v>
      </c>
      <c r="I643" t="s">
        <v>3036</v>
      </c>
      <c r="J643" t="s">
        <v>24</v>
      </c>
      <c r="K643" t="s">
        <v>24</v>
      </c>
      <c r="L643" t="s">
        <v>25</v>
      </c>
      <c r="M643" s="3" t="str">
        <f t="shared" si="163"/>
        <v>Consumer</v>
      </c>
      <c r="N643" t="s">
        <v>26</v>
      </c>
      <c r="O643" s="3" t="str">
        <f t="shared" si="164"/>
        <v>North</v>
      </c>
      <c r="P643" t="s">
        <v>505</v>
      </c>
      <c r="Q643" t="s">
        <v>506</v>
      </c>
      <c r="R643" t="s">
        <v>44</v>
      </c>
      <c r="S643" s="3" t="str">
        <f t="shared" si="165"/>
        <v>Furniture</v>
      </c>
      <c r="T643" t="s">
        <v>64</v>
      </c>
      <c r="U643" t="s">
        <v>3037</v>
      </c>
      <c r="V643" t="s">
        <v>47</v>
      </c>
      <c r="W643" s="3" t="str">
        <f t="shared" si="166"/>
        <v>Same Day</v>
      </c>
      <c r="X643">
        <v>2</v>
      </c>
      <c r="Y643">
        <v>3202.87</v>
      </c>
      <c r="Z643">
        <v>0</v>
      </c>
      <c r="AA643">
        <f t="shared" ref="AA643:AA706" si="170">IF(Z643="",0,Z643)</f>
        <v>0</v>
      </c>
      <c r="AB643">
        <f t="shared" ref="AB643:AB706" si="171">X643*Y643*(1-Z643)</f>
        <v>6405.74</v>
      </c>
      <c r="AC643">
        <v>6405.74</v>
      </c>
      <c r="AD643">
        <v>3561.87</v>
      </c>
      <c r="AE643">
        <v>2843.87</v>
      </c>
      <c r="AF643" t="s">
        <v>33</v>
      </c>
      <c r="AG643" t="s">
        <v>34</v>
      </c>
      <c r="AH643" t="str">
        <f t="shared" si="167"/>
        <v>Completed</v>
      </c>
      <c r="AI643" t="str">
        <f t="shared" si="168"/>
        <v>Valid</v>
      </c>
      <c r="AJ643">
        <f t="shared" si="169"/>
        <v>2843.87</v>
      </c>
      <c r="AK643" s="12">
        <f t="shared" ref="AK643:AK706" si="172">IF(AB643=0,"",AJ643/AB643)</f>
        <v>0.44395651400150488</v>
      </c>
      <c r="AL643">
        <f t="shared" ref="AL643:AL706" si="173">MONTH(C643)</f>
        <v>4</v>
      </c>
      <c r="AM643">
        <f t="shared" ref="AM643:AM706" si="174">YEAR(C643)</f>
        <v>2025</v>
      </c>
      <c r="AN643" t="str">
        <f t="shared" ref="AN643:AN706" si="175">IF(H643="Invalid Shipping Record","Invalid","Clean")</f>
        <v>Clean</v>
      </c>
    </row>
    <row r="644" spans="1:40">
      <c r="A644" t="s">
        <v>3038</v>
      </c>
      <c r="B644" s="3" t="s">
        <v>1949</v>
      </c>
      <c r="C644" s="10">
        <v>45533</v>
      </c>
      <c r="D644" s="3" t="s">
        <v>36</v>
      </c>
      <c r="E644" s="10">
        <v>45535</v>
      </c>
      <c r="F644" s="6" t="str">
        <f t="shared" si="160"/>
        <v>Valid</v>
      </c>
      <c r="G644" s="8">
        <f t="shared" si="161"/>
        <v>2</v>
      </c>
      <c r="H644" s="8" t="str">
        <f t="shared" si="162"/>
        <v>Valid</v>
      </c>
      <c r="I644" t="s">
        <v>3039</v>
      </c>
      <c r="J644" t="s">
        <v>52</v>
      </c>
      <c r="K644" t="s">
        <v>52</v>
      </c>
      <c r="L644" t="s">
        <v>114</v>
      </c>
      <c r="M644" s="3" t="str">
        <f t="shared" si="163"/>
        <v>Home Office</v>
      </c>
      <c r="N644" t="s">
        <v>41</v>
      </c>
      <c r="O644" s="3" t="str">
        <f t="shared" si="164"/>
        <v>East</v>
      </c>
      <c r="P644" t="s">
        <v>215</v>
      </c>
      <c r="Q644" t="s">
        <v>216</v>
      </c>
      <c r="R644" t="s">
        <v>29</v>
      </c>
      <c r="S644" s="3" t="str">
        <f t="shared" si="165"/>
        <v>Office Supplies</v>
      </c>
      <c r="T644" t="s">
        <v>3040</v>
      </c>
      <c r="U644" t="s">
        <v>3041</v>
      </c>
      <c r="V644" t="s">
        <v>32</v>
      </c>
      <c r="W644" s="3" t="str">
        <f t="shared" si="166"/>
        <v>Second Class</v>
      </c>
      <c r="X644">
        <v>9</v>
      </c>
      <c r="Y644">
        <v>1275.21</v>
      </c>
      <c r="Z644">
        <v>0.25</v>
      </c>
      <c r="AA644">
        <f t="shared" si="170"/>
        <v>0.25</v>
      </c>
      <c r="AB644">
        <f t="shared" si="171"/>
        <v>8607.6674999999996</v>
      </c>
      <c r="AC644">
        <v>8607.67</v>
      </c>
      <c r="AD644">
        <v>5337.64</v>
      </c>
      <c r="AE644">
        <v>3270.03</v>
      </c>
      <c r="AF644" t="s">
        <v>199</v>
      </c>
      <c r="AG644" t="s">
        <v>124</v>
      </c>
      <c r="AH644" t="str">
        <f t="shared" si="167"/>
        <v>Returned</v>
      </c>
      <c r="AI644" t="str">
        <f t="shared" si="168"/>
        <v>Valid</v>
      </c>
      <c r="AJ644">
        <f t="shared" si="169"/>
        <v>3270.0299999999997</v>
      </c>
      <c r="AK644" s="12">
        <f t="shared" si="172"/>
        <v>0.37989734152719074</v>
      </c>
      <c r="AL644">
        <f t="shared" si="173"/>
        <v>8</v>
      </c>
      <c r="AM644">
        <f t="shared" si="174"/>
        <v>2024</v>
      </c>
      <c r="AN644" t="str">
        <f t="shared" si="175"/>
        <v>Clean</v>
      </c>
    </row>
    <row r="645" spans="1:40">
      <c r="A645" t="s">
        <v>3042</v>
      </c>
      <c r="B645" s="3" t="s">
        <v>3043</v>
      </c>
      <c r="C645" s="10">
        <v>45327</v>
      </c>
      <c r="D645" s="3" t="s">
        <v>3044</v>
      </c>
      <c r="E645" s="10">
        <v>45335</v>
      </c>
      <c r="F645" s="6" t="str">
        <f t="shared" si="160"/>
        <v>Valid</v>
      </c>
      <c r="G645" s="8">
        <f t="shared" si="161"/>
        <v>8</v>
      </c>
      <c r="H645" s="8" t="str">
        <f t="shared" si="162"/>
        <v>Valid</v>
      </c>
      <c r="I645" t="s">
        <v>1095</v>
      </c>
      <c r="J645" t="s">
        <v>161</v>
      </c>
      <c r="K645" t="s">
        <v>161</v>
      </c>
      <c r="L645" t="s">
        <v>114</v>
      </c>
      <c r="M645" s="3" t="str">
        <f t="shared" si="163"/>
        <v>Home Office</v>
      </c>
      <c r="N645" t="s">
        <v>26</v>
      </c>
      <c r="O645" s="3" t="str">
        <f t="shared" si="164"/>
        <v>North</v>
      </c>
      <c r="P645" t="s">
        <v>173</v>
      </c>
      <c r="Q645" t="s">
        <v>174</v>
      </c>
      <c r="R645" t="s">
        <v>29</v>
      </c>
      <c r="S645" s="3" t="str">
        <f t="shared" si="165"/>
        <v>Office Supplies</v>
      </c>
      <c r="T645" t="s">
        <v>108</v>
      </c>
      <c r="U645" t="s">
        <v>3045</v>
      </c>
      <c r="V645" t="s">
        <v>66</v>
      </c>
      <c r="W645" s="3" t="str">
        <f t="shared" si="166"/>
        <v>Standard Class</v>
      </c>
      <c r="X645">
        <v>8</v>
      </c>
      <c r="Y645">
        <v>3871.18</v>
      </c>
      <c r="Z645">
        <v>0.15</v>
      </c>
      <c r="AA645">
        <f t="shared" si="170"/>
        <v>0.15</v>
      </c>
      <c r="AB645">
        <f t="shared" si="171"/>
        <v>26324.023999999998</v>
      </c>
      <c r="AC645">
        <v>26324.02</v>
      </c>
      <c r="AD645">
        <v>16277.96</v>
      </c>
      <c r="AE645">
        <v>10046.06</v>
      </c>
      <c r="AF645" t="s">
        <v>199</v>
      </c>
      <c r="AG645" t="s">
        <v>124</v>
      </c>
      <c r="AH645" t="str">
        <f t="shared" si="167"/>
        <v>Returned</v>
      </c>
      <c r="AI645" t="str">
        <f t="shared" si="168"/>
        <v>Valid</v>
      </c>
      <c r="AJ645">
        <f t="shared" si="169"/>
        <v>10046.060000000001</v>
      </c>
      <c r="AK645" s="12">
        <f t="shared" si="172"/>
        <v>0.38163086312335842</v>
      </c>
      <c r="AL645">
        <f t="shared" si="173"/>
        <v>2</v>
      </c>
      <c r="AM645">
        <f t="shared" si="174"/>
        <v>2024</v>
      </c>
      <c r="AN645" t="str">
        <f t="shared" si="175"/>
        <v>Clean</v>
      </c>
    </row>
    <row r="646" spans="1:40">
      <c r="A646" t="s">
        <v>3046</v>
      </c>
      <c r="B646" s="3" t="s">
        <v>2590</v>
      </c>
      <c r="C646" s="10">
        <v>45757</v>
      </c>
      <c r="D646" s="3" t="s">
        <v>3047</v>
      </c>
      <c r="E646" s="10">
        <v>45764</v>
      </c>
      <c r="F646" s="6" t="str">
        <f t="shared" si="160"/>
        <v>Valid</v>
      </c>
      <c r="G646" s="8">
        <f t="shared" si="161"/>
        <v>7</v>
      </c>
      <c r="H646" s="8" t="str">
        <f t="shared" si="162"/>
        <v>Valid</v>
      </c>
      <c r="I646" t="s">
        <v>3048</v>
      </c>
      <c r="J646" t="s">
        <v>82</v>
      </c>
      <c r="K646" t="s">
        <v>82</v>
      </c>
      <c r="L646" t="s">
        <v>25</v>
      </c>
      <c r="M646" s="3" t="str">
        <f t="shared" si="163"/>
        <v>Consumer</v>
      </c>
      <c r="N646" t="s">
        <v>41</v>
      </c>
      <c r="O646" s="3" t="str">
        <f t="shared" si="164"/>
        <v>East</v>
      </c>
      <c r="P646" t="s">
        <v>120</v>
      </c>
      <c r="Q646" t="s">
        <v>121</v>
      </c>
      <c r="R646" t="s">
        <v>44</v>
      </c>
      <c r="S646" s="3" t="str">
        <f t="shared" si="165"/>
        <v>Furniture</v>
      </c>
      <c r="T646" t="s">
        <v>75</v>
      </c>
      <c r="U646" t="s">
        <v>3049</v>
      </c>
      <c r="V646" t="s">
        <v>66</v>
      </c>
      <c r="W646" s="3" t="str">
        <f t="shared" si="166"/>
        <v>Standard Class</v>
      </c>
      <c r="X646">
        <v>4</v>
      </c>
      <c r="Y646">
        <v>3750.02</v>
      </c>
      <c r="Z646">
        <v>0.05</v>
      </c>
      <c r="AA646">
        <f t="shared" si="170"/>
        <v>0.05</v>
      </c>
      <c r="AB646">
        <f t="shared" si="171"/>
        <v>14250.075999999999</v>
      </c>
      <c r="AC646">
        <v>14250.08</v>
      </c>
      <c r="AD646">
        <v>10914.92</v>
      </c>
      <c r="AE646">
        <v>3335.16</v>
      </c>
      <c r="AF646" t="s">
        <v>33</v>
      </c>
      <c r="AG646" t="s">
        <v>34</v>
      </c>
      <c r="AH646" t="str">
        <f t="shared" si="167"/>
        <v>Completed</v>
      </c>
      <c r="AI646" t="str">
        <f t="shared" si="168"/>
        <v>Valid</v>
      </c>
      <c r="AJ646">
        <f t="shared" si="169"/>
        <v>3335.16</v>
      </c>
      <c r="AK646" s="12">
        <f t="shared" si="172"/>
        <v>0.23404506754911342</v>
      </c>
      <c r="AL646">
        <f t="shared" si="173"/>
        <v>4</v>
      </c>
      <c r="AM646">
        <f t="shared" si="174"/>
        <v>2025</v>
      </c>
      <c r="AN646" t="str">
        <f t="shared" si="175"/>
        <v>Clean</v>
      </c>
    </row>
    <row r="647" spans="1:40">
      <c r="A647" t="s">
        <v>3050</v>
      </c>
      <c r="B647" s="3" t="s">
        <v>3051</v>
      </c>
      <c r="C647" s="10">
        <v>45295</v>
      </c>
      <c r="D647" s="3" t="s">
        <v>2744</v>
      </c>
      <c r="E647" s="10">
        <v>45300</v>
      </c>
      <c r="F647" s="6" t="str">
        <f t="shared" si="160"/>
        <v>Valid</v>
      </c>
      <c r="G647" s="8">
        <f t="shared" si="161"/>
        <v>5</v>
      </c>
      <c r="H647" s="8" t="str">
        <f t="shared" si="162"/>
        <v>Valid</v>
      </c>
      <c r="I647" t="s">
        <v>3052</v>
      </c>
      <c r="J647" t="s">
        <v>365</v>
      </c>
      <c r="K647" t="s">
        <v>365</v>
      </c>
      <c r="L647" t="s">
        <v>25</v>
      </c>
      <c r="M647" s="3" t="str">
        <f t="shared" si="163"/>
        <v>Consumer</v>
      </c>
      <c r="N647" t="s">
        <v>41</v>
      </c>
      <c r="O647" s="3" t="str">
        <f t="shared" si="164"/>
        <v>East</v>
      </c>
      <c r="P647" t="s">
        <v>185</v>
      </c>
      <c r="Q647" t="s">
        <v>186</v>
      </c>
      <c r="R647" t="s">
        <v>44</v>
      </c>
      <c r="S647" s="3" t="str">
        <f t="shared" si="165"/>
        <v>Furniture</v>
      </c>
      <c r="T647" t="s">
        <v>75</v>
      </c>
      <c r="U647" t="s">
        <v>3053</v>
      </c>
      <c r="V647" t="s">
        <v>32</v>
      </c>
      <c r="W647" s="3" t="str">
        <f t="shared" si="166"/>
        <v>Second Class</v>
      </c>
      <c r="X647">
        <v>6</v>
      </c>
      <c r="Y647">
        <v>2423.61</v>
      </c>
      <c r="Z647">
        <v>0.1</v>
      </c>
      <c r="AA647">
        <f t="shared" si="170"/>
        <v>0.1</v>
      </c>
      <c r="AB647">
        <f t="shared" si="171"/>
        <v>13087.494000000001</v>
      </c>
      <c r="AC647">
        <v>13087.49</v>
      </c>
      <c r="AD647">
        <v>7608.89</v>
      </c>
      <c r="AE647">
        <v>5133.22</v>
      </c>
      <c r="AF647" t="s">
        <v>33</v>
      </c>
      <c r="AG647" t="s">
        <v>34</v>
      </c>
      <c r="AH647" t="str">
        <f t="shared" si="167"/>
        <v>Completed</v>
      </c>
      <c r="AI647" t="str">
        <f t="shared" si="168"/>
        <v>Valid</v>
      </c>
      <c r="AJ647">
        <f t="shared" si="169"/>
        <v>5478.5999999999995</v>
      </c>
      <c r="AK647" s="12">
        <f t="shared" si="172"/>
        <v>0.41861337243019936</v>
      </c>
      <c r="AL647">
        <f t="shared" si="173"/>
        <v>1</v>
      </c>
      <c r="AM647">
        <f t="shared" si="174"/>
        <v>2024</v>
      </c>
      <c r="AN647" t="str">
        <f t="shared" si="175"/>
        <v>Clean</v>
      </c>
    </row>
    <row r="648" spans="1:40">
      <c r="A648" t="s">
        <v>3054</v>
      </c>
      <c r="B648" s="3" t="s">
        <v>3055</v>
      </c>
      <c r="C648" s="10">
        <v>45553</v>
      </c>
      <c r="D648" s="3" t="s">
        <v>3056</v>
      </c>
      <c r="E648" s="10">
        <v>45559</v>
      </c>
      <c r="F648" s="6" t="str">
        <f t="shared" si="160"/>
        <v>Valid</v>
      </c>
      <c r="G648" s="8">
        <f t="shared" si="161"/>
        <v>6</v>
      </c>
      <c r="H648" s="8" t="str">
        <f t="shared" si="162"/>
        <v>Valid</v>
      </c>
      <c r="I648" t="s">
        <v>3057</v>
      </c>
      <c r="J648" t="s">
        <v>82</v>
      </c>
      <c r="K648" t="s">
        <v>82</v>
      </c>
      <c r="L648" t="s">
        <v>40</v>
      </c>
      <c r="M648" s="3" t="str">
        <f t="shared" si="163"/>
        <v>Small Business</v>
      </c>
      <c r="N648" t="s">
        <v>41</v>
      </c>
      <c r="O648" s="3" t="str">
        <f t="shared" si="164"/>
        <v>East</v>
      </c>
      <c r="P648" t="s">
        <v>310</v>
      </c>
      <c r="Q648" t="s">
        <v>311</v>
      </c>
      <c r="R648" t="s">
        <v>85</v>
      </c>
      <c r="S648" s="3" t="str">
        <f t="shared" si="165"/>
        <v>Technology</v>
      </c>
      <c r="T648" t="s">
        <v>381</v>
      </c>
      <c r="U648" t="s">
        <v>3058</v>
      </c>
      <c r="V648" t="s">
        <v>55</v>
      </c>
      <c r="W648" s="3" t="str">
        <f t="shared" si="166"/>
        <v>First Class</v>
      </c>
      <c r="X648">
        <v>3</v>
      </c>
      <c r="Y648">
        <v>729.14</v>
      </c>
      <c r="Z648">
        <v>0.25</v>
      </c>
      <c r="AA648">
        <f t="shared" si="170"/>
        <v>0.25</v>
      </c>
      <c r="AB648">
        <f t="shared" si="171"/>
        <v>1640.5650000000001</v>
      </c>
      <c r="AC648">
        <v>1640.57</v>
      </c>
      <c r="AD648">
        <v>1136.98</v>
      </c>
      <c r="AE648">
        <v>503.59</v>
      </c>
      <c r="AF648" t="s">
        <v>33</v>
      </c>
      <c r="AG648" t="s">
        <v>34</v>
      </c>
      <c r="AH648" t="str">
        <f t="shared" si="167"/>
        <v>Completed</v>
      </c>
      <c r="AI648" t="str">
        <f t="shared" si="168"/>
        <v>Valid</v>
      </c>
      <c r="AJ648">
        <f t="shared" si="169"/>
        <v>503.58999999999992</v>
      </c>
      <c r="AK648" s="12">
        <f t="shared" si="172"/>
        <v>0.30696132125212955</v>
      </c>
      <c r="AL648">
        <f t="shared" si="173"/>
        <v>9</v>
      </c>
      <c r="AM648">
        <f t="shared" si="174"/>
        <v>2024</v>
      </c>
      <c r="AN648" t="str">
        <f t="shared" si="175"/>
        <v>Clean</v>
      </c>
    </row>
    <row r="649" spans="1:40">
      <c r="A649" t="s">
        <v>3059</v>
      </c>
      <c r="B649" s="3" t="s">
        <v>1328</v>
      </c>
      <c r="C649" s="10">
        <v>45658</v>
      </c>
      <c r="D649" s="3" t="s">
        <v>3060</v>
      </c>
      <c r="E649" s="10">
        <v>45666</v>
      </c>
      <c r="F649" s="6" t="str">
        <f t="shared" si="160"/>
        <v>Valid</v>
      </c>
      <c r="G649" s="8">
        <f t="shared" si="161"/>
        <v>8</v>
      </c>
      <c r="H649" s="8" t="str">
        <f t="shared" si="162"/>
        <v>Valid</v>
      </c>
      <c r="I649" t="s">
        <v>3061</v>
      </c>
      <c r="J649" t="s">
        <v>3062</v>
      </c>
      <c r="K649" t="s">
        <v>179</v>
      </c>
      <c r="L649" t="s">
        <v>40</v>
      </c>
      <c r="M649" s="3" t="str">
        <f t="shared" si="163"/>
        <v>Small Business</v>
      </c>
      <c r="N649" t="s">
        <v>26</v>
      </c>
      <c r="O649" s="3" t="str">
        <f t="shared" si="164"/>
        <v>North</v>
      </c>
      <c r="P649" t="s">
        <v>153</v>
      </c>
      <c r="Q649" t="s">
        <v>154</v>
      </c>
      <c r="R649" t="s">
        <v>29</v>
      </c>
      <c r="S649" s="3" t="str">
        <f t="shared" si="165"/>
        <v>Office Supplies</v>
      </c>
      <c r="T649" t="s">
        <v>53</v>
      </c>
      <c r="U649" t="s">
        <v>3063</v>
      </c>
      <c r="V649" t="s">
        <v>55</v>
      </c>
      <c r="W649" s="3" t="str">
        <f t="shared" si="166"/>
        <v>First Class</v>
      </c>
      <c r="X649">
        <v>8</v>
      </c>
      <c r="Y649">
        <v>2123.81</v>
      </c>
      <c r="Z649">
        <v>0.15</v>
      </c>
      <c r="AA649">
        <f t="shared" si="170"/>
        <v>0.15</v>
      </c>
      <c r="AB649">
        <f t="shared" si="171"/>
        <v>14441.907999999999</v>
      </c>
      <c r="AC649">
        <v>14441.91</v>
      </c>
      <c r="AD649">
        <v>10872.89</v>
      </c>
      <c r="AE649">
        <v>3569.02</v>
      </c>
      <c r="AF649" t="s">
        <v>33</v>
      </c>
      <c r="AG649" t="s">
        <v>34</v>
      </c>
      <c r="AH649" t="str">
        <f t="shared" si="167"/>
        <v>Completed</v>
      </c>
      <c r="AI649" t="str">
        <f t="shared" si="168"/>
        <v>Valid</v>
      </c>
      <c r="AJ649">
        <f t="shared" si="169"/>
        <v>3569.0200000000004</v>
      </c>
      <c r="AK649" s="12">
        <f t="shared" si="172"/>
        <v>0.24712939592192393</v>
      </c>
      <c r="AL649">
        <f t="shared" si="173"/>
        <v>1</v>
      </c>
      <c r="AM649">
        <f t="shared" si="174"/>
        <v>2025</v>
      </c>
      <c r="AN649" t="str">
        <f t="shared" si="175"/>
        <v>Clean</v>
      </c>
    </row>
    <row r="650" spans="1:40">
      <c r="A650" t="s">
        <v>3064</v>
      </c>
      <c r="B650" s="3" t="s">
        <v>3065</v>
      </c>
      <c r="C650" s="10">
        <v>45403</v>
      </c>
      <c r="D650" s="3" t="s">
        <v>357</v>
      </c>
      <c r="E650" s="10">
        <v>45406</v>
      </c>
      <c r="F650" s="6" t="str">
        <f t="shared" si="160"/>
        <v>Valid</v>
      </c>
      <c r="G650" s="8">
        <f t="shared" si="161"/>
        <v>3</v>
      </c>
      <c r="H650" s="8" t="str">
        <f t="shared" si="162"/>
        <v>Valid</v>
      </c>
      <c r="I650" t="s">
        <v>3066</v>
      </c>
      <c r="J650" t="s">
        <v>92</v>
      </c>
      <c r="K650" t="s">
        <v>92</v>
      </c>
      <c r="L650" t="s">
        <v>40</v>
      </c>
      <c r="M650" s="3" t="str">
        <f t="shared" si="163"/>
        <v>Small Business</v>
      </c>
      <c r="N650" t="s">
        <v>61</v>
      </c>
      <c r="O650" s="3" t="str">
        <f t="shared" si="164"/>
        <v>South</v>
      </c>
      <c r="P650" t="s">
        <v>99</v>
      </c>
      <c r="Q650" t="s">
        <v>100</v>
      </c>
      <c r="R650" t="s">
        <v>29</v>
      </c>
      <c r="S650" s="3" t="str">
        <f t="shared" si="165"/>
        <v>Office Supplies</v>
      </c>
      <c r="T650" t="s">
        <v>53</v>
      </c>
      <c r="U650" t="s">
        <v>3067</v>
      </c>
      <c r="V650" t="s">
        <v>47</v>
      </c>
      <c r="W650" s="3" t="str">
        <f t="shared" si="166"/>
        <v>Same Day</v>
      </c>
      <c r="X650">
        <v>9</v>
      </c>
      <c r="Y650">
        <v>703.59</v>
      </c>
      <c r="Z650">
        <v>0.2</v>
      </c>
      <c r="AA650">
        <f t="shared" si="170"/>
        <v>0.2</v>
      </c>
      <c r="AB650">
        <f t="shared" si="171"/>
        <v>5065.8480000000009</v>
      </c>
      <c r="AC650">
        <v>5065.8500000000004</v>
      </c>
      <c r="AD650">
        <v>3517.23</v>
      </c>
      <c r="AE650">
        <v>1548.62</v>
      </c>
      <c r="AF650" t="s">
        <v>199</v>
      </c>
      <c r="AG650" t="s">
        <v>124</v>
      </c>
      <c r="AH650" t="str">
        <f t="shared" si="167"/>
        <v>Returned</v>
      </c>
      <c r="AI650" t="str">
        <f t="shared" si="168"/>
        <v>Valid</v>
      </c>
      <c r="AJ650">
        <f t="shared" si="169"/>
        <v>1548.6200000000003</v>
      </c>
      <c r="AK650" s="12">
        <f t="shared" si="172"/>
        <v>0.30569807858427656</v>
      </c>
      <c r="AL650">
        <f t="shared" si="173"/>
        <v>4</v>
      </c>
      <c r="AM650">
        <f t="shared" si="174"/>
        <v>2024</v>
      </c>
      <c r="AN650" t="str">
        <f t="shared" si="175"/>
        <v>Clean</v>
      </c>
    </row>
    <row r="651" spans="1:40">
      <c r="A651" t="s">
        <v>3068</v>
      </c>
      <c r="B651" s="3" t="s">
        <v>3069</v>
      </c>
      <c r="C651" s="10">
        <v>45880</v>
      </c>
      <c r="D651" s="3" t="s">
        <v>3070</v>
      </c>
      <c r="E651" s="10">
        <v>45888</v>
      </c>
      <c r="F651" s="6" t="str">
        <f t="shared" si="160"/>
        <v>Valid</v>
      </c>
      <c r="G651" s="8">
        <f t="shared" si="161"/>
        <v>8</v>
      </c>
      <c r="H651" s="8" t="str">
        <f t="shared" si="162"/>
        <v>Valid</v>
      </c>
      <c r="I651" t="s">
        <v>3071</v>
      </c>
      <c r="J651" t="s">
        <v>365</v>
      </c>
      <c r="K651" t="s">
        <v>365</v>
      </c>
      <c r="L651" t="s">
        <v>40</v>
      </c>
      <c r="M651" s="3" t="str">
        <f t="shared" si="163"/>
        <v>Small Business</v>
      </c>
      <c r="N651" t="s">
        <v>61</v>
      </c>
      <c r="O651" s="3" t="str">
        <f t="shared" si="164"/>
        <v>South</v>
      </c>
      <c r="P651" t="s">
        <v>241</v>
      </c>
      <c r="Q651" t="s">
        <v>242</v>
      </c>
      <c r="R651" t="s">
        <v>85</v>
      </c>
      <c r="S651" s="3" t="str">
        <f t="shared" si="165"/>
        <v>Technology</v>
      </c>
      <c r="T651" t="s">
        <v>86</v>
      </c>
      <c r="U651" t="s">
        <v>3072</v>
      </c>
      <c r="V651" t="s">
        <v>66</v>
      </c>
      <c r="W651" s="3" t="str">
        <f t="shared" si="166"/>
        <v>Standard Class</v>
      </c>
      <c r="X651">
        <v>4</v>
      </c>
      <c r="Y651">
        <v>2258.96</v>
      </c>
      <c r="Z651">
        <v>0.25</v>
      </c>
      <c r="AA651">
        <f t="shared" si="170"/>
        <v>0.25</v>
      </c>
      <c r="AB651">
        <f t="shared" si="171"/>
        <v>6776.88</v>
      </c>
      <c r="AC651">
        <v>6776.88</v>
      </c>
      <c r="AD651">
        <v>3836.24</v>
      </c>
      <c r="AE651">
        <v>2940.64</v>
      </c>
      <c r="AF651" t="s">
        <v>33</v>
      </c>
      <c r="AG651" t="s">
        <v>34</v>
      </c>
      <c r="AH651" t="str">
        <f t="shared" si="167"/>
        <v>Completed</v>
      </c>
      <c r="AI651" t="str">
        <f t="shared" si="168"/>
        <v>Valid</v>
      </c>
      <c r="AJ651">
        <f t="shared" si="169"/>
        <v>2940.6400000000003</v>
      </c>
      <c r="AK651" s="12">
        <f t="shared" si="172"/>
        <v>0.43392239496641527</v>
      </c>
      <c r="AL651">
        <f t="shared" si="173"/>
        <v>8</v>
      </c>
      <c r="AM651">
        <f t="shared" si="174"/>
        <v>2025</v>
      </c>
      <c r="AN651" t="str">
        <f t="shared" si="175"/>
        <v>Clean</v>
      </c>
    </row>
    <row r="652" spans="1:40">
      <c r="A652" t="s">
        <v>3073</v>
      </c>
      <c r="B652" s="3" t="s">
        <v>3074</v>
      </c>
      <c r="C652" s="10">
        <v>45395</v>
      </c>
      <c r="D652" s="3" t="s">
        <v>3075</v>
      </c>
      <c r="E652" s="10">
        <v>45403</v>
      </c>
      <c r="F652" s="6" t="str">
        <f t="shared" si="160"/>
        <v>Valid</v>
      </c>
      <c r="G652" s="8">
        <f t="shared" si="161"/>
        <v>8</v>
      </c>
      <c r="H652" s="8" t="str">
        <f t="shared" si="162"/>
        <v>Valid</v>
      </c>
      <c r="I652" t="s">
        <v>546</v>
      </c>
      <c r="J652" t="s">
        <v>161</v>
      </c>
      <c r="K652" t="s">
        <v>161</v>
      </c>
      <c r="L652" t="s">
        <v>114</v>
      </c>
      <c r="M652" s="3" t="str">
        <f t="shared" si="163"/>
        <v>Home Office</v>
      </c>
      <c r="N652" t="s">
        <v>41</v>
      </c>
      <c r="O652" s="3" t="str">
        <f t="shared" si="164"/>
        <v>East</v>
      </c>
      <c r="P652" t="s">
        <v>185</v>
      </c>
      <c r="Q652" t="s">
        <v>186</v>
      </c>
      <c r="R652" t="s">
        <v>85</v>
      </c>
      <c r="S652" s="3" t="str">
        <f t="shared" si="165"/>
        <v>Technology</v>
      </c>
      <c r="T652" t="s">
        <v>86</v>
      </c>
      <c r="U652" t="s">
        <v>3076</v>
      </c>
      <c r="V652" t="s">
        <v>47</v>
      </c>
      <c r="W652" s="3" t="str">
        <f t="shared" si="166"/>
        <v>Same Day</v>
      </c>
      <c r="X652">
        <v>7</v>
      </c>
      <c r="Y652">
        <v>2648.76</v>
      </c>
      <c r="Z652">
        <v>0.15</v>
      </c>
      <c r="AA652">
        <f t="shared" si="170"/>
        <v>0.15</v>
      </c>
      <c r="AB652">
        <f t="shared" si="171"/>
        <v>15760.121999999999</v>
      </c>
      <c r="AC652">
        <v>15760.12</v>
      </c>
      <c r="AD652">
        <v>9931.5300000000007</v>
      </c>
      <c r="AE652">
        <v>5828.59</v>
      </c>
      <c r="AF652" t="s">
        <v>199</v>
      </c>
      <c r="AG652" t="s">
        <v>124</v>
      </c>
      <c r="AH652" t="str">
        <f t="shared" si="167"/>
        <v>Returned</v>
      </c>
      <c r="AI652" t="str">
        <f t="shared" si="168"/>
        <v>Valid</v>
      </c>
      <c r="AJ652">
        <f t="shared" si="169"/>
        <v>5828.59</v>
      </c>
      <c r="AK652" s="12">
        <f t="shared" si="172"/>
        <v>0.369831527953908</v>
      </c>
      <c r="AL652">
        <f t="shared" si="173"/>
        <v>4</v>
      </c>
      <c r="AM652">
        <f t="shared" si="174"/>
        <v>2024</v>
      </c>
      <c r="AN652" t="str">
        <f t="shared" si="175"/>
        <v>Clean</v>
      </c>
    </row>
    <row r="653" spans="1:40">
      <c r="A653" t="s">
        <v>3077</v>
      </c>
      <c r="B653" s="3" t="s">
        <v>1370</v>
      </c>
      <c r="C653" s="10">
        <v>45875</v>
      </c>
      <c r="D653" s="3" t="s">
        <v>3078</v>
      </c>
      <c r="E653" s="10">
        <v>45878</v>
      </c>
      <c r="F653" s="6" t="str">
        <f t="shared" si="160"/>
        <v>Valid</v>
      </c>
      <c r="G653" s="8">
        <f t="shared" si="161"/>
        <v>3</v>
      </c>
      <c r="H653" s="8" t="str">
        <f t="shared" si="162"/>
        <v>Valid</v>
      </c>
      <c r="I653" t="s">
        <v>3079</v>
      </c>
      <c r="J653" t="s">
        <v>39</v>
      </c>
      <c r="K653" t="s">
        <v>39</v>
      </c>
      <c r="L653" t="s">
        <v>40</v>
      </c>
      <c r="M653" s="3" t="str">
        <f t="shared" si="163"/>
        <v>Small Business</v>
      </c>
      <c r="N653" t="s">
        <v>61</v>
      </c>
      <c r="O653" s="3" t="str">
        <f t="shared" si="164"/>
        <v>South</v>
      </c>
      <c r="P653" t="s">
        <v>99</v>
      </c>
      <c r="Q653" t="s">
        <v>100</v>
      </c>
      <c r="R653" t="s">
        <v>29</v>
      </c>
      <c r="S653" s="3" t="str">
        <f t="shared" si="165"/>
        <v>Office Supplies</v>
      </c>
      <c r="T653" t="s">
        <v>30</v>
      </c>
      <c r="U653" t="s">
        <v>3080</v>
      </c>
      <c r="V653" t="s">
        <v>32</v>
      </c>
      <c r="W653" s="3" t="str">
        <f t="shared" si="166"/>
        <v>Second Class</v>
      </c>
      <c r="X653">
        <v>3</v>
      </c>
      <c r="Y653">
        <v>598.54999999999995</v>
      </c>
      <c r="Z653">
        <v>0</v>
      </c>
      <c r="AA653">
        <f t="shared" si="170"/>
        <v>0</v>
      </c>
      <c r="AB653">
        <f t="shared" si="171"/>
        <v>1795.6499999999999</v>
      </c>
      <c r="AC653">
        <v>1795.65</v>
      </c>
      <c r="AD653">
        <v>996.72</v>
      </c>
      <c r="AE653">
        <v>798.93</v>
      </c>
      <c r="AF653" t="s">
        <v>33</v>
      </c>
      <c r="AG653" t="s">
        <v>34</v>
      </c>
      <c r="AH653" t="str">
        <f t="shared" si="167"/>
        <v>Completed</v>
      </c>
      <c r="AI653" t="str">
        <f t="shared" si="168"/>
        <v>Valid</v>
      </c>
      <c r="AJ653">
        <f t="shared" si="169"/>
        <v>798.93000000000006</v>
      </c>
      <c r="AK653" s="12">
        <f t="shared" si="172"/>
        <v>0.44492523598696859</v>
      </c>
      <c r="AL653">
        <f t="shared" si="173"/>
        <v>8</v>
      </c>
      <c r="AM653">
        <f t="shared" si="174"/>
        <v>2025</v>
      </c>
      <c r="AN653" t="str">
        <f t="shared" si="175"/>
        <v>Clean</v>
      </c>
    </row>
    <row r="654" spans="1:40">
      <c r="A654" t="s">
        <v>3081</v>
      </c>
      <c r="B654" s="3" t="s">
        <v>3082</v>
      </c>
      <c r="C654" s="10">
        <v>45733</v>
      </c>
      <c r="D654" s="3" t="s">
        <v>3083</v>
      </c>
      <c r="E654" s="10">
        <v>45737</v>
      </c>
      <c r="F654" s="6" t="str">
        <f t="shared" si="160"/>
        <v>Valid</v>
      </c>
      <c r="G654" s="8">
        <f t="shared" si="161"/>
        <v>4</v>
      </c>
      <c r="H654" s="8" t="str">
        <f t="shared" si="162"/>
        <v>Valid</v>
      </c>
      <c r="I654" t="s">
        <v>2566</v>
      </c>
      <c r="J654" t="s">
        <v>167</v>
      </c>
      <c r="K654" t="s">
        <v>167</v>
      </c>
      <c r="L654" t="s">
        <v>25</v>
      </c>
      <c r="M654" s="3" t="str">
        <f t="shared" si="163"/>
        <v>Consumer</v>
      </c>
      <c r="N654" t="s">
        <v>26</v>
      </c>
      <c r="O654" s="3" t="str">
        <f t="shared" si="164"/>
        <v>North</v>
      </c>
      <c r="P654" t="s">
        <v>173</v>
      </c>
      <c r="Q654" t="s">
        <v>174</v>
      </c>
      <c r="R654" t="s">
        <v>29</v>
      </c>
      <c r="S654" s="3" t="str">
        <f t="shared" si="165"/>
        <v>Office Supplies</v>
      </c>
      <c r="T654" t="s">
        <v>197</v>
      </c>
      <c r="U654" t="s">
        <v>3084</v>
      </c>
      <c r="V654" t="s">
        <v>66</v>
      </c>
      <c r="W654" s="3" t="str">
        <f t="shared" si="166"/>
        <v>Standard Class</v>
      </c>
      <c r="X654">
        <v>5</v>
      </c>
      <c r="Y654">
        <v>4320.59</v>
      </c>
      <c r="Z654">
        <v>0.15</v>
      </c>
      <c r="AA654">
        <f t="shared" si="170"/>
        <v>0.15</v>
      </c>
      <c r="AB654">
        <f t="shared" si="171"/>
        <v>18362.5075</v>
      </c>
      <c r="AC654">
        <v>18362.509999999998</v>
      </c>
      <c r="AD654">
        <v>11133.97</v>
      </c>
      <c r="AE654">
        <v>7228.54</v>
      </c>
      <c r="AF654" t="s">
        <v>33</v>
      </c>
      <c r="AG654" t="s">
        <v>34</v>
      </c>
      <c r="AH654" t="str">
        <f t="shared" si="167"/>
        <v>Completed</v>
      </c>
      <c r="AI654" t="str">
        <f t="shared" si="168"/>
        <v>Valid</v>
      </c>
      <c r="AJ654">
        <f t="shared" si="169"/>
        <v>7228.5399999999991</v>
      </c>
      <c r="AK654" s="12">
        <f t="shared" si="172"/>
        <v>0.39365756555851639</v>
      </c>
      <c r="AL654">
        <f t="shared" si="173"/>
        <v>3</v>
      </c>
      <c r="AM654">
        <f t="shared" si="174"/>
        <v>2025</v>
      </c>
      <c r="AN654" t="str">
        <f t="shared" si="175"/>
        <v>Clean</v>
      </c>
    </row>
    <row r="655" spans="1:40">
      <c r="A655" t="s">
        <v>3085</v>
      </c>
      <c r="B655" s="3" t="s">
        <v>3086</v>
      </c>
      <c r="C655" s="10">
        <v>45751</v>
      </c>
      <c r="D655" s="3" t="s">
        <v>3087</v>
      </c>
      <c r="E655" s="10">
        <v>45754</v>
      </c>
      <c r="F655" s="6" t="str">
        <f t="shared" si="160"/>
        <v>Valid</v>
      </c>
      <c r="G655" s="8">
        <f t="shared" si="161"/>
        <v>3</v>
      </c>
      <c r="H655" s="8" t="str">
        <f t="shared" si="162"/>
        <v>Valid</v>
      </c>
      <c r="I655" t="s">
        <v>3088</v>
      </c>
      <c r="J655" t="s">
        <v>141</v>
      </c>
      <c r="K655" t="s">
        <v>141</v>
      </c>
      <c r="L655" t="s">
        <v>40</v>
      </c>
      <c r="M655" s="3" t="str">
        <f t="shared" si="163"/>
        <v>Small Business</v>
      </c>
      <c r="N655" t="s">
        <v>61</v>
      </c>
      <c r="O655" s="3" t="str">
        <f t="shared" si="164"/>
        <v>South</v>
      </c>
      <c r="P655" t="s">
        <v>338</v>
      </c>
      <c r="Q655" t="s">
        <v>339</v>
      </c>
      <c r="R655" t="s">
        <v>85</v>
      </c>
      <c r="S655" s="3" t="str">
        <f t="shared" si="165"/>
        <v>Technology</v>
      </c>
      <c r="T655" t="s">
        <v>93</v>
      </c>
      <c r="U655" t="s">
        <v>3089</v>
      </c>
      <c r="V655" t="s">
        <v>32</v>
      </c>
      <c r="W655" s="3" t="str">
        <f t="shared" si="166"/>
        <v>Second Class</v>
      </c>
      <c r="X655">
        <v>7</v>
      </c>
      <c r="Y655">
        <v>4457.93</v>
      </c>
      <c r="Z655">
        <v>0.15</v>
      </c>
      <c r="AA655">
        <f t="shared" si="170"/>
        <v>0.15</v>
      </c>
      <c r="AB655">
        <f t="shared" si="171"/>
        <v>26524.683500000003</v>
      </c>
      <c r="AC655">
        <v>26524.68</v>
      </c>
      <c r="AD655">
        <v>20574.3</v>
      </c>
      <c r="AE655">
        <v>5950.38</v>
      </c>
      <c r="AF655" t="s">
        <v>33</v>
      </c>
      <c r="AG655" t="s">
        <v>34</v>
      </c>
      <c r="AH655" t="str">
        <f t="shared" si="167"/>
        <v>Completed</v>
      </c>
      <c r="AI655" t="str">
        <f t="shared" si="168"/>
        <v>Valid</v>
      </c>
      <c r="AJ655">
        <f t="shared" si="169"/>
        <v>5950.380000000001</v>
      </c>
      <c r="AK655" s="12">
        <f t="shared" si="172"/>
        <v>0.22433368526338873</v>
      </c>
      <c r="AL655">
        <f t="shared" si="173"/>
        <v>4</v>
      </c>
      <c r="AM655">
        <f t="shared" si="174"/>
        <v>2025</v>
      </c>
      <c r="AN655" t="str">
        <f t="shared" si="175"/>
        <v>Clean</v>
      </c>
    </row>
    <row r="656" spans="1:40">
      <c r="A656" t="s">
        <v>3090</v>
      </c>
      <c r="B656" s="3" t="s">
        <v>3091</v>
      </c>
      <c r="C656" s="10">
        <v>45942</v>
      </c>
      <c r="D656" s="3" t="s">
        <v>139</v>
      </c>
      <c r="E656" s="10">
        <v>45946</v>
      </c>
      <c r="F656" s="6" t="str">
        <f t="shared" si="160"/>
        <v>Valid</v>
      </c>
      <c r="G656" s="8">
        <f t="shared" si="161"/>
        <v>4</v>
      </c>
      <c r="H656" s="8" t="str">
        <f t="shared" si="162"/>
        <v>Valid</v>
      </c>
      <c r="I656" t="s">
        <v>1415</v>
      </c>
      <c r="J656" t="s">
        <v>209</v>
      </c>
      <c r="K656" t="s">
        <v>209</v>
      </c>
      <c r="L656" t="s">
        <v>107</v>
      </c>
      <c r="M656" s="3" t="str">
        <f t="shared" si="163"/>
        <v>Corporate</v>
      </c>
      <c r="N656" t="s">
        <v>41</v>
      </c>
      <c r="O656" s="3" t="str">
        <f t="shared" si="164"/>
        <v>East</v>
      </c>
      <c r="P656" t="s">
        <v>185</v>
      </c>
      <c r="Q656" t="s">
        <v>186</v>
      </c>
      <c r="R656" t="s">
        <v>85</v>
      </c>
      <c r="S656" s="3" t="str">
        <f t="shared" si="165"/>
        <v>Technology</v>
      </c>
      <c r="T656" t="s">
        <v>381</v>
      </c>
      <c r="U656" t="s">
        <v>3092</v>
      </c>
      <c r="V656" t="s">
        <v>47</v>
      </c>
      <c r="W656" s="3" t="str">
        <f t="shared" si="166"/>
        <v>Same Day</v>
      </c>
      <c r="X656">
        <v>1</v>
      </c>
      <c r="Y656">
        <v>2570.06</v>
      </c>
      <c r="Z656">
        <v>0.2</v>
      </c>
      <c r="AA656">
        <f t="shared" si="170"/>
        <v>0.2</v>
      </c>
      <c r="AB656">
        <f t="shared" si="171"/>
        <v>2056.0480000000002</v>
      </c>
      <c r="AC656">
        <v>2056.0500000000002</v>
      </c>
      <c r="AD656">
        <v>1662.39</v>
      </c>
      <c r="AE656">
        <v>393.66</v>
      </c>
      <c r="AF656" t="s">
        <v>33</v>
      </c>
      <c r="AG656" t="s">
        <v>34</v>
      </c>
      <c r="AH656" t="str">
        <f t="shared" si="167"/>
        <v>Completed</v>
      </c>
      <c r="AI656" t="str">
        <f t="shared" si="168"/>
        <v>Valid</v>
      </c>
      <c r="AJ656">
        <f t="shared" si="169"/>
        <v>393.66000000000008</v>
      </c>
      <c r="AK656" s="12">
        <f t="shared" si="172"/>
        <v>0.19146440160930098</v>
      </c>
      <c r="AL656">
        <f t="shared" si="173"/>
        <v>10</v>
      </c>
      <c r="AM656">
        <f t="shared" si="174"/>
        <v>2025</v>
      </c>
      <c r="AN656" t="str">
        <f t="shared" si="175"/>
        <v>Clean</v>
      </c>
    </row>
    <row r="657" spans="1:40">
      <c r="A657" t="s">
        <v>3093</v>
      </c>
      <c r="B657" s="3" t="s">
        <v>698</v>
      </c>
      <c r="C657" s="10">
        <v>45895</v>
      </c>
      <c r="D657" s="3" t="s">
        <v>698</v>
      </c>
      <c r="E657" s="10">
        <v>45895</v>
      </c>
      <c r="F657" s="6" t="str">
        <f t="shared" si="160"/>
        <v>Valid</v>
      </c>
      <c r="G657" s="8">
        <f t="shared" si="161"/>
        <v>0</v>
      </c>
      <c r="H657" s="8" t="str">
        <f t="shared" si="162"/>
        <v>Valid</v>
      </c>
      <c r="I657" t="s">
        <v>3094</v>
      </c>
      <c r="J657" t="s">
        <v>92</v>
      </c>
      <c r="K657" t="s">
        <v>92</v>
      </c>
      <c r="L657" t="s">
        <v>114</v>
      </c>
      <c r="M657" s="3" t="str">
        <f t="shared" si="163"/>
        <v>Home Office</v>
      </c>
      <c r="N657" t="s">
        <v>41</v>
      </c>
      <c r="O657" s="3" t="str">
        <f t="shared" si="164"/>
        <v>East</v>
      </c>
      <c r="P657" t="s">
        <v>120</v>
      </c>
      <c r="Q657" t="s">
        <v>121</v>
      </c>
      <c r="R657" t="s">
        <v>44</v>
      </c>
      <c r="S657" s="3" t="str">
        <f t="shared" si="165"/>
        <v>Furniture</v>
      </c>
      <c r="T657" t="s">
        <v>64</v>
      </c>
      <c r="U657" t="s">
        <v>3095</v>
      </c>
      <c r="V657" t="s">
        <v>66</v>
      </c>
      <c r="W657" s="3" t="str">
        <f t="shared" si="166"/>
        <v>Standard Class</v>
      </c>
      <c r="X657">
        <v>4</v>
      </c>
      <c r="Y657">
        <v>2151.8200000000002</v>
      </c>
      <c r="Z657">
        <v>0</v>
      </c>
      <c r="AA657">
        <f t="shared" si="170"/>
        <v>0</v>
      </c>
      <c r="AB657">
        <f t="shared" si="171"/>
        <v>8607.2800000000007</v>
      </c>
      <c r="AC657">
        <v>8607.2800000000007</v>
      </c>
      <c r="AD657">
        <v>5124.01</v>
      </c>
      <c r="AE657">
        <v>3483.27</v>
      </c>
      <c r="AF657" t="s">
        <v>33</v>
      </c>
      <c r="AG657" t="s">
        <v>34</v>
      </c>
      <c r="AH657" t="str">
        <f t="shared" si="167"/>
        <v>Completed</v>
      </c>
      <c r="AI657" t="str">
        <f t="shared" si="168"/>
        <v>Valid</v>
      </c>
      <c r="AJ657">
        <f t="shared" si="169"/>
        <v>3483.2700000000004</v>
      </c>
      <c r="AK657" s="12">
        <f t="shared" si="172"/>
        <v>0.40468882155570635</v>
      </c>
      <c r="AL657">
        <f t="shared" si="173"/>
        <v>8</v>
      </c>
      <c r="AM657">
        <f t="shared" si="174"/>
        <v>2025</v>
      </c>
      <c r="AN657" t="str">
        <f t="shared" si="175"/>
        <v>Clean</v>
      </c>
    </row>
    <row r="658" spans="1:40">
      <c r="A658" t="s">
        <v>3096</v>
      </c>
      <c r="B658" s="3" t="s">
        <v>3097</v>
      </c>
      <c r="C658" s="10">
        <v>45419</v>
      </c>
      <c r="D658" s="3" t="s">
        <v>2328</v>
      </c>
      <c r="E658" s="10">
        <v>45426</v>
      </c>
      <c r="F658" s="6" t="str">
        <f t="shared" si="160"/>
        <v>Valid</v>
      </c>
      <c r="G658" s="8">
        <f t="shared" si="161"/>
        <v>7</v>
      </c>
      <c r="H658" s="8" t="str">
        <f t="shared" si="162"/>
        <v>Valid</v>
      </c>
      <c r="I658" t="s">
        <v>3098</v>
      </c>
      <c r="J658" t="s">
        <v>92</v>
      </c>
      <c r="K658" t="s">
        <v>92</v>
      </c>
      <c r="L658" t="s">
        <v>40</v>
      </c>
      <c r="M658" s="3" t="str">
        <f t="shared" si="163"/>
        <v>Small Business</v>
      </c>
      <c r="N658" t="s">
        <v>26</v>
      </c>
      <c r="O658" s="3" t="str">
        <f t="shared" si="164"/>
        <v>North</v>
      </c>
      <c r="P658" t="s">
        <v>322</v>
      </c>
      <c r="Q658" t="s">
        <v>323</v>
      </c>
      <c r="R658" t="s">
        <v>85</v>
      </c>
      <c r="S658" s="3" t="str">
        <f t="shared" si="165"/>
        <v>Technology</v>
      </c>
      <c r="T658" t="s">
        <v>381</v>
      </c>
      <c r="U658" t="s">
        <v>3099</v>
      </c>
      <c r="V658" t="s">
        <v>47</v>
      </c>
      <c r="W658" s="3" t="str">
        <f t="shared" si="166"/>
        <v>Same Day</v>
      </c>
      <c r="X658">
        <v>4</v>
      </c>
      <c r="Y658">
        <v>2751.1</v>
      </c>
      <c r="Z658">
        <v>-0.05</v>
      </c>
      <c r="AA658">
        <f t="shared" si="170"/>
        <v>-0.05</v>
      </c>
      <c r="AB658">
        <f t="shared" si="171"/>
        <v>11554.62</v>
      </c>
      <c r="AC658">
        <v>9903.9599999999991</v>
      </c>
      <c r="AD658">
        <v>7696.28</v>
      </c>
      <c r="AE658">
        <v>2207.6799999999998</v>
      </c>
      <c r="AF658" t="s">
        <v>33</v>
      </c>
      <c r="AG658" t="s">
        <v>34</v>
      </c>
      <c r="AH658" t="str">
        <f t="shared" si="167"/>
        <v>Completed</v>
      </c>
      <c r="AI658" t="str">
        <f t="shared" si="168"/>
        <v>Invalid - Negative Discount</v>
      </c>
      <c r="AJ658">
        <f t="shared" si="169"/>
        <v>2207.6799999999994</v>
      </c>
      <c r="AK658" s="12">
        <f t="shared" si="172"/>
        <v>0.19106469966126097</v>
      </c>
      <c r="AL658">
        <f t="shared" si="173"/>
        <v>5</v>
      </c>
      <c r="AM658">
        <f t="shared" si="174"/>
        <v>2024</v>
      </c>
      <c r="AN658" t="str">
        <f t="shared" si="175"/>
        <v>Clean</v>
      </c>
    </row>
    <row r="659" spans="1:40">
      <c r="A659" t="s">
        <v>3100</v>
      </c>
      <c r="B659" s="3" t="s">
        <v>3101</v>
      </c>
      <c r="C659" s="10">
        <v>45876</v>
      </c>
      <c r="D659" s="3" t="s">
        <v>3102</v>
      </c>
      <c r="E659" s="10">
        <v>45879</v>
      </c>
      <c r="F659" s="6" t="str">
        <f t="shared" si="160"/>
        <v>Valid</v>
      </c>
      <c r="G659" s="8">
        <f t="shared" si="161"/>
        <v>3</v>
      </c>
      <c r="H659" s="8" t="str">
        <f t="shared" si="162"/>
        <v>Valid</v>
      </c>
      <c r="I659" t="s">
        <v>3103</v>
      </c>
      <c r="J659" t="s">
        <v>106</v>
      </c>
      <c r="K659" t="s">
        <v>106</v>
      </c>
      <c r="L659" t="s">
        <v>114</v>
      </c>
      <c r="M659" s="3" t="str">
        <f t="shared" si="163"/>
        <v>Home Office</v>
      </c>
      <c r="N659" t="s">
        <v>41</v>
      </c>
      <c r="O659" s="3" t="str">
        <f t="shared" si="164"/>
        <v>East</v>
      </c>
      <c r="P659" t="s">
        <v>185</v>
      </c>
      <c r="Q659" t="s">
        <v>186</v>
      </c>
      <c r="R659" t="s">
        <v>29</v>
      </c>
      <c r="S659" s="3" t="str">
        <f t="shared" si="165"/>
        <v>Office Supplies</v>
      </c>
      <c r="T659" t="s">
        <v>155</v>
      </c>
      <c r="U659" t="s">
        <v>3104</v>
      </c>
      <c r="V659" t="s">
        <v>32</v>
      </c>
      <c r="W659" s="3" t="str">
        <f t="shared" si="166"/>
        <v>Second Class</v>
      </c>
      <c r="X659">
        <v>1</v>
      </c>
      <c r="Y659">
        <v>2541.25</v>
      </c>
      <c r="Z659">
        <v>0.2</v>
      </c>
      <c r="AA659">
        <f t="shared" si="170"/>
        <v>0.2</v>
      </c>
      <c r="AB659">
        <f t="shared" si="171"/>
        <v>2033</v>
      </c>
      <c r="AC659">
        <v>2033</v>
      </c>
      <c r="AD659">
        <v>1291.4100000000001</v>
      </c>
      <c r="AE659">
        <v>741.59</v>
      </c>
      <c r="AF659" t="s">
        <v>33</v>
      </c>
      <c r="AG659" t="s">
        <v>34</v>
      </c>
      <c r="AH659" t="str">
        <f t="shared" si="167"/>
        <v>Completed</v>
      </c>
      <c r="AI659" t="str">
        <f t="shared" si="168"/>
        <v>Valid</v>
      </c>
      <c r="AJ659">
        <f t="shared" si="169"/>
        <v>741.58999999999992</v>
      </c>
      <c r="AK659" s="12">
        <f t="shared" si="172"/>
        <v>0.36477619281849477</v>
      </c>
      <c r="AL659">
        <f t="shared" si="173"/>
        <v>8</v>
      </c>
      <c r="AM659">
        <f t="shared" si="174"/>
        <v>2025</v>
      </c>
      <c r="AN659" t="str">
        <f t="shared" si="175"/>
        <v>Clean</v>
      </c>
    </row>
    <row r="660" spans="1:40">
      <c r="A660" t="s">
        <v>3105</v>
      </c>
      <c r="B660" s="3" t="s">
        <v>3106</v>
      </c>
      <c r="C660" s="10">
        <v>45817</v>
      </c>
      <c r="D660" s="3" t="s">
        <v>2212</v>
      </c>
      <c r="E660" s="10">
        <v>45820</v>
      </c>
      <c r="F660" s="6" t="str">
        <f t="shared" si="160"/>
        <v>Valid</v>
      </c>
      <c r="G660" s="8">
        <f t="shared" si="161"/>
        <v>3</v>
      </c>
      <c r="H660" s="8" t="str">
        <f t="shared" si="162"/>
        <v>Valid</v>
      </c>
      <c r="I660" t="s">
        <v>3107</v>
      </c>
      <c r="J660" t="s">
        <v>167</v>
      </c>
      <c r="K660" t="s">
        <v>167</v>
      </c>
      <c r="L660" t="s">
        <v>25</v>
      </c>
      <c r="M660" s="3" t="str">
        <f t="shared" si="163"/>
        <v>Consumer</v>
      </c>
      <c r="O660" s="3" t="str">
        <f t="shared" si="164"/>
        <v>Unknown</v>
      </c>
      <c r="P660" t="s">
        <v>185</v>
      </c>
      <c r="Q660" t="s">
        <v>186</v>
      </c>
      <c r="R660" t="s">
        <v>29</v>
      </c>
      <c r="S660" s="3" t="str">
        <f t="shared" si="165"/>
        <v>Office Supplies</v>
      </c>
      <c r="T660" t="s">
        <v>53</v>
      </c>
      <c r="U660" t="s">
        <v>3108</v>
      </c>
      <c r="V660" t="s">
        <v>55</v>
      </c>
      <c r="W660" s="3" t="str">
        <f t="shared" si="166"/>
        <v>First Class</v>
      </c>
      <c r="X660">
        <v>7</v>
      </c>
      <c r="Y660">
        <v>2852.42</v>
      </c>
      <c r="Z660">
        <v>0</v>
      </c>
      <c r="AA660">
        <f t="shared" si="170"/>
        <v>0</v>
      </c>
      <c r="AB660">
        <f t="shared" si="171"/>
        <v>19966.940000000002</v>
      </c>
      <c r="AC660">
        <v>19966.939999999999</v>
      </c>
      <c r="AD660">
        <v>12690.83</v>
      </c>
      <c r="AE660">
        <v>7276.11</v>
      </c>
      <c r="AF660" t="s">
        <v>123</v>
      </c>
      <c r="AG660" t="s">
        <v>77</v>
      </c>
      <c r="AH660" t="str">
        <f t="shared" si="167"/>
        <v>Cancelled</v>
      </c>
      <c r="AI660" t="str">
        <f t="shared" si="168"/>
        <v>Valid</v>
      </c>
      <c r="AJ660">
        <f t="shared" si="169"/>
        <v>7276.1099999999988</v>
      </c>
      <c r="AK660" s="12">
        <f t="shared" si="172"/>
        <v>0.36440786620283316</v>
      </c>
      <c r="AL660">
        <f t="shared" si="173"/>
        <v>6</v>
      </c>
      <c r="AM660">
        <f t="shared" si="174"/>
        <v>2025</v>
      </c>
      <c r="AN660" t="str">
        <f t="shared" si="175"/>
        <v>Clean</v>
      </c>
    </row>
    <row r="661" spans="1:40">
      <c r="A661" t="s">
        <v>3109</v>
      </c>
      <c r="B661" s="3" t="s">
        <v>182</v>
      </c>
      <c r="C661" s="10">
        <v>45678</v>
      </c>
      <c r="D661" s="3" t="s">
        <v>1836</v>
      </c>
      <c r="E661" s="10">
        <v>45679</v>
      </c>
      <c r="F661" s="6" t="str">
        <f t="shared" si="160"/>
        <v>Valid</v>
      </c>
      <c r="G661" s="8">
        <f t="shared" si="161"/>
        <v>1</v>
      </c>
      <c r="H661" s="8" t="str">
        <f t="shared" si="162"/>
        <v>Valid</v>
      </c>
      <c r="I661" t="s">
        <v>3110</v>
      </c>
      <c r="J661" t="s">
        <v>209</v>
      </c>
      <c r="K661" t="s">
        <v>209</v>
      </c>
      <c r="L661" t="s">
        <v>107</v>
      </c>
      <c r="M661" s="3" t="str">
        <f t="shared" si="163"/>
        <v>Corporate</v>
      </c>
      <c r="N661" t="s">
        <v>61</v>
      </c>
      <c r="O661" s="3" t="str">
        <f t="shared" si="164"/>
        <v>South</v>
      </c>
      <c r="P661" t="s">
        <v>228</v>
      </c>
      <c r="Q661" t="s">
        <v>229</v>
      </c>
      <c r="R661" t="s">
        <v>85</v>
      </c>
      <c r="S661" s="3" t="str">
        <f t="shared" si="165"/>
        <v>Technology</v>
      </c>
      <c r="T661" t="s">
        <v>222</v>
      </c>
      <c r="U661" t="s">
        <v>3111</v>
      </c>
      <c r="V661" t="s">
        <v>32</v>
      </c>
      <c r="W661" s="3" t="str">
        <f t="shared" si="166"/>
        <v>Second Class</v>
      </c>
      <c r="X661">
        <v>2</v>
      </c>
      <c r="Y661">
        <v>444.31</v>
      </c>
      <c r="Z661">
        <v>0.2</v>
      </c>
      <c r="AA661">
        <f t="shared" si="170"/>
        <v>0.2</v>
      </c>
      <c r="AB661">
        <f t="shared" si="171"/>
        <v>710.89600000000007</v>
      </c>
      <c r="AC661">
        <v>710.9</v>
      </c>
      <c r="AD661">
        <v>513.88</v>
      </c>
      <c r="AE661">
        <v>197.02</v>
      </c>
      <c r="AF661" t="s">
        <v>123</v>
      </c>
      <c r="AG661" t="s">
        <v>77</v>
      </c>
      <c r="AH661" t="str">
        <f t="shared" si="167"/>
        <v>Cancelled</v>
      </c>
      <c r="AI661" t="str">
        <f t="shared" si="168"/>
        <v>Valid</v>
      </c>
      <c r="AJ661">
        <f t="shared" si="169"/>
        <v>197.01999999999998</v>
      </c>
      <c r="AK661" s="12">
        <f t="shared" si="172"/>
        <v>0.27714321082127336</v>
      </c>
      <c r="AL661">
        <f t="shared" si="173"/>
        <v>1</v>
      </c>
      <c r="AM661">
        <f t="shared" si="174"/>
        <v>2025</v>
      </c>
      <c r="AN661" t="str">
        <f t="shared" si="175"/>
        <v>Clean</v>
      </c>
    </row>
    <row r="662" spans="1:40">
      <c r="A662" t="s">
        <v>3112</v>
      </c>
      <c r="B662" s="3" t="s">
        <v>170</v>
      </c>
      <c r="C662" s="10">
        <v>45853</v>
      </c>
      <c r="D662" s="3" t="s">
        <v>3113</v>
      </c>
      <c r="E662" s="10">
        <v>45853</v>
      </c>
      <c r="F662" s="6" t="str">
        <f t="shared" si="160"/>
        <v>Valid</v>
      </c>
      <c r="G662" s="8">
        <f t="shared" si="161"/>
        <v>0</v>
      </c>
      <c r="H662" s="8" t="str">
        <f t="shared" si="162"/>
        <v>Valid</v>
      </c>
      <c r="I662" t="s">
        <v>3114</v>
      </c>
      <c r="J662" t="s">
        <v>60</v>
      </c>
      <c r="K662" t="s">
        <v>60</v>
      </c>
      <c r="L662" t="s">
        <v>40</v>
      </c>
      <c r="M662" s="3" t="str">
        <f t="shared" si="163"/>
        <v>Small Business</v>
      </c>
      <c r="N662" t="s">
        <v>41</v>
      </c>
      <c r="O662" s="3" t="str">
        <f t="shared" si="164"/>
        <v>East</v>
      </c>
      <c r="P662" t="s">
        <v>310</v>
      </c>
      <c r="Q662" t="s">
        <v>311</v>
      </c>
      <c r="R662" t="s">
        <v>85</v>
      </c>
      <c r="S662" s="3" t="str">
        <f t="shared" si="165"/>
        <v>Technology</v>
      </c>
      <c r="T662" t="s">
        <v>222</v>
      </c>
      <c r="U662" t="s">
        <v>3115</v>
      </c>
      <c r="V662" t="s">
        <v>47</v>
      </c>
      <c r="W662" s="3" t="str">
        <f t="shared" si="166"/>
        <v>Same Day</v>
      </c>
      <c r="X662">
        <v>4</v>
      </c>
      <c r="Y662">
        <v>4442.91</v>
      </c>
      <c r="Z662">
        <v>0.1</v>
      </c>
      <c r="AA662">
        <f t="shared" si="170"/>
        <v>0.1</v>
      </c>
      <c r="AB662">
        <f t="shared" si="171"/>
        <v>15994.476000000001</v>
      </c>
      <c r="AC662">
        <v>15994.48</v>
      </c>
      <c r="AD662">
        <v>9224.2800000000007</v>
      </c>
      <c r="AE662">
        <v>6770.2</v>
      </c>
      <c r="AF662" t="s">
        <v>33</v>
      </c>
      <c r="AG662" t="s">
        <v>34</v>
      </c>
      <c r="AH662" t="str">
        <f t="shared" si="167"/>
        <v>Completed</v>
      </c>
      <c r="AI662" t="str">
        <f t="shared" si="168"/>
        <v>Valid</v>
      </c>
      <c r="AJ662">
        <f t="shared" si="169"/>
        <v>6770.1999999999989</v>
      </c>
      <c r="AK662" s="12">
        <f t="shared" si="172"/>
        <v>0.4232836386762529</v>
      </c>
      <c r="AL662">
        <f t="shared" si="173"/>
        <v>7</v>
      </c>
      <c r="AM662">
        <f t="shared" si="174"/>
        <v>2025</v>
      </c>
      <c r="AN662" t="str">
        <f t="shared" si="175"/>
        <v>Clean</v>
      </c>
    </row>
    <row r="663" spans="1:40">
      <c r="A663" t="s">
        <v>3116</v>
      </c>
      <c r="B663" s="3" t="s">
        <v>3117</v>
      </c>
      <c r="C663" s="10">
        <v>45429</v>
      </c>
      <c r="D663" s="3" t="s">
        <v>3118</v>
      </c>
      <c r="E663" s="10">
        <v>45434</v>
      </c>
      <c r="F663" s="6" t="str">
        <f t="shared" si="160"/>
        <v>Valid</v>
      </c>
      <c r="G663" s="8">
        <f t="shared" si="161"/>
        <v>5</v>
      </c>
      <c r="H663" s="8" t="str">
        <f t="shared" si="162"/>
        <v>Valid</v>
      </c>
      <c r="I663" t="s">
        <v>3119</v>
      </c>
      <c r="J663" t="s">
        <v>167</v>
      </c>
      <c r="K663" t="s">
        <v>167</v>
      </c>
      <c r="L663" t="s">
        <v>25</v>
      </c>
      <c r="M663" s="3" t="str">
        <f t="shared" si="163"/>
        <v>Consumer</v>
      </c>
      <c r="N663" t="s">
        <v>61</v>
      </c>
      <c r="O663" s="3" t="str">
        <f t="shared" si="164"/>
        <v>South</v>
      </c>
      <c r="P663" t="s">
        <v>99</v>
      </c>
      <c r="Q663" t="s">
        <v>100</v>
      </c>
      <c r="R663" t="s">
        <v>85</v>
      </c>
      <c r="S663" s="3" t="str">
        <f t="shared" si="165"/>
        <v>Technology</v>
      </c>
      <c r="T663" t="s">
        <v>381</v>
      </c>
      <c r="U663" t="s">
        <v>3120</v>
      </c>
      <c r="V663" t="s">
        <v>32</v>
      </c>
      <c r="W663" s="3" t="str">
        <f t="shared" si="166"/>
        <v>Second Class</v>
      </c>
      <c r="X663">
        <v>7</v>
      </c>
      <c r="Y663">
        <v>232.5</v>
      </c>
      <c r="Z663">
        <v>0</v>
      </c>
      <c r="AA663">
        <f t="shared" si="170"/>
        <v>0</v>
      </c>
      <c r="AB663">
        <f t="shared" si="171"/>
        <v>1627.5</v>
      </c>
      <c r="AC663">
        <v>1627.5</v>
      </c>
      <c r="AD663">
        <v>939.9</v>
      </c>
      <c r="AE663">
        <v>687.6</v>
      </c>
      <c r="AF663" t="s">
        <v>33</v>
      </c>
      <c r="AG663" t="s">
        <v>34</v>
      </c>
      <c r="AH663" t="str">
        <f t="shared" si="167"/>
        <v>Completed</v>
      </c>
      <c r="AI663" t="str">
        <f t="shared" si="168"/>
        <v>Valid</v>
      </c>
      <c r="AJ663">
        <f t="shared" si="169"/>
        <v>687.6</v>
      </c>
      <c r="AK663" s="12">
        <f t="shared" si="172"/>
        <v>0.4224884792626728</v>
      </c>
      <c r="AL663">
        <f t="shared" si="173"/>
        <v>5</v>
      </c>
      <c r="AM663">
        <f t="shared" si="174"/>
        <v>2024</v>
      </c>
      <c r="AN663" t="str">
        <f t="shared" si="175"/>
        <v>Clean</v>
      </c>
    </row>
    <row r="664" spans="1:40">
      <c r="A664" t="s">
        <v>3121</v>
      </c>
      <c r="B664" s="3" t="s">
        <v>3122</v>
      </c>
      <c r="C664" s="10">
        <v>45305</v>
      </c>
      <c r="D664" s="3" t="s">
        <v>3123</v>
      </c>
      <c r="E664" s="10">
        <v>45309</v>
      </c>
      <c r="F664" s="6" t="str">
        <f t="shared" si="160"/>
        <v>Valid</v>
      </c>
      <c r="G664" s="8">
        <f t="shared" si="161"/>
        <v>4</v>
      </c>
      <c r="H664" s="8" t="str">
        <f t="shared" si="162"/>
        <v>Valid</v>
      </c>
      <c r="I664" t="s">
        <v>3124</v>
      </c>
      <c r="J664" t="s">
        <v>39</v>
      </c>
      <c r="K664" t="s">
        <v>39</v>
      </c>
      <c r="L664" t="s">
        <v>114</v>
      </c>
      <c r="M664" s="3" t="str">
        <f t="shared" si="163"/>
        <v>Home Office</v>
      </c>
      <c r="N664" t="s">
        <v>72</v>
      </c>
      <c r="O664" s="3" t="str">
        <f t="shared" si="164"/>
        <v>West</v>
      </c>
      <c r="P664" t="s">
        <v>27</v>
      </c>
      <c r="Q664" t="s">
        <v>134</v>
      </c>
      <c r="R664" t="s">
        <v>85</v>
      </c>
      <c r="S664" s="3" t="str">
        <f t="shared" si="165"/>
        <v>Technology</v>
      </c>
      <c r="T664" t="s">
        <v>381</v>
      </c>
      <c r="U664" t="s">
        <v>3125</v>
      </c>
      <c r="V664" t="s">
        <v>47</v>
      </c>
      <c r="W664" s="3" t="str">
        <f t="shared" si="166"/>
        <v>Same Day</v>
      </c>
      <c r="X664">
        <v>6</v>
      </c>
      <c r="Y664">
        <v>1784.8</v>
      </c>
      <c r="Z664">
        <v>0.1</v>
      </c>
      <c r="AA664">
        <f t="shared" si="170"/>
        <v>0.1</v>
      </c>
      <c r="AB664">
        <f t="shared" si="171"/>
        <v>9637.92</v>
      </c>
      <c r="AC664">
        <v>9637.92</v>
      </c>
      <c r="AD664">
        <v>7329.29</v>
      </c>
      <c r="AE664">
        <v>2308.63</v>
      </c>
      <c r="AF664" t="s">
        <v>33</v>
      </c>
      <c r="AG664" t="s">
        <v>34</v>
      </c>
      <c r="AH664" t="str">
        <f t="shared" si="167"/>
        <v>Completed</v>
      </c>
      <c r="AI664" t="str">
        <f t="shared" si="168"/>
        <v>Valid</v>
      </c>
      <c r="AJ664">
        <f t="shared" si="169"/>
        <v>2308.63</v>
      </c>
      <c r="AK664" s="12">
        <f t="shared" si="172"/>
        <v>0.2395361239769577</v>
      </c>
      <c r="AL664">
        <f t="shared" si="173"/>
        <v>1</v>
      </c>
      <c r="AM664">
        <f t="shared" si="174"/>
        <v>2024</v>
      </c>
      <c r="AN664" t="str">
        <f t="shared" si="175"/>
        <v>Clean</v>
      </c>
    </row>
    <row r="665" spans="1:40">
      <c r="A665" t="s">
        <v>3126</v>
      </c>
      <c r="B665" s="3" t="s">
        <v>1224</v>
      </c>
      <c r="C665" s="10">
        <v>45414</v>
      </c>
      <c r="D665" s="3" t="s">
        <v>2681</v>
      </c>
      <c r="E665" s="10">
        <v>45420</v>
      </c>
      <c r="F665" s="6" t="str">
        <f t="shared" si="160"/>
        <v>Valid</v>
      </c>
      <c r="G665" s="8">
        <f t="shared" si="161"/>
        <v>6</v>
      </c>
      <c r="H665" s="8" t="str">
        <f t="shared" si="162"/>
        <v>Valid</v>
      </c>
      <c r="I665" t="s">
        <v>3127</v>
      </c>
      <c r="J665" t="s">
        <v>147</v>
      </c>
      <c r="K665" t="s">
        <v>147</v>
      </c>
      <c r="L665" t="s">
        <v>114</v>
      </c>
      <c r="M665" s="3" t="str">
        <f t="shared" si="163"/>
        <v>Home Office</v>
      </c>
      <c r="N665" t="s">
        <v>41</v>
      </c>
      <c r="O665" s="3" t="str">
        <f t="shared" si="164"/>
        <v>East</v>
      </c>
      <c r="P665" t="s">
        <v>310</v>
      </c>
      <c r="Q665" t="s">
        <v>311</v>
      </c>
      <c r="R665" t="s">
        <v>85</v>
      </c>
      <c r="S665" s="3" t="str">
        <f t="shared" si="165"/>
        <v>Technology</v>
      </c>
      <c r="T665" t="s">
        <v>93</v>
      </c>
      <c r="U665" t="s">
        <v>3128</v>
      </c>
      <c r="V665" t="s">
        <v>32</v>
      </c>
      <c r="W665" s="3" t="str">
        <f t="shared" si="166"/>
        <v>Second Class</v>
      </c>
      <c r="X665">
        <v>2</v>
      </c>
      <c r="Y665">
        <v>3185.01</v>
      </c>
      <c r="Z665">
        <v>-0.24</v>
      </c>
      <c r="AA665">
        <f t="shared" si="170"/>
        <v>-0.24</v>
      </c>
      <c r="AB665">
        <f t="shared" si="171"/>
        <v>7898.8248000000003</v>
      </c>
      <c r="AC665">
        <v>4777.5200000000004</v>
      </c>
      <c r="AD665">
        <v>3152.98</v>
      </c>
      <c r="AE665">
        <v>1624.54</v>
      </c>
      <c r="AF665" t="s">
        <v>33</v>
      </c>
      <c r="AG665" t="s">
        <v>34</v>
      </c>
      <c r="AH665" t="str">
        <f t="shared" si="167"/>
        <v>Completed</v>
      </c>
      <c r="AI665" t="str">
        <f t="shared" si="168"/>
        <v>Invalid - Negative Discount</v>
      </c>
      <c r="AJ665">
        <f t="shared" si="169"/>
        <v>1624.5400000000004</v>
      </c>
      <c r="AK665" s="12">
        <f t="shared" si="172"/>
        <v>0.20566856983585716</v>
      </c>
      <c r="AL665">
        <f t="shared" si="173"/>
        <v>5</v>
      </c>
      <c r="AM665">
        <f t="shared" si="174"/>
        <v>2024</v>
      </c>
      <c r="AN665" t="str">
        <f t="shared" si="175"/>
        <v>Clean</v>
      </c>
    </row>
    <row r="666" spans="1:40">
      <c r="A666" t="s">
        <v>3129</v>
      </c>
      <c r="B666" s="3" t="s">
        <v>3130</v>
      </c>
      <c r="C666" s="10">
        <v>45633</v>
      </c>
      <c r="D666" s="3" t="s">
        <v>3131</v>
      </c>
      <c r="E666" s="10">
        <v>45636</v>
      </c>
      <c r="F666" s="6" t="str">
        <f t="shared" si="160"/>
        <v>Valid</v>
      </c>
      <c r="G666" s="8">
        <f t="shared" si="161"/>
        <v>3</v>
      </c>
      <c r="H666" s="8" t="str">
        <f t="shared" si="162"/>
        <v>Valid</v>
      </c>
      <c r="I666" t="s">
        <v>3132</v>
      </c>
      <c r="J666" t="s">
        <v>39</v>
      </c>
      <c r="K666" t="s">
        <v>39</v>
      </c>
      <c r="L666" t="s">
        <v>114</v>
      </c>
      <c r="M666" s="3" t="str">
        <f t="shared" si="163"/>
        <v>Home Office</v>
      </c>
      <c r="N666" t="s">
        <v>61</v>
      </c>
      <c r="O666" s="3" t="str">
        <f t="shared" si="164"/>
        <v>South</v>
      </c>
      <c r="P666" t="s">
        <v>62</v>
      </c>
      <c r="Q666" t="s">
        <v>63</v>
      </c>
      <c r="R666" t="s">
        <v>85</v>
      </c>
      <c r="S666" s="3" t="str">
        <f t="shared" si="165"/>
        <v>Technology</v>
      </c>
      <c r="T666" t="s">
        <v>86</v>
      </c>
      <c r="U666" t="s">
        <v>3133</v>
      </c>
      <c r="V666" t="s">
        <v>66</v>
      </c>
      <c r="W666" s="3" t="str">
        <f t="shared" si="166"/>
        <v>Standard Class</v>
      </c>
      <c r="X666">
        <v>1</v>
      </c>
      <c r="Y666">
        <v>1908.83</v>
      </c>
      <c r="Z666">
        <v>0.2</v>
      </c>
      <c r="AA666">
        <f t="shared" si="170"/>
        <v>0.2</v>
      </c>
      <c r="AB666">
        <f t="shared" si="171"/>
        <v>1527.0640000000001</v>
      </c>
      <c r="AC666">
        <v>1527.06</v>
      </c>
      <c r="AD666">
        <v>1055.8900000000001</v>
      </c>
      <c r="AE666">
        <v>471.17</v>
      </c>
      <c r="AF666" t="s">
        <v>33</v>
      </c>
      <c r="AG666" t="s">
        <v>34</v>
      </c>
      <c r="AH666" t="str">
        <f t="shared" si="167"/>
        <v>Completed</v>
      </c>
      <c r="AI666" t="str">
        <f t="shared" si="168"/>
        <v>Valid</v>
      </c>
      <c r="AJ666">
        <f t="shared" si="169"/>
        <v>471.16999999999985</v>
      </c>
      <c r="AK666" s="12">
        <f t="shared" si="172"/>
        <v>0.30854633466573755</v>
      </c>
      <c r="AL666">
        <f t="shared" si="173"/>
        <v>12</v>
      </c>
      <c r="AM666">
        <f t="shared" si="174"/>
        <v>2024</v>
      </c>
      <c r="AN666" t="str">
        <f t="shared" si="175"/>
        <v>Clean</v>
      </c>
    </row>
    <row r="667" spans="1:40">
      <c r="A667" t="s">
        <v>3134</v>
      </c>
      <c r="B667" s="3" t="s">
        <v>3135</v>
      </c>
      <c r="C667" s="10">
        <v>45670</v>
      </c>
      <c r="D667" s="3" t="s">
        <v>3136</v>
      </c>
      <c r="E667" s="10">
        <v>45670</v>
      </c>
      <c r="F667" s="6" t="str">
        <f t="shared" si="160"/>
        <v>Valid</v>
      </c>
      <c r="G667" s="8">
        <f t="shared" si="161"/>
        <v>0</v>
      </c>
      <c r="H667" s="8" t="str">
        <f t="shared" si="162"/>
        <v>Valid</v>
      </c>
      <c r="I667" t="s">
        <v>3137</v>
      </c>
      <c r="J667" t="s">
        <v>147</v>
      </c>
      <c r="K667" t="s">
        <v>147</v>
      </c>
      <c r="L667" t="s">
        <v>114</v>
      </c>
      <c r="M667" s="3" t="str">
        <f t="shared" si="163"/>
        <v>Home Office</v>
      </c>
      <c r="N667" t="s">
        <v>72</v>
      </c>
      <c r="O667" s="3" t="str">
        <f t="shared" si="164"/>
        <v>West</v>
      </c>
      <c r="P667" t="s">
        <v>234</v>
      </c>
      <c r="Q667" t="s">
        <v>235</v>
      </c>
      <c r="R667" t="s">
        <v>29</v>
      </c>
      <c r="S667" s="3" t="str">
        <f t="shared" si="165"/>
        <v>Office Supplies</v>
      </c>
      <c r="T667" t="s">
        <v>53</v>
      </c>
      <c r="U667" t="s">
        <v>3138</v>
      </c>
      <c r="V667" t="s">
        <v>66</v>
      </c>
      <c r="W667" s="3" t="str">
        <f t="shared" si="166"/>
        <v>Standard Class</v>
      </c>
      <c r="X667">
        <v>3</v>
      </c>
      <c r="Y667">
        <v>2110.52</v>
      </c>
      <c r="Z667">
        <v>0.1</v>
      </c>
      <c r="AA667">
        <f t="shared" si="170"/>
        <v>0.1</v>
      </c>
      <c r="AB667">
        <f t="shared" si="171"/>
        <v>5698.4039999999995</v>
      </c>
      <c r="AC667">
        <v>5698.4</v>
      </c>
      <c r="AD667">
        <v>3640.89</v>
      </c>
      <c r="AE667">
        <v>2057.5100000000002</v>
      </c>
      <c r="AF667" t="s">
        <v>199</v>
      </c>
      <c r="AG667" t="s">
        <v>77</v>
      </c>
      <c r="AH667" t="str">
        <f t="shared" si="167"/>
        <v>Cancelled</v>
      </c>
      <c r="AI667" t="str">
        <f t="shared" si="168"/>
        <v>Valid</v>
      </c>
      <c r="AJ667">
        <f t="shared" si="169"/>
        <v>2057.5099999999998</v>
      </c>
      <c r="AK667" s="12">
        <f t="shared" si="172"/>
        <v>0.36106776564104615</v>
      </c>
      <c r="AL667">
        <f t="shared" si="173"/>
        <v>1</v>
      </c>
      <c r="AM667">
        <f t="shared" si="174"/>
        <v>2025</v>
      </c>
      <c r="AN667" t="str">
        <f t="shared" si="175"/>
        <v>Clean</v>
      </c>
    </row>
    <row r="668" spans="1:40">
      <c r="A668" t="s">
        <v>3139</v>
      </c>
      <c r="B668" s="3" t="s">
        <v>2151</v>
      </c>
      <c r="C668" s="10">
        <v>45464</v>
      </c>
      <c r="D668" s="3" t="s">
        <v>2093</v>
      </c>
      <c r="E668" s="10">
        <v>45469</v>
      </c>
      <c r="F668" s="6" t="str">
        <f t="shared" si="160"/>
        <v>Valid</v>
      </c>
      <c r="G668" s="8">
        <f t="shared" si="161"/>
        <v>5</v>
      </c>
      <c r="H668" s="8" t="str">
        <f t="shared" si="162"/>
        <v>Valid</v>
      </c>
      <c r="I668" t="s">
        <v>3140</v>
      </c>
      <c r="J668" t="s">
        <v>179</v>
      </c>
      <c r="K668" t="s">
        <v>179</v>
      </c>
      <c r="L668" t="s">
        <v>40</v>
      </c>
      <c r="M668" s="3" t="str">
        <f t="shared" si="163"/>
        <v>Small Business</v>
      </c>
      <c r="N668" t="s">
        <v>26</v>
      </c>
      <c r="O668" s="3" t="str">
        <f t="shared" si="164"/>
        <v>North</v>
      </c>
      <c r="P668" t="s">
        <v>153</v>
      </c>
      <c r="Q668" t="s">
        <v>154</v>
      </c>
      <c r="R668" t="s">
        <v>85</v>
      </c>
      <c r="S668" s="3" t="str">
        <f t="shared" si="165"/>
        <v>Technology</v>
      </c>
      <c r="T668" t="s">
        <v>93</v>
      </c>
      <c r="U668" t="s">
        <v>3141</v>
      </c>
      <c r="V668" t="s">
        <v>47</v>
      </c>
      <c r="W668" s="3" t="str">
        <f t="shared" si="166"/>
        <v>Same Day</v>
      </c>
      <c r="X668">
        <v>1</v>
      </c>
      <c r="Y668">
        <v>279.83</v>
      </c>
      <c r="Z668">
        <v>0.05</v>
      </c>
      <c r="AA668">
        <f t="shared" si="170"/>
        <v>0.05</v>
      </c>
      <c r="AB668">
        <f t="shared" si="171"/>
        <v>265.83849999999995</v>
      </c>
      <c r="AC668">
        <v>265.83999999999997</v>
      </c>
      <c r="AD668">
        <v>223.49</v>
      </c>
      <c r="AE668">
        <v>42.35</v>
      </c>
      <c r="AF668" t="s">
        <v>33</v>
      </c>
      <c r="AG668" t="s">
        <v>34</v>
      </c>
      <c r="AH668" t="str">
        <f t="shared" si="167"/>
        <v>Completed</v>
      </c>
      <c r="AI668" t="str">
        <f t="shared" si="168"/>
        <v>Valid</v>
      </c>
      <c r="AJ668">
        <f t="shared" si="169"/>
        <v>42.349999999999966</v>
      </c>
      <c r="AK668" s="12">
        <f t="shared" si="172"/>
        <v>0.15930724857385206</v>
      </c>
      <c r="AL668">
        <f t="shared" si="173"/>
        <v>6</v>
      </c>
      <c r="AM668">
        <f t="shared" si="174"/>
        <v>2024</v>
      </c>
      <c r="AN668" t="str">
        <f t="shared" si="175"/>
        <v>Clean</v>
      </c>
    </row>
    <row r="669" spans="1:40">
      <c r="A669" t="s">
        <v>3142</v>
      </c>
      <c r="B669" s="3" t="s">
        <v>3143</v>
      </c>
      <c r="C669" s="10">
        <v>45797</v>
      </c>
      <c r="D669" s="3" t="s">
        <v>3144</v>
      </c>
      <c r="E669" s="10">
        <v>45804</v>
      </c>
      <c r="F669" s="6" t="str">
        <f t="shared" si="160"/>
        <v>Valid</v>
      </c>
      <c r="G669" s="8">
        <f t="shared" si="161"/>
        <v>7</v>
      </c>
      <c r="H669" s="8" t="str">
        <f t="shared" si="162"/>
        <v>Valid</v>
      </c>
      <c r="I669" t="s">
        <v>3145</v>
      </c>
      <c r="J669" t="s">
        <v>209</v>
      </c>
      <c r="K669" t="s">
        <v>209</v>
      </c>
      <c r="L669" t="s">
        <v>40</v>
      </c>
      <c r="M669" s="3" t="str">
        <f t="shared" si="163"/>
        <v>Small Business</v>
      </c>
      <c r="N669" t="s">
        <v>41</v>
      </c>
      <c r="O669" s="3" t="str">
        <f t="shared" si="164"/>
        <v>East</v>
      </c>
      <c r="P669" t="s">
        <v>185</v>
      </c>
      <c r="Q669" t="s">
        <v>186</v>
      </c>
      <c r="R669" t="s">
        <v>85</v>
      </c>
      <c r="S669" s="3" t="str">
        <f t="shared" si="165"/>
        <v>Technology</v>
      </c>
      <c r="T669" t="s">
        <v>381</v>
      </c>
      <c r="U669" t="s">
        <v>3146</v>
      </c>
      <c r="V669" t="s">
        <v>66</v>
      </c>
      <c r="W669" s="3" t="str">
        <f t="shared" si="166"/>
        <v>Standard Class</v>
      </c>
      <c r="X669">
        <v>1</v>
      </c>
      <c r="Y669">
        <v>3959.14</v>
      </c>
      <c r="Z669">
        <v>0</v>
      </c>
      <c r="AA669">
        <f t="shared" si="170"/>
        <v>0</v>
      </c>
      <c r="AB669">
        <f t="shared" si="171"/>
        <v>3959.14</v>
      </c>
      <c r="AC669">
        <v>3959.14</v>
      </c>
      <c r="AD669">
        <v>3239.53</v>
      </c>
      <c r="AE669">
        <v>719.61</v>
      </c>
      <c r="AF669" t="s">
        <v>136</v>
      </c>
      <c r="AG669" t="s">
        <v>124</v>
      </c>
      <c r="AH669" t="str">
        <f t="shared" si="167"/>
        <v>Returned</v>
      </c>
      <c r="AI669" t="str">
        <f t="shared" si="168"/>
        <v>Valid</v>
      </c>
      <c r="AJ669">
        <f t="shared" si="169"/>
        <v>719.60999999999967</v>
      </c>
      <c r="AK669" s="12">
        <f t="shared" si="172"/>
        <v>0.18175916992074029</v>
      </c>
      <c r="AL669">
        <f t="shared" si="173"/>
        <v>5</v>
      </c>
      <c r="AM669">
        <f t="shared" si="174"/>
        <v>2025</v>
      </c>
      <c r="AN669" t="str">
        <f t="shared" si="175"/>
        <v>Clean</v>
      </c>
    </row>
    <row r="670" spans="1:40">
      <c r="A670" t="s">
        <v>3147</v>
      </c>
      <c r="B670" s="3" t="s">
        <v>3148</v>
      </c>
      <c r="C670" s="10">
        <v>45617</v>
      </c>
      <c r="D670" s="3" t="s">
        <v>220</v>
      </c>
      <c r="E670" s="10">
        <v>45619</v>
      </c>
      <c r="F670" s="6" t="str">
        <f t="shared" si="160"/>
        <v>Valid</v>
      </c>
      <c r="G670" s="8">
        <f t="shared" si="161"/>
        <v>2</v>
      </c>
      <c r="H670" s="8" t="str">
        <f t="shared" si="162"/>
        <v>Valid</v>
      </c>
      <c r="I670" t="s">
        <v>3149</v>
      </c>
      <c r="J670" t="s">
        <v>39</v>
      </c>
      <c r="K670" t="s">
        <v>39</v>
      </c>
      <c r="L670" t="s">
        <v>107</v>
      </c>
      <c r="M670" s="3" t="str">
        <f t="shared" si="163"/>
        <v>Corporate</v>
      </c>
      <c r="N670" t="s">
        <v>72</v>
      </c>
      <c r="O670" s="3" t="str">
        <f t="shared" si="164"/>
        <v>West</v>
      </c>
      <c r="P670" t="s">
        <v>234</v>
      </c>
      <c r="Q670" t="s">
        <v>235</v>
      </c>
      <c r="R670" t="s">
        <v>29</v>
      </c>
      <c r="S670" s="3" t="str">
        <f t="shared" si="165"/>
        <v>Office Supplies</v>
      </c>
      <c r="T670" t="s">
        <v>30</v>
      </c>
      <c r="U670" t="s">
        <v>3150</v>
      </c>
      <c r="V670" t="s">
        <v>32</v>
      </c>
      <c r="W670" s="3" t="str">
        <f t="shared" si="166"/>
        <v>Second Class</v>
      </c>
      <c r="X670">
        <v>5</v>
      </c>
      <c r="Y670">
        <v>600.46</v>
      </c>
      <c r="Z670">
        <v>0.2</v>
      </c>
      <c r="AA670">
        <f t="shared" si="170"/>
        <v>0.2</v>
      </c>
      <c r="AB670">
        <f t="shared" si="171"/>
        <v>2401.84</v>
      </c>
      <c r="AC670">
        <v>2401.84</v>
      </c>
      <c r="AD670">
        <v>1873.11</v>
      </c>
      <c r="AE670">
        <v>528.73</v>
      </c>
      <c r="AF670" t="s">
        <v>33</v>
      </c>
      <c r="AG670" t="s">
        <v>34</v>
      </c>
      <c r="AH670" t="str">
        <f t="shared" si="167"/>
        <v>Completed</v>
      </c>
      <c r="AI670" t="str">
        <f t="shared" si="168"/>
        <v>Valid</v>
      </c>
      <c r="AJ670">
        <f t="shared" si="169"/>
        <v>528.73000000000025</v>
      </c>
      <c r="AK670" s="12">
        <f t="shared" si="172"/>
        <v>0.22013539619624964</v>
      </c>
      <c r="AL670">
        <f t="shared" si="173"/>
        <v>11</v>
      </c>
      <c r="AM670">
        <f t="shared" si="174"/>
        <v>2024</v>
      </c>
      <c r="AN670" t="str">
        <f t="shared" si="175"/>
        <v>Clean</v>
      </c>
    </row>
    <row r="671" spans="1:40">
      <c r="A671" t="s">
        <v>3151</v>
      </c>
      <c r="B671" s="3" t="s">
        <v>3152</v>
      </c>
      <c r="C671" s="10">
        <v>45375</v>
      </c>
      <c r="D671" s="3" t="s">
        <v>3153</v>
      </c>
      <c r="E671" s="10">
        <v>45383</v>
      </c>
      <c r="F671" s="6" t="str">
        <f t="shared" si="160"/>
        <v>Valid</v>
      </c>
      <c r="G671" s="8">
        <f t="shared" si="161"/>
        <v>8</v>
      </c>
      <c r="H671" s="8" t="str">
        <f t="shared" si="162"/>
        <v>Valid</v>
      </c>
      <c r="I671" t="s">
        <v>3154</v>
      </c>
      <c r="J671" t="s">
        <v>71</v>
      </c>
      <c r="K671" t="s">
        <v>71</v>
      </c>
      <c r="L671" t="s">
        <v>114</v>
      </c>
      <c r="M671" s="3" t="str">
        <f t="shared" si="163"/>
        <v>Home Office</v>
      </c>
      <c r="N671" t="s">
        <v>72</v>
      </c>
      <c r="O671" s="3" t="str">
        <f t="shared" si="164"/>
        <v>West</v>
      </c>
      <c r="P671" t="s">
        <v>73</v>
      </c>
      <c r="Q671" t="s">
        <v>74</v>
      </c>
      <c r="R671" t="s">
        <v>44</v>
      </c>
      <c r="S671" s="3" t="str">
        <f t="shared" si="165"/>
        <v>Furniture</v>
      </c>
      <c r="T671" t="s">
        <v>45</v>
      </c>
      <c r="U671" t="s">
        <v>3155</v>
      </c>
      <c r="V671" t="s">
        <v>32</v>
      </c>
      <c r="W671" s="3" t="str">
        <f t="shared" si="166"/>
        <v>Second Class</v>
      </c>
      <c r="X671">
        <v>4</v>
      </c>
      <c r="Y671">
        <v>1700.72</v>
      </c>
      <c r="Z671">
        <v>0.25</v>
      </c>
      <c r="AA671">
        <f t="shared" si="170"/>
        <v>0.25</v>
      </c>
      <c r="AB671">
        <f t="shared" si="171"/>
        <v>5102.16</v>
      </c>
      <c r="AC671">
        <v>5102.16</v>
      </c>
      <c r="AD671">
        <v>3226.45</v>
      </c>
      <c r="AE671">
        <v>1875.71</v>
      </c>
      <c r="AF671" t="s">
        <v>33</v>
      </c>
      <c r="AG671" t="s">
        <v>34</v>
      </c>
      <c r="AH671" t="str">
        <f t="shared" si="167"/>
        <v>Completed</v>
      </c>
      <c r="AI671" t="str">
        <f t="shared" si="168"/>
        <v>Valid</v>
      </c>
      <c r="AJ671">
        <f t="shared" si="169"/>
        <v>1875.71</v>
      </c>
      <c r="AK671" s="12">
        <f t="shared" si="172"/>
        <v>0.36763057214983458</v>
      </c>
      <c r="AL671">
        <f t="shared" si="173"/>
        <v>3</v>
      </c>
      <c r="AM671">
        <f t="shared" si="174"/>
        <v>2024</v>
      </c>
      <c r="AN671" t="str">
        <f t="shared" si="175"/>
        <v>Clean</v>
      </c>
    </row>
    <row r="672" spans="1:40">
      <c r="A672" t="s">
        <v>3156</v>
      </c>
      <c r="B672" s="3" t="s">
        <v>3157</v>
      </c>
      <c r="C672" s="10">
        <v>45690</v>
      </c>
      <c r="D672" s="3" t="s">
        <v>2955</v>
      </c>
      <c r="E672" s="10">
        <v>45694</v>
      </c>
      <c r="F672" s="6" t="str">
        <f t="shared" si="160"/>
        <v>Valid</v>
      </c>
      <c r="G672" s="8">
        <f t="shared" si="161"/>
        <v>4</v>
      </c>
      <c r="H672" s="8" t="str">
        <f t="shared" si="162"/>
        <v>Valid</v>
      </c>
      <c r="I672" t="s">
        <v>2430</v>
      </c>
      <c r="J672" t="s">
        <v>167</v>
      </c>
      <c r="K672" t="s">
        <v>167</v>
      </c>
      <c r="L672" t="s">
        <v>107</v>
      </c>
      <c r="M672" s="3" t="str">
        <f t="shared" si="163"/>
        <v>Corporate</v>
      </c>
      <c r="N672" t="s">
        <v>26</v>
      </c>
      <c r="O672" s="3" t="str">
        <f t="shared" si="164"/>
        <v>North</v>
      </c>
      <c r="P672" t="s">
        <v>173</v>
      </c>
      <c r="Q672" t="s">
        <v>174</v>
      </c>
      <c r="R672" t="s">
        <v>44</v>
      </c>
      <c r="S672" s="3" t="str">
        <f t="shared" si="165"/>
        <v>Furniture</v>
      </c>
      <c r="T672" t="s">
        <v>45</v>
      </c>
      <c r="U672" t="s">
        <v>3158</v>
      </c>
      <c r="V672" t="s">
        <v>66</v>
      </c>
      <c r="W672" s="3" t="str">
        <f t="shared" si="166"/>
        <v>Standard Class</v>
      </c>
      <c r="X672">
        <v>8</v>
      </c>
      <c r="Y672">
        <v>857.86</v>
      </c>
      <c r="Z672">
        <v>0.1</v>
      </c>
      <c r="AA672">
        <f t="shared" si="170"/>
        <v>0.1</v>
      </c>
      <c r="AB672">
        <f t="shared" si="171"/>
        <v>6176.5920000000006</v>
      </c>
      <c r="AC672">
        <v>6176.59</v>
      </c>
      <c r="AD672">
        <v>3560.96</v>
      </c>
      <c r="AE672">
        <v>2615.63</v>
      </c>
      <c r="AF672" t="s">
        <v>33</v>
      </c>
      <c r="AG672" t="s">
        <v>34</v>
      </c>
      <c r="AH672" t="str">
        <f t="shared" si="167"/>
        <v>Completed</v>
      </c>
      <c r="AI672" t="str">
        <f t="shared" si="168"/>
        <v>Valid</v>
      </c>
      <c r="AJ672">
        <f t="shared" si="169"/>
        <v>2615.63</v>
      </c>
      <c r="AK672" s="12">
        <f t="shared" si="172"/>
        <v>0.42347462807969183</v>
      </c>
      <c r="AL672">
        <f t="shared" si="173"/>
        <v>2</v>
      </c>
      <c r="AM672">
        <f t="shared" si="174"/>
        <v>2025</v>
      </c>
      <c r="AN672" t="str">
        <f t="shared" si="175"/>
        <v>Clean</v>
      </c>
    </row>
    <row r="673" spans="1:40">
      <c r="A673" t="s">
        <v>3159</v>
      </c>
      <c r="B673" s="3" t="s">
        <v>3160</v>
      </c>
      <c r="C673" s="10">
        <v>45373</v>
      </c>
      <c r="D673" s="3" t="s">
        <v>3161</v>
      </c>
      <c r="E673" s="10">
        <v>45378</v>
      </c>
      <c r="F673" s="6" t="str">
        <f t="shared" si="160"/>
        <v>Valid</v>
      </c>
      <c r="G673" s="8">
        <f t="shared" si="161"/>
        <v>5</v>
      </c>
      <c r="H673" s="8" t="str">
        <f t="shared" si="162"/>
        <v>Valid</v>
      </c>
      <c r="I673" t="s">
        <v>3162</v>
      </c>
      <c r="J673" t="s">
        <v>106</v>
      </c>
      <c r="K673" t="s">
        <v>106</v>
      </c>
      <c r="L673" t="s">
        <v>114</v>
      </c>
      <c r="M673" s="3" t="str">
        <f t="shared" si="163"/>
        <v>Home Office</v>
      </c>
      <c r="N673" t="s">
        <v>72</v>
      </c>
      <c r="O673" s="3" t="str">
        <f t="shared" si="164"/>
        <v>West</v>
      </c>
      <c r="P673" t="s">
        <v>248</v>
      </c>
      <c r="Q673" t="s">
        <v>249</v>
      </c>
      <c r="R673" t="s">
        <v>85</v>
      </c>
      <c r="S673" s="3" t="str">
        <f t="shared" si="165"/>
        <v>Technology</v>
      </c>
      <c r="T673" t="s">
        <v>3163</v>
      </c>
      <c r="U673" t="s">
        <v>3164</v>
      </c>
      <c r="V673" t="s">
        <v>32</v>
      </c>
      <c r="W673" s="3" t="str">
        <f t="shared" si="166"/>
        <v>Second Class</v>
      </c>
      <c r="X673">
        <v>9</v>
      </c>
      <c r="Y673">
        <v>3649.51</v>
      </c>
      <c r="Z673">
        <v>0.05</v>
      </c>
      <c r="AA673">
        <f t="shared" si="170"/>
        <v>0.05</v>
      </c>
      <c r="AB673">
        <f t="shared" si="171"/>
        <v>31203.310500000003</v>
      </c>
      <c r="AC673">
        <v>31203.31</v>
      </c>
      <c r="AD673">
        <v>17738.13</v>
      </c>
      <c r="AE673">
        <v>13465.18</v>
      </c>
      <c r="AF673" t="s">
        <v>33</v>
      </c>
      <c r="AG673" t="s">
        <v>34</v>
      </c>
      <c r="AH673" t="str">
        <f t="shared" si="167"/>
        <v>Completed</v>
      </c>
      <c r="AI673" t="str">
        <f t="shared" si="168"/>
        <v>Valid</v>
      </c>
      <c r="AJ673">
        <f t="shared" si="169"/>
        <v>13465.18</v>
      </c>
      <c r="AK673" s="12">
        <f t="shared" si="172"/>
        <v>0.43153049417625089</v>
      </c>
      <c r="AL673">
        <f t="shared" si="173"/>
        <v>3</v>
      </c>
      <c r="AM673">
        <f t="shared" si="174"/>
        <v>2024</v>
      </c>
      <c r="AN673" t="str">
        <f t="shared" si="175"/>
        <v>Clean</v>
      </c>
    </row>
    <row r="674" spans="1:40">
      <c r="A674" t="s">
        <v>3165</v>
      </c>
      <c r="B674" s="3" t="s">
        <v>3166</v>
      </c>
      <c r="C674" s="10">
        <v>45539</v>
      </c>
      <c r="D674" s="3" t="s">
        <v>3167</v>
      </c>
      <c r="E674" s="10">
        <v>45540</v>
      </c>
      <c r="F674" s="6" t="str">
        <f t="shared" si="160"/>
        <v>Valid</v>
      </c>
      <c r="G674" s="8">
        <f t="shared" si="161"/>
        <v>1</v>
      </c>
      <c r="H674" s="8" t="str">
        <f t="shared" si="162"/>
        <v>Valid</v>
      </c>
      <c r="I674" t="s">
        <v>3168</v>
      </c>
      <c r="J674" t="s">
        <v>106</v>
      </c>
      <c r="K674" t="s">
        <v>106</v>
      </c>
      <c r="L674" t="s">
        <v>107</v>
      </c>
      <c r="M674" s="3" t="str">
        <f t="shared" si="163"/>
        <v>Corporate</v>
      </c>
      <c r="N674" t="s">
        <v>72</v>
      </c>
      <c r="O674" s="3" t="str">
        <f t="shared" si="164"/>
        <v>West</v>
      </c>
      <c r="P674" t="s">
        <v>83</v>
      </c>
      <c r="Q674" t="s">
        <v>84</v>
      </c>
      <c r="R674" t="s">
        <v>44</v>
      </c>
      <c r="S674" s="3" t="str">
        <f t="shared" si="165"/>
        <v>Furniture</v>
      </c>
      <c r="T674" t="s">
        <v>75</v>
      </c>
      <c r="U674" t="s">
        <v>3169</v>
      </c>
      <c r="V674" t="s">
        <v>66</v>
      </c>
      <c r="W674" s="3" t="str">
        <f t="shared" si="166"/>
        <v>Standard Class</v>
      </c>
      <c r="X674">
        <v>5</v>
      </c>
      <c r="Y674">
        <v>2528.5300000000002</v>
      </c>
      <c r="Z674">
        <v>0.05</v>
      </c>
      <c r="AA674">
        <f t="shared" si="170"/>
        <v>0.05</v>
      </c>
      <c r="AB674">
        <f t="shared" si="171"/>
        <v>12010.5175</v>
      </c>
      <c r="AC674">
        <v>12010.52</v>
      </c>
      <c r="AD674">
        <v>7864.61</v>
      </c>
      <c r="AE674">
        <v>4145.91</v>
      </c>
      <c r="AF674" t="s">
        <v>33</v>
      </c>
      <c r="AG674" t="s">
        <v>124</v>
      </c>
      <c r="AH674" t="str">
        <f t="shared" si="167"/>
        <v>Returned</v>
      </c>
      <c r="AI674" t="str">
        <f t="shared" si="168"/>
        <v>Valid</v>
      </c>
      <c r="AJ674">
        <f t="shared" si="169"/>
        <v>4145.9100000000008</v>
      </c>
      <c r="AK674" s="12">
        <f t="shared" si="172"/>
        <v>0.34518995538701813</v>
      </c>
      <c r="AL674">
        <f t="shared" si="173"/>
        <v>9</v>
      </c>
      <c r="AM674">
        <f t="shared" si="174"/>
        <v>2024</v>
      </c>
      <c r="AN674" t="str">
        <f t="shared" si="175"/>
        <v>Clean</v>
      </c>
    </row>
    <row r="675" spans="1:40">
      <c r="A675" t="s">
        <v>3170</v>
      </c>
      <c r="B675" s="3" t="s">
        <v>2400</v>
      </c>
      <c r="C675" s="10">
        <v>45701</v>
      </c>
      <c r="D675" s="3" t="s">
        <v>3171</v>
      </c>
      <c r="E675" s="10">
        <v>45704</v>
      </c>
      <c r="F675" s="6" t="str">
        <f t="shared" si="160"/>
        <v>Valid</v>
      </c>
      <c r="G675" s="8">
        <f t="shared" si="161"/>
        <v>3</v>
      </c>
      <c r="H675" s="8" t="str">
        <f t="shared" si="162"/>
        <v>Valid</v>
      </c>
      <c r="I675" t="s">
        <v>3172</v>
      </c>
      <c r="J675" t="s">
        <v>60</v>
      </c>
      <c r="K675" t="s">
        <v>60</v>
      </c>
      <c r="L675" t="s">
        <v>40</v>
      </c>
      <c r="M675" s="3" t="str">
        <f t="shared" si="163"/>
        <v>Small Business</v>
      </c>
      <c r="N675" t="s">
        <v>72</v>
      </c>
      <c r="O675" s="3" t="str">
        <f t="shared" si="164"/>
        <v>West</v>
      </c>
      <c r="P675" t="s">
        <v>27</v>
      </c>
      <c r="Q675" t="s">
        <v>134</v>
      </c>
      <c r="R675" t="s">
        <v>44</v>
      </c>
      <c r="S675" s="3" t="str">
        <f t="shared" si="165"/>
        <v>Furniture</v>
      </c>
      <c r="T675" t="s">
        <v>203</v>
      </c>
      <c r="U675" t="s">
        <v>3173</v>
      </c>
      <c r="V675" t="s">
        <v>32</v>
      </c>
      <c r="W675" s="3" t="str">
        <f t="shared" si="166"/>
        <v>Second Class</v>
      </c>
      <c r="X675">
        <v>4</v>
      </c>
      <c r="Y675">
        <v>4072.9</v>
      </c>
      <c r="Z675">
        <v>0.15</v>
      </c>
      <c r="AA675">
        <f t="shared" si="170"/>
        <v>0.15</v>
      </c>
      <c r="AB675">
        <f t="shared" si="171"/>
        <v>13847.86</v>
      </c>
      <c r="AC675">
        <v>13847.86</v>
      </c>
      <c r="AD675">
        <v>8471.7800000000007</v>
      </c>
      <c r="AE675">
        <v>5376.08</v>
      </c>
      <c r="AF675" t="s">
        <v>33</v>
      </c>
      <c r="AG675" t="s">
        <v>34</v>
      </c>
      <c r="AH675" t="str">
        <f t="shared" si="167"/>
        <v>Completed</v>
      </c>
      <c r="AI675" t="str">
        <f t="shared" si="168"/>
        <v>Valid</v>
      </c>
      <c r="AJ675">
        <f t="shared" si="169"/>
        <v>5376.08</v>
      </c>
      <c r="AK675" s="12">
        <f t="shared" si="172"/>
        <v>0.38822460654570451</v>
      </c>
      <c r="AL675">
        <f t="shared" si="173"/>
        <v>2</v>
      </c>
      <c r="AM675">
        <f t="shared" si="174"/>
        <v>2025</v>
      </c>
      <c r="AN675" t="str">
        <f t="shared" si="175"/>
        <v>Clean</v>
      </c>
    </row>
    <row r="676" spans="1:40">
      <c r="A676" t="s">
        <v>3174</v>
      </c>
      <c r="B676" s="3" t="s">
        <v>3175</v>
      </c>
      <c r="C676" s="10">
        <v>45430</v>
      </c>
      <c r="D676" s="3" t="s">
        <v>3176</v>
      </c>
      <c r="E676" s="10">
        <v>45433</v>
      </c>
      <c r="F676" s="6" t="str">
        <f t="shared" si="160"/>
        <v>Valid</v>
      </c>
      <c r="G676" s="8">
        <f t="shared" si="161"/>
        <v>3</v>
      </c>
      <c r="H676" s="8" t="str">
        <f t="shared" si="162"/>
        <v>Valid</v>
      </c>
      <c r="I676" t="s">
        <v>3177</v>
      </c>
      <c r="J676" t="s">
        <v>82</v>
      </c>
      <c r="K676" t="s">
        <v>82</v>
      </c>
      <c r="L676" t="s">
        <v>107</v>
      </c>
      <c r="M676" s="3" t="str">
        <f t="shared" si="163"/>
        <v>Corporate</v>
      </c>
      <c r="N676" t="s">
        <v>41</v>
      </c>
      <c r="O676" s="3" t="str">
        <f t="shared" si="164"/>
        <v>East</v>
      </c>
      <c r="P676" t="s">
        <v>310</v>
      </c>
      <c r="Q676" t="s">
        <v>311</v>
      </c>
      <c r="R676" t="s">
        <v>85</v>
      </c>
      <c r="S676" s="3" t="str">
        <f t="shared" si="165"/>
        <v>Technology</v>
      </c>
      <c r="T676" t="s">
        <v>86</v>
      </c>
      <c r="U676" t="s">
        <v>3178</v>
      </c>
      <c r="V676" t="s">
        <v>32</v>
      </c>
      <c r="W676" s="3" t="str">
        <f t="shared" si="166"/>
        <v>Second Class</v>
      </c>
      <c r="X676">
        <v>1</v>
      </c>
      <c r="Y676">
        <v>1033.71</v>
      </c>
      <c r="Z676">
        <v>0</v>
      </c>
      <c r="AA676">
        <f t="shared" si="170"/>
        <v>0</v>
      </c>
      <c r="AB676">
        <f t="shared" si="171"/>
        <v>1033.71</v>
      </c>
      <c r="AC676">
        <v>1033.71</v>
      </c>
      <c r="AD676">
        <v>630.82000000000005</v>
      </c>
      <c r="AE676">
        <v>402.89</v>
      </c>
      <c r="AF676" t="s">
        <v>136</v>
      </c>
      <c r="AG676" t="s">
        <v>124</v>
      </c>
      <c r="AH676" t="str">
        <f t="shared" si="167"/>
        <v>Returned</v>
      </c>
      <c r="AI676" t="str">
        <f t="shared" si="168"/>
        <v>Valid</v>
      </c>
      <c r="AJ676">
        <f t="shared" si="169"/>
        <v>402.89</v>
      </c>
      <c r="AK676" s="12">
        <f t="shared" si="172"/>
        <v>0.38975147768716562</v>
      </c>
      <c r="AL676">
        <f t="shared" si="173"/>
        <v>5</v>
      </c>
      <c r="AM676">
        <f t="shared" si="174"/>
        <v>2024</v>
      </c>
      <c r="AN676" t="str">
        <f t="shared" si="175"/>
        <v>Clean</v>
      </c>
    </row>
    <row r="677" spans="1:40">
      <c r="A677" t="s">
        <v>3179</v>
      </c>
      <c r="B677" s="3" t="s">
        <v>3180</v>
      </c>
      <c r="C677" s="10">
        <v>45815</v>
      </c>
      <c r="D677" s="3" t="s">
        <v>3181</v>
      </c>
      <c r="E677" s="10">
        <v>45818</v>
      </c>
      <c r="F677" s="6" t="str">
        <f t="shared" si="160"/>
        <v>Valid</v>
      </c>
      <c r="G677" s="8">
        <f t="shared" si="161"/>
        <v>3</v>
      </c>
      <c r="H677" s="8" t="str">
        <f t="shared" si="162"/>
        <v>Valid</v>
      </c>
      <c r="I677" t="s">
        <v>3032</v>
      </c>
      <c r="J677" t="s">
        <v>161</v>
      </c>
      <c r="K677" t="s">
        <v>161</v>
      </c>
      <c r="L677" t="s">
        <v>25</v>
      </c>
      <c r="M677" s="3" t="str">
        <f t="shared" si="163"/>
        <v>Consumer</v>
      </c>
      <c r="N677" t="s">
        <v>26</v>
      </c>
      <c r="O677" s="3" t="str">
        <f t="shared" si="164"/>
        <v>North</v>
      </c>
      <c r="P677" t="s">
        <v>27</v>
      </c>
      <c r="Q677" t="s">
        <v>28</v>
      </c>
      <c r="R677" t="s">
        <v>44</v>
      </c>
      <c r="S677" s="3" t="str">
        <f t="shared" si="165"/>
        <v>Furniture</v>
      </c>
      <c r="T677" t="s">
        <v>64</v>
      </c>
      <c r="U677" t="s">
        <v>3182</v>
      </c>
      <c r="V677" t="s">
        <v>47</v>
      </c>
      <c r="W677" s="3" t="str">
        <f t="shared" si="166"/>
        <v>Same Day</v>
      </c>
      <c r="X677">
        <v>3</v>
      </c>
      <c r="Y677">
        <v>963.26</v>
      </c>
      <c r="Z677">
        <v>0</v>
      </c>
      <c r="AA677">
        <f t="shared" si="170"/>
        <v>0</v>
      </c>
      <c r="AB677">
        <f t="shared" si="171"/>
        <v>2889.7799999999997</v>
      </c>
      <c r="AC677">
        <v>2889.78</v>
      </c>
      <c r="AD677">
        <v>1811.23</v>
      </c>
      <c r="AE677">
        <v>1078.55</v>
      </c>
      <c r="AF677" t="s">
        <v>33</v>
      </c>
      <c r="AG677" t="s">
        <v>34</v>
      </c>
      <c r="AH677" t="str">
        <f t="shared" si="167"/>
        <v>Completed</v>
      </c>
      <c r="AI677" t="str">
        <f t="shared" si="168"/>
        <v>Valid</v>
      </c>
      <c r="AJ677">
        <f t="shared" si="169"/>
        <v>1078.5500000000002</v>
      </c>
      <c r="AK677" s="12">
        <f t="shared" si="172"/>
        <v>0.37322910394562919</v>
      </c>
      <c r="AL677">
        <f t="shared" si="173"/>
        <v>6</v>
      </c>
      <c r="AM677">
        <f t="shared" si="174"/>
        <v>2025</v>
      </c>
      <c r="AN677" t="str">
        <f t="shared" si="175"/>
        <v>Clean</v>
      </c>
    </row>
    <row r="678" spans="1:40">
      <c r="A678" t="s">
        <v>3183</v>
      </c>
      <c r="B678" s="3" t="s">
        <v>3184</v>
      </c>
      <c r="C678" s="10">
        <v>45911</v>
      </c>
      <c r="D678" s="3" t="s">
        <v>3185</v>
      </c>
      <c r="E678" s="10">
        <v>45918</v>
      </c>
      <c r="F678" s="6" t="str">
        <f t="shared" si="160"/>
        <v>Valid</v>
      </c>
      <c r="G678" s="8">
        <f t="shared" si="161"/>
        <v>7</v>
      </c>
      <c r="H678" s="8" t="str">
        <f t="shared" si="162"/>
        <v>Valid</v>
      </c>
      <c r="I678" t="s">
        <v>3186</v>
      </c>
      <c r="J678" t="s">
        <v>147</v>
      </c>
      <c r="K678" t="s">
        <v>147</v>
      </c>
      <c r="L678" t="s">
        <v>40</v>
      </c>
      <c r="M678" s="3" t="str">
        <f t="shared" si="163"/>
        <v>Small Business</v>
      </c>
      <c r="N678" t="s">
        <v>26</v>
      </c>
      <c r="O678" s="3" t="str">
        <f t="shared" si="164"/>
        <v>North</v>
      </c>
      <c r="P678" t="s">
        <v>505</v>
      </c>
      <c r="Q678" t="s">
        <v>506</v>
      </c>
      <c r="R678" t="s">
        <v>85</v>
      </c>
      <c r="S678" s="3" t="str">
        <f t="shared" si="165"/>
        <v>Technology</v>
      </c>
      <c r="T678" t="s">
        <v>222</v>
      </c>
      <c r="U678" t="s">
        <v>3187</v>
      </c>
      <c r="V678" t="s">
        <v>47</v>
      </c>
      <c r="W678" s="3" t="str">
        <f t="shared" si="166"/>
        <v>Same Day</v>
      </c>
      <c r="X678">
        <v>7</v>
      </c>
      <c r="Y678">
        <v>3411.21</v>
      </c>
      <c r="Z678">
        <v>0.15</v>
      </c>
      <c r="AA678">
        <f t="shared" si="170"/>
        <v>0.15</v>
      </c>
      <c r="AB678">
        <f t="shared" si="171"/>
        <v>20296.699499999999</v>
      </c>
      <c r="AC678">
        <v>20296.7</v>
      </c>
      <c r="AD678">
        <v>14920.87</v>
      </c>
      <c r="AE678">
        <v>5375.83</v>
      </c>
      <c r="AF678" t="s">
        <v>33</v>
      </c>
      <c r="AG678" t="s">
        <v>34</v>
      </c>
      <c r="AH678" t="str">
        <f t="shared" si="167"/>
        <v>Completed</v>
      </c>
      <c r="AI678" t="str">
        <f t="shared" si="168"/>
        <v>Valid</v>
      </c>
      <c r="AJ678">
        <f t="shared" si="169"/>
        <v>5375.83</v>
      </c>
      <c r="AK678" s="12">
        <f t="shared" si="172"/>
        <v>0.2648622747752658</v>
      </c>
      <c r="AL678">
        <f t="shared" si="173"/>
        <v>9</v>
      </c>
      <c r="AM678">
        <f t="shared" si="174"/>
        <v>2025</v>
      </c>
      <c r="AN678" t="str">
        <f t="shared" si="175"/>
        <v>Clean</v>
      </c>
    </row>
    <row r="679" spans="1:40">
      <c r="A679" t="s">
        <v>3188</v>
      </c>
      <c r="B679" s="3" t="s">
        <v>3189</v>
      </c>
      <c r="C679" s="10">
        <v>45465</v>
      </c>
      <c r="D679" s="3" t="s">
        <v>3190</v>
      </c>
      <c r="E679" s="10">
        <v>45470</v>
      </c>
      <c r="F679" s="6" t="str">
        <f t="shared" si="160"/>
        <v>Valid</v>
      </c>
      <c r="G679" s="8">
        <f t="shared" si="161"/>
        <v>5</v>
      </c>
      <c r="H679" s="8" t="str">
        <f t="shared" si="162"/>
        <v>Valid</v>
      </c>
      <c r="I679" t="s">
        <v>23</v>
      </c>
      <c r="J679" t="s">
        <v>52</v>
      </c>
      <c r="K679" t="s">
        <v>52</v>
      </c>
      <c r="L679" t="s">
        <v>114</v>
      </c>
      <c r="M679" s="3" t="str">
        <f t="shared" si="163"/>
        <v>Home Office</v>
      </c>
      <c r="N679" t="s">
        <v>61</v>
      </c>
      <c r="O679" s="3" t="str">
        <f t="shared" si="164"/>
        <v>South</v>
      </c>
      <c r="P679" t="s">
        <v>228</v>
      </c>
      <c r="Q679" t="s">
        <v>229</v>
      </c>
      <c r="R679" t="s">
        <v>44</v>
      </c>
      <c r="S679" s="3" t="str">
        <f t="shared" si="165"/>
        <v>Furniture</v>
      </c>
      <c r="T679" t="s">
        <v>75</v>
      </c>
      <c r="U679" t="s">
        <v>3191</v>
      </c>
      <c r="V679" t="s">
        <v>47</v>
      </c>
      <c r="W679" s="3" t="str">
        <f t="shared" si="166"/>
        <v>Same Day</v>
      </c>
      <c r="X679">
        <v>7</v>
      </c>
      <c r="Y679">
        <v>2623.48</v>
      </c>
      <c r="Z679">
        <v>0</v>
      </c>
      <c r="AA679">
        <f t="shared" si="170"/>
        <v>0</v>
      </c>
      <c r="AB679">
        <f t="shared" si="171"/>
        <v>18364.36</v>
      </c>
      <c r="AC679">
        <v>18364.36</v>
      </c>
      <c r="AD679">
        <v>15445.81</v>
      </c>
      <c r="AE679">
        <v>2918.55</v>
      </c>
      <c r="AF679" t="s">
        <v>33</v>
      </c>
      <c r="AG679" t="s">
        <v>34</v>
      </c>
      <c r="AH679" t="str">
        <f t="shared" si="167"/>
        <v>Completed</v>
      </c>
      <c r="AI679" t="str">
        <f t="shared" si="168"/>
        <v>Valid</v>
      </c>
      <c r="AJ679">
        <f t="shared" si="169"/>
        <v>2918.5500000000011</v>
      </c>
      <c r="AK679" s="12">
        <f t="shared" si="172"/>
        <v>0.15892467801763857</v>
      </c>
      <c r="AL679">
        <f t="shared" si="173"/>
        <v>6</v>
      </c>
      <c r="AM679">
        <f t="shared" si="174"/>
        <v>2024</v>
      </c>
      <c r="AN679" t="str">
        <f t="shared" si="175"/>
        <v>Clean</v>
      </c>
    </row>
    <row r="680" spans="1:40">
      <c r="A680" t="s">
        <v>3192</v>
      </c>
      <c r="B680" s="3" t="s">
        <v>3193</v>
      </c>
      <c r="C680" s="10">
        <v>45620</v>
      </c>
      <c r="D680" s="3" t="s">
        <v>3194</v>
      </c>
      <c r="E680" s="10">
        <v>45627</v>
      </c>
      <c r="F680" s="6" t="str">
        <f t="shared" si="160"/>
        <v>Valid</v>
      </c>
      <c r="G680" s="8">
        <f t="shared" si="161"/>
        <v>7</v>
      </c>
      <c r="H680" s="8" t="str">
        <f t="shared" si="162"/>
        <v>Valid</v>
      </c>
      <c r="I680" t="s">
        <v>3195</v>
      </c>
      <c r="J680" t="s">
        <v>365</v>
      </c>
      <c r="K680" t="s">
        <v>365</v>
      </c>
      <c r="L680" t="s">
        <v>107</v>
      </c>
      <c r="M680" s="3" t="str">
        <f t="shared" si="163"/>
        <v>Corporate</v>
      </c>
      <c r="N680" t="s">
        <v>61</v>
      </c>
      <c r="O680" s="3" t="str">
        <f t="shared" si="164"/>
        <v>South</v>
      </c>
      <c r="P680" t="s">
        <v>228</v>
      </c>
      <c r="Q680" t="s">
        <v>229</v>
      </c>
      <c r="R680" t="s">
        <v>44</v>
      </c>
      <c r="S680" s="3" t="str">
        <f t="shared" si="165"/>
        <v>Furniture</v>
      </c>
      <c r="T680" t="s">
        <v>45</v>
      </c>
      <c r="U680" t="s">
        <v>3196</v>
      </c>
      <c r="V680" t="s">
        <v>32</v>
      </c>
      <c r="W680" s="3" t="str">
        <f t="shared" si="166"/>
        <v>Second Class</v>
      </c>
      <c r="X680">
        <v>9</v>
      </c>
      <c r="Y680">
        <v>2763.61</v>
      </c>
      <c r="Z680">
        <v>0.15</v>
      </c>
      <c r="AA680">
        <f t="shared" si="170"/>
        <v>0.15</v>
      </c>
      <c r="AB680">
        <f t="shared" si="171"/>
        <v>21141.6165</v>
      </c>
      <c r="AC680">
        <v>21141.62</v>
      </c>
      <c r="AD680">
        <v>11676.33</v>
      </c>
      <c r="AE680">
        <v>9465.2900000000009</v>
      </c>
      <c r="AF680" t="s">
        <v>33</v>
      </c>
      <c r="AG680" t="s">
        <v>34</v>
      </c>
      <c r="AH680" t="str">
        <f t="shared" si="167"/>
        <v>Completed</v>
      </c>
      <c r="AI680" t="str">
        <f t="shared" si="168"/>
        <v>Valid</v>
      </c>
      <c r="AJ680">
        <f t="shared" si="169"/>
        <v>9465.2899999999991</v>
      </c>
      <c r="AK680" s="12">
        <f t="shared" si="172"/>
        <v>0.44770890627024662</v>
      </c>
      <c r="AL680">
        <f t="shared" si="173"/>
        <v>11</v>
      </c>
      <c r="AM680">
        <f t="shared" si="174"/>
        <v>2024</v>
      </c>
      <c r="AN680" t="str">
        <f t="shared" si="175"/>
        <v>Clean</v>
      </c>
    </row>
    <row r="681" spans="1:40">
      <c r="A681" t="s">
        <v>3197</v>
      </c>
      <c r="B681" s="3" t="s">
        <v>3198</v>
      </c>
      <c r="C681" s="10">
        <v>45885</v>
      </c>
      <c r="D681" s="3" t="s">
        <v>639</v>
      </c>
      <c r="E681" s="10">
        <v>45892</v>
      </c>
      <c r="F681" s="6" t="str">
        <f t="shared" si="160"/>
        <v>Valid</v>
      </c>
      <c r="G681" s="8">
        <f t="shared" si="161"/>
        <v>7</v>
      </c>
      <c r="H681" s="8" t="str">
        <f t="shared" si="162"/>
        <v>Valid</v>
      </c>
      <c r="I681" t="s">
        <v>3199</v>
      </c>
      <c r="J681" t="s">
        <v>179</v>
      </c>
      <c r="K681" t="s">
        <v>179</v>
      </c>
      <c r="L681" t="s">
        <v>107</v>
      </c>
      <c r="M681" s="3" t="str">
        <f t="shared" si="163"/>
        <v>Corporate</v>
      </c>
      <c r="N681" t="s">
        <v>26</v>
      </c>
      <c r="O681" s="3" t="str">
        <f t="shared" si="164"/>
        <v>North</v>
      </c>
      <c r="P681" t="s">
        <v>153</v>
      </c>
      <c r="Q681" t="s">
        <v>154</v>
      </c>
      <c r="R681" t="s">
        <v>85</v>
      </c>
      <c r="S681" s="3" t="str">
        <f t="shared" si="165"/>
        <v>Technology</v>
      </c>
      <c r="T681" t="s">
        <v>93</v>
      </c>
      <c r="U681" t="s">
        <v>3200</v>
      </c>
      <c r="V681" t="s">
        <v>47</v>
      </c>
      <c r="W681" s="3" t="str">
        <f t="shared" si="166"/>
        <v>Same Day</v>
      </c>
      <c r="X681">
        <v>4</v>
      </c>
      <c r="Y681">
        <v>1410.57</v>
      </c>
      <c r="Z681" t="s">
        <v>680</v>
      </c>
      <c r="AA681" t="str">
        <f t="shared" si="170"/>
        <v>70%</v>
      </c>
      <c r="AB681">
        <f t="shared" si="171"/>
        <v>1692.6840000000002</v>
      </c>
      <c r="AC681">
        <v>5360.17</v>
      </c>
      <c r="AD681">
        <v>3881.51</v>
      </c>
      <c r="AE681">
        <v>1478.66</v>
      </c>
      <c r="AF681" t="s">
        <v>123</v>
      </c>
      <c r="AG681" t="s">
        <v>77</v>
      </c>
      <c r="AH681" t="str">
        <f t="shared" si="167"/>
        <v>Cancelled</v>
      </c>
      <c r="AI681" t="str">
        <f t="shared" si="168"/>
        <v>Invalid - Discount Above Range</v>
      </c>
      <c r="AJ681">
        <f t="shared" si="169"/>
        <v>1478.6599999999999</v>
      </c>
      <c r="AK681" s="12">
        <f t="shared" si="172"/>
        <v>0.87355938852142501</v>
      </c>
      <c r="AL681">
        <f t="shared" si="173"/>
        <v>8</v>
      </c>
      <c r="AM681">
        <f t="shared" si="174"/>
        <v>2025</v>
      </c>
      <c r="AN681" t="str">
        <f t="shared" si="175"/>
        <v>Clean</v>
      </c>
    </row>
    <row r="682" spans="1:40">
      <c r="A682" t="s">
        <v>3201</v>
      </c>
      <c r="B682" s="3" t="s">
        <v>273</v>
      </c>
      <c r="C682" s="10">
        <v>45441</v>
      </c>
      <c r="D682" s="3" t="s">
        <v>576</v>
      </c>
      <c r="E682" s="10">
        <v>45448</v>
      </c>
      <c r="F682" s="6" t="str">
        <f t="shared" si="160"/>
        <v>Valid</v>
      </c>
      <c r="G682" s="8">
        <f t="shared" si="161"/>
        <v>7</v>
      </c>
      <c r="H682" s="8" t="str">
        <f t="shared" si="162"/>
        <v>Valid</v>
      </c>
      <c r="I682" t="s">
        <v>3202</v>
      </c>
      <c r="J682" t="s">
        <v>365</v>
      </c>
      <c r="K682" t="s">
        <v>365</v>
      </c>
      <c r="L682" t="s">
        <v>107</v>
      </c>
      <c r="M682" s="3" t="str">
        <f t="shared" si="163"/>
        <v>Corporate</v>
      </c>
      <c r="N682" t="s">
        <v>61</v>
      </c>
      <c r="O682" s="3" t="str">
        <f t="shared" si="164"/>
        <v>South</v>
      </c>
      <c r="P682" t="s">
        <v>338</v>
      </c>
      <c r="Q682" t="s">
        <v>339</v>
      </c>
      <c r="R682" t="s">
        <v>85</v>
      </c>
      <c r="S682" s="3" t="str">
        <f t="shared" si="165"/>
        <v>Technology</v>
      </c>
      <c r="T682" t="s">
        <v>86</v>
      </c>
      <c r="U682" t="s">
        <v>3203</v>
      </c>
      <c r="V682" t="s">
        <v>55</v>
      </c>
      <c r="W682" s="3" t="str">
        <f t="shared" si="166"/>
        <v>First Class</v>
      </c>
      <c r="X682">
        <v>4</v>
      </c>
      <c r="Y682">
        <v>3700.24</v>
      </c>
      <c r="Z682">
        <v>0</v>
      </c>
      <c r="AA682">
        <f t="shared" si="170"/>
        <v>0</v>
      </c>
      <c r="AB682">
        <f t="shared" si="171"/>
        <v>14800.96</v>
      </c>
      <c r="AC682">
        <v>14800.96</v>
      </c>
      <c r="AD682">
        <v>12048.39</v>
      </c>
      <c r="AE682">
        <v>2752.57</v>
      </c>
      <c r="AF682" t="s">
        <v>33</v>
      </c>
      <c r="AG682" t="s">
        <v>34</v>
      </c>
      <c r="AH682" t="str">
        <f t="shared" si="167"/>
        <v>Completed</v>
      </c>
      <c r="AI682" t="str">
        <f t="shared" si="168"/>
        <v>Valid</v>
      </c>
      <c r="AJ682">
        <f t="shared" si="169"/>
        <v>2752.5699999999997</v>
      </c>
      <c r="AK682" s="12">
        <f t="shared" si="172"/>
        <v>0.18597239638509933</v>
      </c>
      <c r="AL682">
        <f t="shared" si="173"/>
        <v>5</v>
      </c>
      <c r="AM682">
        <f t="shared" si="174"/>
        <v>2024</v>
      </c>
      <c r="AN682" t="str">
        <f t="shared" si="175"/>
        <v>Clean</v>
      </c>
    </row>
    <row r="683" spans="1:40">
      <c r="A683" t="s">
        <v>3204</v>
      </c>
      <c r="B683" s="3" t="s">
        <v>3205</v>
      </c>
      <c r="C683" s="10">
        <v>45477</v>
      </c>
      <c r="D683" s="3" t="s">
        <v>3206</v>
      </c>
      <c r="E683" s="10">
        <v>45483</v>
      </c>
      <c r="F683" s="6" t="str">
        <f t="shared" si="160"/>
        <v>Valid</v>
      </c>
      <c r="G683" s="8">
        <f t="shared" si="161"/>
        <v>6</v>
      </c>
      <c r="H683" s="8" t="str">
        <f t="shared" si="162"/>
        <v>Valid</v>
      </c>
      <c r="I683" t="s">
        <v>3207</v>
      </c>
      <c r="J683" t="s">
        <v>82</v>
      </c>
      <c r="K683" t="s">
        <v>82</v>
      </c>
      <c r="L683" t="s">
        <v>107</v>
      </c>
      <c r="M683" s="3" t="str">
        <f t="shared" si="163"/>
        <v>Corporate</v>
      </c>
      <c r="N683" t="s">
        <v>26</v>
      </c>
      <c r="O683" s="3" t="str">
        <f t="shared" si="164"/>
        <v>North</v>
      </c>
      <c r="P683" t="s">
        <v>505</v>
      </c>
      <c r="Q683" t="s">
        <v>506</v>
      </c>
      <c r="R683" t="s">
        <v>44</v>
      </c>
      <c r="S683" s="3" t="str">
        <f t="shared" si="165"/>
        <v>Furniture</v>
      </c>
      <c r="T683" t="s">
        <v>45</v>
      </c>
      <c r="U683" t="s">
        <v>3208</v>
      </c>
      <c r="V683" t="s">
        <v>32</v>
      </c>
      <c r="W683" s="3" t="str">
        <f t="shared" si="166"/>
        <v>Second Class</v>
      </c>
      <c r="X683">
        <v>5</v>
      </c>
      <c r="Y683">
        <v>1200.27</v>
      </c>
      <c r="Z683">
        <v>0</v>
      </c>
      <c r="AA683">
        <f t="shared" si="170"/>
        <v>0</v>
      </c>
      <c r="AB683">
        <f t="shared" si="171"/>
        <v>6001.35</v>
      </c>
      <c r="AC683">
        <v>6001.35</v>
      </c>
      <c r="AD683">
        <v>4182.99</v>
      </c>
      <c r="AE683">
        <v>1818.36</v>
      </c>
      <c r="AF683" t="s">
        <v>33</v>
      </c>
      <c r="AG683" t="s">
        <v>77</v>
      </c>
      <c r="AH683" t="str">
        <f t="shared" si="167"/>
        <v>Cancelled</v>
      </c>
      <c r="AI683" t="str">
        <f t="shared" si="168"/>
        <v>Valid</v>
      </c>
      <c r="AJ683">
        <f t="shared" si="169"/>
        <v>1818.3600000000006</v>
      </c>
      <c r="AK683" s="12">
        <f t="shared" si="172"/>
        <v>0.30299182683896131</v>
      </c>
      <c r="AL683">
        <f t="shared" si="173"/>
        <v>7</v>
      </c>
      <c r="AM683">
        <f t="shared" si="174"/>
        <v>2024</v>
      </c>
      <c r="AN683" t="str">
        <f t="shared" si="175"/>
        <v>Clean</v>
      </c>
    </row>
    <row r="684" spans="1:40">
      <c r="A684" t="s">
        <v>3209</v>
      </c>
      <c r="B684" s="3" t="s">
        <v>343</v>
      </c>
      <c r="C684" s="10">
        <v>45693</v>
      </c>
      <c r="D684" s="3" t="s">
        <v>2882</v>
      </c>
      <c r="E684" s="10">
        <v>45693</v>
      </c>
      <c r="F684" s="6" t="str">
        <f t="shared" si="160"/>
        <v>Valid</v>
      </c>
      <c r="G684" s="8">
        <f t="shared" si="161"/>
        <v>0</v>
      </c>
      <c r="H684" s="8" t="str">
        <f t="shared" si="162"/>
        <v>Valid</v>
      </c>
      <c r="I684" t="s">
        <v>3210</v>
      </c>
      <c r="J684" t="s">
        <v>3211</v>
      </c>
      <c r="K684" t="s">
        <v>3211</v>
      </c>
      <c r="L684" t="s">
        <v>107</v>
      </c>
      <c r="M684" s="3" t="str">
        <f t="shared" si="163"/>
        <v>Corporate</v>
      </c>
      <c r="N684" t="s">
        <v>26</v>
      </c>
      <c r="O684" s="3" t="str">
        <f t="shared" si="164"/>
        <v>North</v>
      </c>
      <c r="P684" t="s">
        <v>322</v>
      </c>
      <c r="Q684" t="s">
        <v>323</v>
      </c>
      <c r="R684" t="s">
        <v>29</v>
      </c>
      <c r="S684" s="3" t="str">
        <f t="shared" si="165"/>
        <v>Office Supplies</v>
      </c>
      <c r="T684" t="s">
        <v>155</v>
      </c>
      <c r="U684" t="s">
        <v>3212</v>
      </c>
      <c r="V684" t="s">
        <v>47</v>
      </c>
      <c r="W684" s="3" t="str">
        <f t="shared" si="166"/>
        <v>Same Day</v>
      </c>
      <c r="X684">
        <v>3</v>
      </c>
      <c r="Y684">
        <v>2590.7800000000002</v>
      </c>
      <c r="AA684">
        <f t="shared" si="170"/>
        <v>0</v>
      </c>
      <c r="AB684">
        <f t="shared" si="171"/>
        <v>7772.34</v>
      </c>
      <c r="AC684">
        <v>7383.72</v>
      </c>
      <c r="AD684">
        <v>4113.66</v>
      </c>
      <c r="AE684">
        <v>3270.06</v>
      </c>
      <c r="AF684" t="s">
        <v>33</v>
      </c>
      <c r="AG684" t="s">
        <v>34</v>
      </c>
      <c r="AH684" t="str">
        <f t="shared" si="167"/>
        <v>Completed</v>
      </c>
      <c r="AI684" t="str">
        <f t="shared" si="168"/>
        <v>Valid</v>
      </c>
      <c r="AJ684">
        <f t="shared" si="169"/>
        <v>3270.0600000000004</v>
      </c>
      <c r="AK684" s="12">
        <f t="shared" si="172"/>
        <v>0.42073043639367297</v>
      </c>
      <c r="AL684">
        <f t="shared" si="173"/>
        <v>2</v>
      </c>
      <c r="AM684">
        <f t="shared" si="174"/>
        <v>2025</v>
      </c>
      <c r="AN684" t="str">
        <f t="shared" si="175"/>
        <v>Clean</v>
      </c>
    </row>
    <row r="685" spans="1:40">
      <c r="A685" t="s">
        <v>3213</v>
      </c>
      <c r="B685" s="3" t="s">
        <v>3214</v>
      </c>
      <c r="C685" s="10">
        <v>45858</v>
      </c>
      <c r="D685" s="3" t="s">
        <v>1728</v>
      </c>
      <c r="E685" s="10">
        <v>45862</v>
      </c>
      <c r="F685" s="6" t="str">
        <f t="shared" si="160"/>
        <v>Valid</v>
      </c>
      <c r="G685" s="8">
        <f t="shared" si="161"/>
        <v>4</v>
      </c>
      <c r="H685" s="8" t="str">
        <f t="shared" si="162"/>
        <v>Valid</v>
      </c>
      <c r="I685" t="s">
        <v>3215</v>
      </c>
      <c r="J685" t="s">
        <v>60</v>
      </c>
      <c r="K685" t="s">
        <v>60</v>
      </c>
      <c r="L685" t="s">
        <v>40</v>
      </c>
      <c r="M685" s="3" t="str">
        <f t="shared" si="163"/>
        <v>Small Business</v>
      </c>
      <c r="N685" t="s">
        <v>61</v>
      </c>
      <c r="O685" s="3" t="str">
        <f t="shared" si="164"/>
        <v>South</v>
      </c>
      <c r="P685" t="s">
        <v>62</v>
      </c>
      <c r="Q685" t="s">
        <v>63</v>
      </c>
      <c r="R685" t="s">
        <v>44</v>
      </c>
      <c r="S685" s="3" t="str">
        <f t="shared" si="165"/>
        <v>Furniture</v>
      </c>
      <c r="T685" t="s">
        <v>64</v>
      </c>
      <c r="U685" t="s">
        <v>3216</v>
      </c>
      <c r="V685" t="s">
        <v>32</v>
      </c>
      <c r="W685" s="3" t="str">
        <f t="shared" si="166"/>
        <v>Second Class</v>
      </c>
      <c r="X685">
        <v>6</v>
      </c>
      <c r="Y685">
        <v>1646.45</v>
      </c>
      <c r="Z685">
        <v>0.2</v>
      </c>
      <c r="AA685">
        <f t="shared" si="170"/>
        <v>0.2</v>
      </c>
      <c r="AB685">
        <f t="shared" si="171"/>
        <v>7902.9600000000009</v>
      </c>
      <c r="AC685">
        <v>7902.96</v>
      </c>
      <c r="AD685">
        <v>5512.03</v>
      </c>
      <c r="AE685">
        <v>2390.9299999999998</v>
      </c>
      <c r="AF685" t="s">
        <v>123</v>
      </c>
      <c r="AG685" t="s">
        <v>77</v>
      </c>
      <c r="AH685" t="str">
        <f t="shared" si="167"/>
        <v>Cancelled</v>
      </c>
      <c r="AI685" t="str">
        <f t="shared" si="168"/>
        <v>Valid</v>
      </c>
      <c r="AJ685">
        <f t="shared" si="169"/>
        <v>2390.9300000000003</v>
      </c>
      <c r="AK685" s="12">
        <f t="shared" si="172"/>
        <v>0.30253601182341805</v>
      </c>
      <c r="AL685">
        <f t="shared" si="173"/>
        <v>7</v>
      </c>
      <c r="AM685">
        <f t="shared" si="174"/>
        <v>2025</v>
      </c>
      <c r="AN685" t="str">
        <f t="shared" si="175"/>
        <v>Clean</v>
      </c>
    </row>
    <row r="686" spans="1:40">
      <c r="A686" t="s">
        <v>3217</v>
      </c>
      <c r="B686" s="3" t="s">
        <v>3218</v>
      </c>
      <c r="C686" s="10">
        <v>45859</v>
      </c>
      <c r="D686" s="3" t="s">
        <v>493</v>
      </c>
      <c r="E686" s="10">
        <v>45859</v>
      </c>
      <c r="F686" s="6" t="str">
        <f t="shared" si="160"/>
        <v>Valid</v>
      </c>
      <c r="G686" s="8">
        <f t="shared" si="161"/>
        <v>0</v>
      </c>
      <c r="H686" s="8" t="str">
        <f t="shared" si="162"/>
        <v>Valid</v>
      </c>
      <c r="I686" t="s">
        <v>3219</v>
      </c>
      <c r="J686" t="s">
        <v>52</v>
      </c>
      <c r="K686" t="s">
        <v>52</v>
      </c>
      <c r="L686" t="s">
        <v>114</v>
      </c>
      <c r="M686" s="3" t="str">
        <f t="shared" si="163"/>
        <v>Home Office</v>
      </c>
      <c r="N686" t="s">
        <v>61</v>
      </c>
      <c r="O686" s="3" t="str">
        <f t="shared" si="164"/>
        <v>South</v>
      </c>
      <c r="P686" t="s">
        <v>338</v>
      </c>
      <c r="Q686" t="s">
        <v>339</v>
      </c>
      <c r="R686" t="s">
        <v>44</v>
      </c>
      <c r="S686" s="3" t="str">
        <f t="shared" si="165"/>
        <v>Furniture</v>
      </c>
      <c r="T686" t="s">
        <v>203</v>
      </c>
      <c r="U686" t="s">
        <v>3220</v>
      </c>
      <c r="V686" t="s">
        <v>55</v>
      </c>
      <c r="W686" s="3" t="str">
        <f t="shared" si="166"/>
        <v>First Class</v>
      </c>
      <c r="X686">
        <v>7</v>
      </c>
      <c r="Y686">
        <v>4396.6499999999996</v>
      </c>
      <c r="Z686">
        <v>0.2</v>
      </c>
      <c r="AA686">
        <f t="shared" si="170"/>
        <v>0.2</v>
      </c>
      <c r="AB686">
        <f t="shared" si="171"/>
        <v>24621.239999999998</v>
      </c>
      <c r="AC686">
        <v>24621.24</v>
      </c>
      <c r="AD686">
        <v>17155.48</v>
      </c>
      <c r="AE686">
        <v>7465.76</v>
      </c>
      <c r="AF686" t="s">
        <v>123</v>
      </c>
      <c r="AG686" t="s">
        <v>77</v>
      </c>
      <c r="AH686" t="str">
        <f t="shared" si="167"/>
        <v>Cancelled</v>
      </c>
      <c r="AI686" t="str">
        <f t="shared" si="168"/>
        <v>Valid</v>
      </c>
      <c r="AJ686">
        <f t="shared" si="169"/>
        <v>7465.760000000002</v>
      </c>
      <c r="AK686" s="12">
        <f t="shared" si="172"/>
        <v>0.30322437050286671</v>
      </c>
      <c r="AL686">
        <f t="shared" si="173"/>
        <v>7</v>
      </c>
      <c r="AM686">
        <f t="shared" si="174"/>
        <v>2025</v>
      </c>
      <c r="AN686" t="str">
        <f t="shared" si="175"/>
        <v>Clean</v>
      </c>
    </row>
    <row r="687" spans="1:40">
      <c r="A687" t="s">
        <v>3221</v>
      </c>
      <c r="B687" s="3" t="s">
        <v>3222</v>
      </c>
      <c r="C687" s="10">
        <v>45931</v>
      </c>
      <c r="D687" s="3" t="s">
        <v>498</v>
      </c>
      <c r="E687" s="10">
        <v>45933</v>
      </c>
      <c r="F687" s="6" t="str">
        <f t="shared" si="160"/>
        <v>Valid</v>
      </c>
      <c r="G687" s="8">
        <f t="shared" si="161"/>
        <v>2</v>
      </c>
      <c r="H687" s="8" t="str">
        <f t="shared" si="162"/>
        <v>Valid</v>
      </c>
      <c r="I687" t="s">
        <v>2733</v>
      </c>
      <c r="J687" t="s">
        <v>92</v>
      </c>
      <c r="K687" t="s">
        <v>92</v>
      </c>
      <c r="L687" t="s">
        <v>107</v>
      </c>
      <c r="M687" s="3" t="str">
        <f t="shared" si="163"/>
        <v>Corporate</v>
      </c>
      <c r="N687" t="s">
        <v>72</v>
      </c>
      <c r="O687" s="3" t="str">
        <f t="shared" si="164"/>
        <v>West</v>
      </c>
      <c r="P687" t="s">
        <v>248</v>
      </c>
      <c r="Q687" t="s">
        <v>249</v>
      </c>
      <c r="R687" t="s">
        <v>29</v>
      </c>
      <c r="S687" s="3" t="str">
        <f t="shared" si="165"/>
        <v>Office Supplies</v>
      </c>
      <c r="T687" t="s">
        <v>53</v>
      </c>
      <c r="U687" t="s">
        <v>3223</v>
      </c>
      <c r="V687" t="s">
        <v>66</v>
      </c>
      <c r="W687" s="3" t="str">
        <f t="shared" si="166"/>
        <v>Standard Class</v>
      </c>
      <c r="X687">
        <v>9</v>
      </c>
      <c r="Y687">
        <v>818.15</v>
      </c>
      <c r="Z687">
        <v>0.55000000000000004</v>
      </c>
      <c r="AA687">
        <f t="shared" si="170"/>
        <v>0.55000000000000004</v>
      </c>
      <c r="AB687">
        <f t="shared" si="171"/>
        <v>3313.5074999999993</v>
      </c>
      <c r="AC687">
        <v>6627.01</v>
      </c>
      <c r="AD687">
        <v>5606.79</v>
      </c>
      <c r="AE687">
        <v>1020.22</v>
      </c>
      <c r="AF687" t="s">
        <v>199</v>
      </c>
      <c r="AG687" t="s">
        <v>77</v>
      </c>
      <c r="AH687" t="str">
        <f t="shared" si="167"/>
        <v>Cancelled</v>
      </c>
      <c r="AI687" t="str">
        <f t="shared" si="168"/>
        <v>Valid</v>
      </c>
      <c r="AJ687">
        <f t="shared" si="169"/>
        <v>1020.2200000000003</v>
      </c>
      <c r="AK687" s="12">
        <f t="shared" si="172"/>
        <v>0.30789729614313549</v>
      </c>
      <c r="AL687">
        <f t="shared" si="173"/>
        <v>10</v>
      </c>
      <c r="AM687">
        <f t="shared" si="174"/>
        <v>2025</v>
      </c>
      <c r="AN687" t="str">
        <f t="shared" si="175"/>
        <v>Clean</v>
      </c>
    </row>
    <row r="688" spans="1:40">
      <c r="A688" t="s">
        <v>3224</v>
      </c>
      <c r="B688" s="3" t="s">
        <v>3225</v>
      </c>
      <c r="C688" s="10">
        <v>45376</v>
      </c>
      <c r="D688" s="3" t="s">
        <v>2169</v>
      </c>
      <c r="E688" s="10">
        <v>45384</v>
      </c>
      <c r="F688" s="6" t="str">
        <f t="shared" si="160"/>
        <v>Valid</v>
      </c>
      <c r="G688" s="8">
        <f t="shared" si="161"/>
        <v>8</v>
      </c>
      <c r="H688" s="8" t="str">
        <f t="shared" si="162"/>
        <v>Valid</v>
      </c>
      <c r="I688" t="s">
        <v>3226</v>
      </c>
      <c r="J688" t="s">
        <v>167</v>
      </c>
      <c r="K688" t="s">
        <v>167</v>
      </c>
      <c r="L688" t="s">
        <v>114</v>
      </c>
      <c r="M688" s="3" t="str">
        <f t="shared" si="163"/>
        <v>Home Office</v>
      </c>
      <c r="N688" t="s">
        <v>61</v>
      </c>
      <c r="O688" s="3" t="str">
        <f t="shared" si="164"/>
        <v>South</v>
      </c>
      <c r="P688" t="s">
        <v>338</v>
      </c>
      <c r="Q688" t="s">
        <v>339</v>
      </c>
      <c r="R688" t="s">
        <v>85</v>
      </c>
      <c r="S688" s="3" t="str">
        <f t="shared" si="165"/>
        <v>Technology</v>
      </c>
      <c r="T688" t="s">
        <v>93</v>
      </c>
      <c r="U688" t="s">
        <v>3227</v>
      </c>
      <c r="V688" t="s">
        <v>66</v>
      </c>
      <c r="W688" s="3" t="str">
        <f t="shared" si="166"/>
        <v>Standard Class</v>
      </c>
      <c r="X688">
        <v>2</v>
      </c>
      <c r="Y688">
        <v>2349.13</v>
      </c>
      <c r="Z688">
        <v>0</v>
      </c>
      <c r="AA688">
        <f t="shared" si="170"/>
        <v>0</v>
      </c>
      <c r="AB688">
        <f t="shared" si="171"/>
        <v>4698.26</v>
      </c>
      <c r="AC688">
        <v>4698.26</v>
      </c>
      <c r="AD688">
        <v>2654.92</v>
      </c>
      <c r="AE688">
        <v>2043.34</v>
      </c>
      <c r="AF688" t="s">
        <v>33</v>
      </c>
      <c r="AG688" t="s">
        <v>34</v>
      </c>
      <c r="AH688" t="str">
        <f t="shared" si="167"/>
        <v>Completed</v>
      </c>
      <c r="AI688" t="str">
        <f t="shared" si="168"/>
        <v>Valid</v>
      </c>
      <c r="AJ688">
        <f t="shared" si="169"/>
        <v>2043.3400000000001</v>
      </c>
      <c r="AK688" s="12">
        <f t="shared" si="172"/>
        <v>0.43491420227914163</v>
      </c>
      <c r="AL688">
        <f t="shared" si="173"/>
        <v>3</v>
      </c>
      <c r="AM688">
        <f t="shared" si="174"/>
        <v>2024</v>
      </c>
      <c r="AN688" t="str">
        <f t="shared" si="175"/>
        <v>Clean</v>
      </c>
    </row>
    <row r="689" spans="1:40">
      <c r="A689" t="s">
        <v>3228</v>
      </c>
      <c r="B689" s="3" t="s">
        <v>1190</v>
      </c>
      <c r="C689" s="10">
        <v>45938</v>
      </c>
      <c r="D689" s="3" t="s">
        <v>3229</v>
      </c>
      <c r="E689" s="10">
        <v>45943</v>
      </c>
      <c r="F689" s="6" t="str">
        <f t="shared" si="160"/>
        <v>Valid</v>
      </c>
      <c r="G689" s="8">
        <f t="shared" si="161"/>
        <v>5</v>
      </c>
      <c r="H689" s="8" t="str">
        <f t="shared" si="162"/>
        <v>Valid</v>
      </c>
      <c r="I689" t="s">
        <v>3230</v>
      </c>
      <c r="J689" t="s">
        <v>39</v>
      </c>
      <c r="K689" t="s">
        <v>39</v>
      </c>
      <c r="L689" t="s">
        <v>114</v>
      </c>
      <c r="M689" s="3" t="str">
        <f t="shared" si="163"/>
        <v>Home Office</v>
      </c>
      <c r="N689" t="s">
        <v>26</v>
      </c>
      <c r="O689" s="3" t="str">
        <f t="shared" si="164"/>
        <v>North</v>
      </c>
      <c r="P689" t="s">
        <v>153</v>
      </c>
      <c r="Q689" t="s">
        <v>154</v>
      </c>
      <c r="R689" t="s">
        <v>44</v>
      </c>
      <c r="S689" s="3" t="str">
        <f t="shared" si="165"/>
        <v>Furniture</v>
      </c>
      <c r="T689" t="s">
        <v>45</v>
      </c>
      <c r="U689" t="s">
        <v>3231</v>
      </c>
      <c r="V689" t="s">
        <v>55</v>
      </c>
      <c r="W689" s="3" t="str">
        <f t="shared" si="166"/>
        <v>First Class</v>
      </c>
      <c r="X689">
        <v>4</v>
      </c>
      <c r="Y689">
        <v>172.05</v>
      </c>
      <c r="Z689">
        <v>0</v>
      </c>
      <c r="AA689">
        <f t="shared" si="170"/>
        <v>0</v>
      </c>
      <c r="AB689">
        <f t="shared" si="171"/>
        <v>688.2</v>
      </c>
      <c r="AC689">
        <v>688.2</v>
      </c>
      <c r="AD689">
        <v>497.68</v>
      </c>
      <c r="AE689">
        <v>190.52</v>
      </c>
      <c r="AF689" t="s">
        <v>199</v>
      </c>
      <c r="AG689" t="s">
        <v>77</v>
      </c>
      <c r="AH689" t="str">
        <f t="shared" si="167"/>
        <v>Cancelled</v>
      </c>
      <c r="AI689" t="str">
        <f t="shared" si="168"/>
        <v>Valid</v>
      </c>
      <c r="AJ689">
        <f t="shared" si="169"/>
        <v>190.52000000000004</v>
      </c>
      <c r="AK689" s="12">
        <f t="shared" si="172"/>
        <v>0.27683812845103173</v>
      </c>
      <c r="AL689">
        <f t="shared" si="173"/>
        <v>10</v>
      </c>
      <c r="AM689">
        <f t="shared" si="174"/>
        <v>2025</v>
      </c>
      <c r="AN689" t="str">
        <f t="shared" si="175"/>
        <v>Clean</v>
      </c>
    </row>
    <row r="690" spans="1:40">
      <c r="A690" t="s">
        <v>3232</v>
      </c>
      <c r="B690" s="3" t="s">
        <v>1161</v>
      </c>
      <c r="C690" s="10">
        <v>45714</v>
      </c>
      <c r="D690" s="3" t="s">
        <v>3233</v>
      </c>
      <c r="E690" s="10">
        <v>45715</v>
      </c>
      <c r="F690" s="6" t="str">
        <f t="shared" si="160"/>
        <v>Valid</v>
      </c>
      <c r="G690" s="8">
        <f t="shared" si="161"/>
        <v>1</v>
      </c>
      <c r="H690" s="8" t="str">
        <f t="shared" si="162"/>
        <v>Valid</v>
      </c>
      <c r="I690" t="s">
        <v>3234</v>
      </c>
      <c r="J690" t="s">
        <v>92</v>
      </c>
      <c r="K690" t="s">
        <v>92</v>
      </c>
      <c r="L690" t="s">
        <v>114</v>
      </c>
      <c r="M690" s="3" t="str">
        <f t="shared" si="163"/>
        <v>Home Office</v>
      </c>
      <c r="N690" t="s">
        <v>26</v>
      </c>
      <c r="O690" s="3" t="str">
        <f t="shared" si="164"/>
        <v>North</v>
      </c>
      <c r="P690" t="s">
        <v>322</v>
      </c>
      <c r="Q690" t="s">
        <v>323</v>
      </c>
      <c r="R690" t="s">
        <v>29</v>
      </c>
      <c r="S690" s="3" t="str">
        <f t="shared" si="165"/>
        <v>Office Supplies</v>
      </c>
      <c r="T690" t="s">
        <v>53</v>
      </c>
      <c r="U690" t="s">
        <v>3235</v>
      </c>
      <c r="V690" t="s">
        <v>32</v>
      </c>
      <c r="W690" s="3" t="str">
        <f t="shared" si="166"/>
        <v>Second Class</v>
      </c>
      <c r="X690">
        <v>6</v>
      </c>
      <c r="Y690">
        <v>3037.66</v>
      </c>
      <c r="Z690">
        <v>0.15</v>
      </c>
      <c r="AA690">
        <f t="shared" si="170"/>
        <v>0.15</v>
      </c>
      <c r="AB690">
        <f t="shared" si="171"/>
        <v>15492.065999999999</v>
      </c>
      <c r="AC690">
        <v>15492.07</v>
      </c>
      <c r="AD690">
        <v>12581.23</v>
      </c>
      <c r="AE690">
        <v>2910.84</v>
      </c>
      <c r="AF690" t="s">
        <v>33</v>
      </c>
      <c r="AG690" t="s">
        <v>34</v>
      </c>
      <c r="AH690" t="str">
        <f t="shared" si="167"/>
        <v>Completed</v>
      </c>
      <c r="AI690" t="str">
        <f t="shared" si="168"/>
        <v>Valid</v>
      </c>
      <c r="AJ690">
        <f t="shared" si="169"/>
        <v>2910.84</v>
      </c>
      <c r="AK690" s="12">
        <f t="shared" si="172"/>
        <v>0.1878923056485817</v>
      </c>
      <c r="AL690">
        <f t="shared" si="173"/>
        <v>2</v>
      </c>
      <c r="AM690">
        <f t="shared" si="174"/>
        <v>2025</v>
      </c>
      <c r="AN690" t="str">
        <f t="shared" si="175"/>
        <v>Clean</v>
      </c>
    </row>
    <row r="691" spans="1:40">
      <c r="A691" t="s">
        <v>3236</v>
      </c>
      <c r="B691" s="3" t="s">
        <v>3237</v>
      </c>
      <c r="C691" s="10">
        <v>45570</v>
      </c>
      <c r="D691" s="3" t="s">
        <v>3238</v>
      </c>
      <c r="E691" s="10">
        <v>45571</v>
      </c>
      <c r="F691" s="6" t="str">
        <f t="shared" si="160"/>
        <v>Valid</v>
      </c>
      <c r="G691" s="8">
        <f t="shared" si="161"/>
        <v>1</v>
      </c>
      <c r="H691" s="8" t="str">
        <f t="shared" si="162"/>
        <v>Valid</v>
      </c>
      <c r="I691" t="s">
        <v>3239</v>
      </c>
      <c r="J691" t="s">
        <v>179</v>
      </c>
      <c r="K691" t="s">
        <v>179</v>
      </c>
      <c r="L691" t="s">
        <v>40</v>
      </c>
      <c r="M691" s="3" t="str">
        <f t="shared" si="163"/>
        <v>Small Business</v>
      </c>
      <c r="N691" t="s">
        <v>26</v>
      </c>
      <c r="O691" s="3" t="str">
        <f t="shared" si="164"/>
        <v>North</v>
      </c>
      <c r="P691" t="s">
        <v>153</v>
      </c>
      <c r="Q691" t="s">
        <v>154</v>
      </c>
      <c r="R691" t="s">
        <v>44</v>
      </c>
      <c r="S691" s="3" t="str">
        <f t="shared" si="165"/>
        <v>Furniture</v>
      </c>
      <c r="T691" t="s">
        <v>45</v>
      </c>
      <c r="U691" t="s">
        <v>3240</v>
      </c>
      <c r="V691" t="s">
        <v>66</v>
      </c>
      <c r="W691" s="3" t="str">
        <f t="shared" si="166"/>
        <v>Standard Class</v>
      </c>
      <c r="X691">
        <v>9</v>
      </c>
      <c r="Y691">
        <v>489.58</v>
      </c>
      <c r="Z691">
        <v>0.15</v>
      </c>
      <c r="AA691">
        <f t="shared" si="170"/>
        <v>0.15</v>
      </c>
      <c r="AB691">
        <f t="shared" si="171"/>
        <v>3745.2870000000003</v>
      </c>
      <c r="AC691">
        <v>3745.29</v>
      </c>
      <c r="AD691">
        <v>2302.65</v>
      </c>
      <c r="AE691">
        <v>1442.64</v>
      </c>
      <c r="AF691" t="s">
        <v>199</v>
      </c>
      <c r="AG691" t="s">
        <v>77</v>
      </c>
      <c r="AH691" t="str">
        <f t="shared" si="167"/>
        <v>Cancelled</v>
      </c>
      <c r="AI691" t="str">
        <f t="shared" si="168"/>
        <v>Valid</v>
      </c>
      <c r="AJ691">
        <f t="shared" si="169"/>
        <v>1442.6399999999999</v>
      </c>
      <c r="AK691" s="12">
        <f t="shared" si="172"/>
        <v>0.38518810440962198</v>
      </c>
      <c r="AL691">
        <f t="shared" si="173"/>
        <v>10</v>
      </c>
      <c r="AM691">
        <f t="shared" si="174"/>
        <v>2024</v>
      </c>
      <c r="AN691" t="str">
        <f t="shared" si="175"/>
        <v>Clean</v>
      </c>
    </row>
    <row r="692" spans="1:40">
      <c r="A692" t="s">
        <v>3241</v>
      </c>
      <c r="B692" s="3" t="s">
        <v>876</v>
      </c>
      <c r="C692" s="10">
        <v>45546</v>
      </c>
      <c r="D692" s="3" t="s">
        <v>3242</v>
      </c>
      <c r="E692" s="10">
        <v>45550</v>
      </c>
      <c r="F692" s="6" t="str">
        <f t="shared" si="160"/>
        <v>Valid</v>
      </c>
      <c r="G692" s="8">
        <f t="shared" si="161"/>
        <v>4</v>
      </c>
      <c r="H692" s="8" t="str">
        <f t="shared" si="162"/>
        <v>Valid</v>
      </c>
      <c r="I692" t="s">
        <v>3243</v>
      </c>
      <c r="J692" t="s">
        <v>167</v>
      </c>
      <c r="K692" t="s">
        <v>167</v>
      </c>
      <c r="L692" t="s">
        <v>107</v>
      </c>
      <c r="M692" s="3" t="str">
        <f t="shared" si="163"/>
        <v>Corporate</v>
      </c>
      <c r="N692" t="s">
        <v>61</v>
      </c>
      <c r="O692" s="3" t="str">
        <f t="shared" si="164"/>
        <v>South</v>
      </c>
      <c r="P692" t="s">
        <v>338</v>
      </c>
      <c r="Q692" t="s">
        <v>339</v>
      </c>
      <c r="R692" t="s">
        <v>29</v>
      </c>
      <c r="S692" s="3" t="str">
        <f t="shared" si="165"/>
        <v>Office Supplies</v>
      </c>
      <c r="T692" t="s">
        <v>53</v>
      </c>
      <c r="U692" t="s">
        <v>3244</v>
      </c>
      <c r="V692" t="s">
        <v>66</v>
      </c>
      <c r="W692" s="3" t="str">
        <f t="shared" si="166"/>
        <v>Standard Class</v>
      </c>
      <c r="X692">
        <v>4</v>
      </c>
      <c r="Y692">
        <v>865.63</v>
      </c>
      <c r="Z692">
        <v>0</v>
      </c>
      <c r="AA692">
        <f t="shared" si="170"/>
        <v>0</v>
      </c>
      <c r="AB692">
        <f t="shared" si="171"/>
        <v>3462.52</v>
      </c>
      <c r="AC692">
        <v>3462.52</v>
      </c>
      <c r="AD692">
        <v>2797.29</v>
      </c>
      <c r="AE692">
        <v>665.23</v>
      </c>
      <c r="AF692" t="s">
        <v>199</v>
      </c>
      <c r="AG692" t="s">
        <v>124</v>
      </c>
      <c r="AH692" t="str">
        <f t="shared" si="167"/>
        <v>Returned</v>
      </c>
      <c r="AI692" t="str">
        <f t="shared" si="168"/>
        <v>Valid</v>
      </c>
      <c r="AJ692">
        <f t="shared" si="169"/>
        <v>665.23</v>
      </c>
      <c r="AK692" s="12">
        <f t="shared" si="172"/>
        <v>0.19212307798944123</v>
      </c>
      <c r="AL692">
        <f t="shared" si="173"/>
        <v>9</v>
      </c>
      <c r="AM692">
        <f t="shared" si="174"/>
        <v>2024</v>
      </c>
      <c r="AN692" t="str">
        <f t="shared" si="175"/>
        <v>Clean</v>
      </c>
    </row>
    <row r="693" spans="1:40">
      <c r="A693" t="s">
        <v>3245</v>
      </c>
      <c r="B693" s="3" t="s">
        <v>2460</v>
      </c>
      <c r="C693" s="10">
        <v>45641</v>
      </c>
      <c r="D693" s="3" t="s">
        <v>3246</v>
      </c>
      <c r="E693" s="10">
        <v>45642</v>
      </c>
      <c r="F693" s="6" t="str">
        <f t="shared" si="160"/>
        <v>Valid</v>
      </c>
      <c r="G693" s="8">
        <f t="shared" si="161"/>
        <v>1</v>
      </c>
      <c r="H693" s="8" t="str">
        <f t="shared" si="162"/>
        <v>Valid</v>
      </c>
      <c r="I693" t="s">
        <v>3247</v>
      </c>
      <c r="J693" t="s">
        <v>179</v>
      </c>
      <c r="K693" t="s">
        <v>179</v>
      </c>
      <c r="L693" t="s">
        <v>25</v>
      </c>
      <c r="M693" s="3" t="str">
        <f t="shared" si="163"/>
        <v>Consumer</v>
      </c>
      <c r="N693" t="s">
        <v>41</v>
      </c>
      <c r="O693" s="3" t="str">
        <f t="shared" si="164"/>
        <v>East</v>
      </c>
      <c r="P693" t="s">
        <v>42</v>
      </c>
      <c r="Q693" t="s">
        <v>43</v>
      </c>
      <c r="R693" t="s">
        <v>85</v>
      </c>
      <c r="S693" s="3" t="str">
        <f t="shared" si="165"/>
        <v>Technology</v>
      </c>
      <c r="T693" t="s">
        <v>93</v>
      </c>
      <c r="U693" t="s">
        <v>3248</v>
      </c>
      <c r="V693" t="s">
        <v>32</v>
      </c>
      <c r="W693" s="3" t="str">
        <f t="shared" si="166"/>
        <v>Second Class</v>
      </c>
      <c r="X693">
        <v>6</v>
      </c>
      <c r="Y693">
        <v>1538.1</v>
      </c>
      <c r="Z693">
        <v>0.05</v>
      </c>
      <c r="AA693">
        <f t="shared" si="170"/>
        <v>0.05</v>
      </c>
      <c r="AB693">
        <f t="shared" si="171"/>
        <v>8767.1699999999983</v>
      </c>
      <c r="AC693">
        <v>8767.17</v>
      </c>
      <c r="AD693">
        <v>5098.2</v>
      </c>
      <c r="AE693">
        <v>3668.97</v>
      </c>
      <c r="AF693" t="s">
        <v>33</v>
      </c>
      <c r="AG693" t="s">
        <v>34</v>
      </c>
      <c r="AH693" t="str">
        <f t="shared" si="167"/>
        <v>Completed</v>
      </c>
      <c r="AI693" t="str">
        <f t="shared" si="168"/>
        <v>Valid</v>
      </c>
      <c r="AJ693">
        <f t="shared" si="169"/>
        <v>3668.9700000000003</v>
      </c>
      <c r="AK693" s="12">
        <f t="shared" si="172"/>
        <v>0.41848966085977585</v>
      </c>
      <c r="AL693">
        <f t="shared" si="173"/>
        <v>12</v>
      </c>
      <c r="AM693">
        <f t="shared" si="174"/>
        <v>2024</v>
      </c>
      <c r="AN693" t="str">
        <f t="shared" si="175"/>
        <v>Clean</v>
      </c>
    </row>
    <row r="694" spans="1:40">
      <c r="A694" t="s">
        <v>3249</v>
      </c>
      <c r="B694" s="3" t="s">
        <v>226</v>
      </c>
      <c r="C694" s="10">
        <v>45935</v>
      </c>
      <c r="D694" s="3" t="s">
        <v>3250</v>
      </c>
      <c r="E694" s="10">
        <v>45940</v>
      </c>
      <c r="F694" s="6" t="str">
        <f t="shared" si="160"/>
        <v>Valid</v>
      </c>
      <c r="G694" s="8">
        <f t="shared" si="161"/>
        <v>5</v>
      </c>
      <c r="H694" s="8" t="str">
        <f t="shared" si="162"/>
        <v>Valid</v>
      </c>
      <c r="I694" t="s">
        <v>3251</v>
      </c>
      <c r="J694" t="s">
        <v>52</v>
      </c>
      <c r="K694" t="s">
        <v>52</v>
      </c>
      <c r="L694" t="s">
        <v>1780</v>
      </c>
      <c r="M694" s="3" t="str">
        <f t="shared" si="163"/>
        <v>Corporate</v>
      </c>
      <c r="N694" t="s">
        <v>61</v>
      </c>
      <c r="O694" s="3" t="str">
        <f t="shared" si="164"/>
        <v>South</v>
      </c>
      <c r="P694" t="s">
        <v>228</v>
      </c>
      <c r="Q694" t="s">
        <v>229</v>
      </c>
      <c r="R694" t="s">
        <v>44</v>
      </c>
      <c r="S694" s="3" t="str">
        <f t="shared" si="165"/>
        <v>Furniture</v>
      </c>
      <c r="T694" t="s">
        <v>64</v>
      </c>
      <c r="U694" t="s">
        <v>3252</v>
      </c>
      <c r="V694" t="s">
        <v>32</v>
      </c>
      <c r="W694" s="3" t="str">
        <f t="shared" si="166"/>
        <v>Second Class</v>
      </c>
      <c r="X694">
        <v>4</v>
      </c>
      <c r="Y694">
        <v>2365.6799999999998</v>
      </c>
      <c r="Z694">
        <v>0.1</v>
      </c>
      <c r="AA694">
        <f t="shared" si="170"/>
        <v>0.1</v>
      </c>
      <c r="AB694">
        <f t="shared" si="171"/>
        <v>8516.4480000000003</v>
      </c>
      <c r="AC694">
        <v>8516.4500000000007</v>
      </c>
      <c r="AD694">
        <v>5903.81</v>
      </c>
      <c r="AE694">
        <v>2612.64</v>
      </c>
      <c r="AF694" t="s">
        <v>33</v>
      </c>
      <c r="AG694" t="s">
        <v>34</v>
      </c>
      <c r="AH694" t="str">
        <f t="shared" si="167"/>
        <v>Completed</v>
      </c>
      <c r="AI694" t="str">
        <f t="shared" si="168"/>
        <v>Valid</v>
      </c>
      <c r="AJ694">
        <f t="shared" si="169"/>
        <v>2612.6400000000003</v>
      </c>
      <c r="AK694" s="12">
        <f t="shared" si="172"/>
        <v>0.30677578257977978</v>
      </c>
      <c r="AL694">
        <f t="shared" si="173"/>
        <v>10</v>
      </c>
      <c r="AM694">
        <f t="shared" si="174"/>
        <v>2025</v>
      </c>
      <c r="AN694" t="str">
        <f t="shared" si="175"/>
        <v>Clean</v>
      </c>
    </row>
    <row r="695" spans="1:40">
      <c r="A695" t="s">
        <v>3253</v>
      </c>
      <c r="B695" s="3" t="s">
        <v>3254</v>
      </c>
      <c r="C695" s="10">
        <v>45750</v>
      </c>
      <c r="D695" s="3" t="s">
        <v>2497</v>
      </c>
      <c r="E695" s="10">
        <v>45758</v>
      </c>
      <c r="F695" s="6" t="str">
        <f t="shared" si="160"/>
        <v>Valid</v>
      </c>
      <c r="G695" s="8">
        <f t="shared" si="161"/>
        <v>8</v>
      </c>
      <c r="H695" s="8" t="str">
        <f t="shared" si="162"/>
        <v>Valid</v>
      </c>
      <c r="I695" t="s">
        <v>3255</v>
      </c>
      <c r="J695" t="s">
        <v>60</v>
      </c>
      <c r="K695" t="s">
        <v>60</v>
      </c>
      <c r="L695" t="s">
        <v>25</v>
      </c>
      <c r="M695" s="3" t="str">
        <f t="shared" si="163"/>
        <v>Consumer</v>
      </c>
      <c r="N695" t="s">
        <v>61</v>
      </c>
      <c r="O695" s="3" t="str">
        <f t="shared" si="164"/>
        <v>South</v>
      </c>
      <c r="P695" t="s">
        <v>338</v>
      </c>
      <c r="Q695" t="s">
        <v>339</v>
      </c>
      <c r="R695" t="s">
        <v>44</v>
      </c>
      <c r="S695" s="3" t="str">
        <f t="shared" si="165"/>
        <v>Furniture</v>
      </c>
      <c r="T695" t="s">
        <v>203</v>
      </c>
      <c r="U695" t="s">
        <v>3256</v>
      </c>
      <c r="V695" t="s">
        <v>32</v>
      </c>
      <c r="W695" s="3" t="str">
        <f t="shared" si="166"/>
        <v>Second Class</v>
      </c>
      <c r="X695">
        <v>3</v>
      </c>
      <c r="Y695">
        <v>4149.7700000000004</v>
      </c>
      <c r="Z695">
        <v>0.05</v>
      </c>
      <c r="AA695">
        <f t="shared" si="170"/>
        <v>0.05</v>
      </c>
      <c r="AB695">
        <f t="shared" si="171"/>
        <v>11826.844500000001</v>
      </c>
      <c r="AC695">
        <v>11826.84</v>
      </c>
      <c r="AD695">
        <v>8035.96</v>
      </c>
      <c r="AE695">
        <v>3790.88</v>
      </c>
      <c r="AF695" t="s">
        <v>33</v>
      </c>
      <c r="AG695" t="s">
        <v>34</v>
      </c>
      <c r="AH695" t="str">
        <f t="shared" si="167"/>
        <v>Completed</v>
      </c>
      <c r="AI695" t="str">
        <f t="shared" si="168"/>
        <v>Valid</v>
      </c>
      <c r="AJ695">
        <f t="shared" si="169"/>
        <v>3790.88</v>
      </c>
      <c r="AK695" s="12">
        <f t="shared" si="172"/>
        <v>0.3205318206390555</v>
      </c>
      <c r="AL695">
        <f t="shared" si="173"/>
        <v>4</v>
      </c>
      <c r="AM695">
        <f t="shared" si="174"/>
        <v>2025</v>
      </c>
      <c r="AN695" t="str">
        <f t="shared" si="175"/>
        <v>Clean</v>
      </c>
    </row>
    <row r="696" spans="1:40">
      <c r="A696" t="s">
        <v>3257</v>
      </c>
      <c r="B696" s="3" t="s">
        <v>1729</v>
      </c>
      <c r="C696" s="10">
        <v>45870</v>
      </c>
      <c r="D696" s="3" t="s">
        <v>3078</v>
      </c>
      <c r="E696" s="10">
        <v>45878</v>
      </c>
      <c r="F696" s="6" t="str">
        <f t="shared" si="160"/>
        <v>Valid</v>
      </c>
      <c r="G696" s="8">
        <f t="shared" si="161"/>
        <v>8</v>
      </c>
      <c r="H696" s="8" t="str">
        <f t="shared" si="162"/>
        <v>Valid</v>
      </c>
      <c r="I696" t="s">
        <v>1737</v>
      </c>
      <c r="J696" t="s">
        <v>52</v>
      </c>
      <c r="K696" t="s">
        <v>52</v>
      </c>
      <c r="L696" t="s">
        <v>25</v>
      </c>
      <c r="M696" s="3" t="str">
        <f t="shared" si="163"/>
        <v>Consumer</v>
      </c>
      <c r="N696" t="s">
        <v>61</v>
      </c>
      <c r="O696" s="3" t="str">
        <f t="shared" si="164"/>
        <v>South</v>
      </c>
      <c r="P696" t="s">
        <v>99</v>
      </c>
      <c r="Q696" t="s">
        <v>100</v>
      </c>
      <c r="R696" t="s">
        <v>29</v>
      </c>
      <c r="S696" s="3" t="str">
        <f t="shared" si="165"/>
        <v>Office Supplies</v>
      </c>
      <c r="T696" t="s">
        <v>155</v>
      </c>
      <c r="U696" t="s">
        <v>3258</v>
      </c>
      <c r="V696" t="s">
        <v>55</v>
      </c>
      <c r="W696" s="3" t="str">
        <f t="shared" si="166"/>
        <v>First Class</v>
      </c>
      <c r="X696">
        <v>5</v>
      </c>
      <c r="Y696">
        <v>2736.24</v>
      </c>
      <c r="Z696">
        <v>0.15</v>
      </c>
      <c r="AA696">
        <f t="shared" si="170"/>
        <v>0.15</v>
      </c>
      <c r="AB696">
        <f t="shared" si="171"/>
        <v>11629.019999999999</v>
      </c>
      <c r="AC696">
        <v>11629.02</v>
      </c>
      <c r="AD696">
        <v>9627.2099999999991</v>
      </c>
      <c r="AE696">
        <v>2001.81</v>
      </c>
      <c r="AF696" t="s">
        <v>33</v>
      </c>
      <c r="AG696" t="s">
        <v>34</v>
      </c>
      <c r="AH696" t="str">
        <f t="shared" si="167"/>
        <v>Completed</v>
      </c>
      <c r="AI696" t="str">
        <f t="shared" si="168"/>
        <v>Valid</v>
      </c>
      <c r="AJ696">
        <f t="shared" si="169"/>
        <v>2001.8100000000013</v>
      </c>
      <c r="AK696" s="12">
        <f t="shared" si="172"/>
        <v>0.17213918283741894</v>
      </c>
      <c r="AL696">
        <f t="shared" si="173"/>
        <v>8</v>
      </c>
      <c r="AM696">
        <f t="shared" si="174"/>
        <v>2025</v>
      </c>
      <c r="AN696" t="str">
        <f t="shared" si="175"/>
        <v>Clean</v>
      </c>
    </row>
    <row r="697" spans="1:40">
      <c r="A697" t="s">
        <v>3259</v>
      </c>
      <c r="B697" s="3" t="s">
        <v>3260</v>
      </c>
      <c r="C697" s="10">
        <v>45474</v>
      </c>
      <c r="D697" s="3" t="s">
        <v>2104</v>
      </c>
      <c r="E697" s="10">
        <v>45474</v>
      </c>
      <c r="F697" s="6" t="str">
        <f t="shared" si="160"/>
        <v>Valid</v>
      </c>
      <c r="G697" s="8">
        <f t="shared" si="161"/>
        <v>0</v>
      </c>
      <c r="H697" s="8" t="str">
        <f t="shared" si="162"/>
        <v>Valid</v>
      </c>
      <c r="I697" t="s">
        <v>3261</v>
      </c>
      <c r="J697" t="s">
        <v>161</v>
      </c>
      <c r="K697" t="s">
        <v>161</v>
      </c>
      <c r="L697" t="s">
        <v>25</v>
      </c>
      <c r="M697" s="3" t="str">
        <f t="shared" si="163"/>
        <v>Consumer</v>
      </c>
      <c r="N697" t="s">
        <v>72</v>
      </c>
      <c r="O697" s="3" t="str">
        <f t="shared" si="164"/>
        <v>West</v>
      </c>
      <c r="P697" t="s">
        <v>83</v>
      </c>
      <c r="Q697" t="s">
        <v>84</v>
      </c>
      <c r="R697" t="s">
        <v>85</v>
      </c>
      <c r="S697" s="3" t="str">
        <f t="shared" si="165"/>
        <v>Technology</v>
      </c>
      <c r="T697" t="s">
        <v>381</v>
      </c>
      <c r="U697" t="s">
        <v>3262</v>
      </c>
      <c r="V697" t="s">
        <v>66</v>
      </c>
      <c r="W697" s="3" t="str">
        <f t="shared" si="166"/>
        <v>Standard Class</v>
      </c>
      <c r="X697">
        <v>4</v>
      </c>
      <c r="Y697">
        <v>257.39</v>
      </c>
      <c r="Z697">
        <v>0</v>
      </c>
      <c r="AA697">
        <f t="shared" si="170"/>
        <v>0</v>
      </c>
      <c r="AB697">
        <f t="shared" si="171"/>
        <v>1029.56</v>
      </c>
      <c r="AC697">
        <v>1029.56</v>
      </c>
      <c r="AD697">
        <v>626.33000000000004</v>
      </c>
      <c r="AE697">
        <v>403.23</v>
      </c>
      <c r="AF697" t="s">
        <v>33</v>
      </c>
      <c r="AG697" t="s">
        <v>34</v>
      </c>
      <c r="AH697" t="str">
        <f t="shared" si="167"/>
        <v>Completed</v>
      </c>
      <c r="AI697" t="str">
        <f t="shared" si="168"/>
        <v>Valid</v>
      </c>
      <c r="AJ697">
        <f t="shared" si="169"/>
        <v>403.2299999999999</v>
      </c>
      <c r="AK697" s="12">
        <f t="shared" si="172"/>
        <v>0.39165274486188267</v>
      </c>
      <c r="AL697">
        <f t="shared" si="173"/>
        <v>7</v>
      </c>
      <c r="AM697">
        <f t="shared" si="174"/>
        <v>2024</v>
      </c>
      <c r="AN697" t="str">
        <f t="shared" si="175"/>
        <v>Clean</v>
      </c>
    </row>
    <row r="698" spans="1:40">
      <c r="A698" t="s">
        <v>3263</v>
      </c>
      <c r="B698" s="3" t="s">
        <v>3264</v>
      </c>
      <c r="C698" s="10">
        <v>45922</v>
      </c>
      <c r="D698" s="3" t="s">
        <v>3265</v>
      </c>
      <c r="E698" s="10">
        <v>45925</v>
      </c>
      <c r="F698" s="6" t="str">
        <f t="shared" si="160"/>
        <v>Valid</v>
      </c>
      <c r="G698" s="8">
        <f t="shared" si="161"/>
        <v>3</v>
      </c>
      <c r="H698" s="8" t="str">
        <f t="shared" si="162"/>
        <v>Valid</v>
      </c>
      <c r="I698" t="s">
        <v>3266</v>
      </c>
      <c r="J698" t="s">
        <v>52</v>
      </c>
      <c r="K698" t="s">
        <v>52</v>
      </c>
      <c r="L698" t="s">
        <v>40</v>
      </c>
      <c r="M698" s="3" t="str">
        <f t="shared" si="163"/>
        <v>Small Business</v>
      </c>
      <c r="N698" t="s">
        <v>61</v>
      </c>
      <c r="O698" s="3" t="str">
        <f t="shared" si="164"/>
        <v>South</v>
      </c>
      <c r="P698" t="s">
        <v>241</v>
      </c>
      <c r="Q698" t="s">
        <v>242</v>
      </c>
      <c r="R698" t="s">
        <v>85</v>
      </c>
      <c r="S698" s="3" t="str">
        <f t="shared" si="165"/>
        <v>Technology</v>
      </c>
      <c r="T698" t="s">
        <v>222</v>
      </c>
      <c r="U698" t="s">
        <v>3267</v>
      </c>
      <c r="W698" s="3" t="str">
        <f t="shared" si="166"/>
        <v>Unknown</v>
      </c>
      <c r="X698">
        <v>4</v>
      </c>
      <c r="Y698">
        <v>1178.8399999999999</v>
      </c>
      <c r="Z698">
        <v>0.25</v>
      </c>
      <c r="AA698">
        <f t="shared" si="170"/>
        <v>0.25</v>
      </c>
      <c r="AB698">
        <f t="shared" si="171"/>
        <v>3536.5199999999995</v>
      </c>
      <c r="AC698">
        <v>3536.52</v>
      </c>
      <c r="AD698">
        <v>2102.41</v>
      </c>
      <c r="AE698">
        <v>1363.28</v>
      </c>
      <c r="AF698" t="s">
        <v>33</v>
      </c>
      <c r="AG698" t="s">
        <v>34</v>
      </c>
      <c r="AH698" t="str">
        <f t="shared" si="167"/>
        <v>Completed</v>
      </c>
      <c r="AI698" t="str">
        <f t="shared" si="168"/>
        <v>Valid</v>
      </c>
      <c r="AJ698">
        <f t="shared" si="169"/>
        <v>1434.1100000000001</v>
      </c>
      <c r="AK698" s="12">
        <f t="shared" si="172"/>
        <v>0.40551446054313289</v>
      </c>
      <c r="AL698">
        <f t="shared" si="173"/>
        <v>9</v>
      </c>
      <c r="AM698">
        <f t="shared" si="174"/>
        <v>2025</v>
      </c>
      <c r="AN698" t="str">
        <f t="shared" si="175"/>
        <v>Clean</v>
      </c>
    </row>
    <row r="699" spans="1:40">
      <c r="A699" t="s">
        <v>3268</v>
      </c>
      <c r="B699" s="3" t="s">
        <v>2322</v>
      </c>
      <c r="C699" s="10">
        <v>45717</v>
      </c>
      <c r="D699" s="3" t="s">
        <v>786</v>
      </c>
      <c r="E699" s="10">
        <v>45723</v>
      </c>
      <c r="F699" s="6" t="str">
        <f t="shared" si="160"/>
        <v>Valid</v>
      </c>
      <c r="G699" s="8">
        <f t="shared" si="161"/>
        <v>6</v>
      </c>
      <c r="H699" s="8" t="str">
        <f t="shared" si="162"/>
        <v>Valid</v>
      </c>
      <c r="I699" t="s">
        <v>3269</v>
      </c>
      <c r="J699" t="s">
        <v>60</v>
      </c>
      <c r="K699" t="s">
        <v>60</v>
      </c>
      <c r="L699" t="s">
        <v>107</v>
      </c>
      <c r="M699" s="3" t="str">
        <f t="shared" si="163"/>
        <v>Corporate</v>
      </c>
      <c r="N699" t="s">
        <v>61</v>
      </c>
      <c r="O699" s="3" t="str">
        <f t="shared" si="164"/>
        <v>South</v>
      </c>
      <c r="P699" t="s">
        <v>99</v>
      </c>
      <c r="Q699" t="s">
        <v>100</v>
      </c>
      <c r="R699" t="s">
        <v>29</v>
      </c>
      <c r="S699" s="3" t="str">
        <f t="shared" si="165"/>
        <v>Office Supplies</v>
      </c>
      <c r="T699" t="s">
        <v>108</v>
      </c>
      <c r="U699" t="s">
        <v>3270</v>
      </c>
      <c r="V699" t="s">
        <v>55</v>
      </c>
      <c r="W699" s="3" t="str">
        <f t="shared" si="166"/>
        <v>First Class</v>
      </c>
      <c r="X699">
        <v>7</v>
      </c>
      <c r="Y699">
        <v>567.15</v>
      </c>
      <c r="AA699">
        <f t="shared" si="170"/>
        <v>0</v>
      </c>
      <c r="AB699">
        <f t="shared" si="171"/>
        <v>3970.0499999999997</v>
      </c>
      <c r="AC699">
        <v>2977.54</v>
      </c>
      <c r="AD699">
        <v>1849.3</v>
      </c>
      <c r="AE699">
        <v>1128.24</v>
      </c>
      <c r="AF699" t="s">
        <v>123</v>
      </c>
      <c r="AG699" t="s">
        <v>124</v>
      </c>
      <c r="AH699" t="str">
        <f t="shared" si="167"/>
        <v>Returned</v>
      </c>
      <c r="AI699" t="str">
        <f t="shared" si="168"/>
        <v>Valid</v>
      </c>
      <c r="AJ699">
        <f t="shared" si="169"/>
        <v>1128.24</v>
      </c>
      <c r="AK699" s="12">
        <f t="shared" si="172"/>
        <v>0.28418785657611367</v>
      </c>
      <c r="AL699">
        <f t="shared" si="173"/>
        <v>3</v>
      </c>
      <c r="AM699">
        <f t="shared" si="174"/>
        <v>2025</v>
      </c>
      <c r="AN699" t="str">
        <f t="shared" si="175"/>
        <v>Clean</v>
      </c>
    </row>
    <row r="700" spans="1:40">
      <c r="A700" t="s">
        <v>3271</v>
      </c>
      <c r="B700" s="3" t="s">
        <v>3272</v>
      </c>
      <c r="C700" s="10">
        <v>45549</v>
      </c>
      <c r="D700" s="3" t="s">
        <v>1740</v>
      </c>
      <c r="E700" s="10">
        <v>45549</v>
      </c>
      <c r="F700" s="6" t="str">
        <f t="shared" si="160"/>
        <v>Valid</v>
      </c>
      <c r="G700" s="8">
        <f t="shared" si="161"/>
        <v>0</v>
      </c>
      <c r="H700" s="8" t="str">
        <f t="shared" si="162"/>
        <v>Valid</v>
      </c>
      <c r="I700" t="s">
        <v>3273</v>
      </c>
      <c r="J700" t="s">
        <v>39</v>
      </c>
      <c r="K700" t="s">
        <v>39</v>
      </c>
      <c r="L700" t="s">
        <v>107</v>
      </c>
      <c r="M700" s="3" t="str">
        <f t="shared" si="163"/>
        <v>Corporate</v>
      </c>
      <c r="N700" t="s">
        <v>26</v>
      </c>
      <c r="O700" s="3" t="str">
        <f t="shared" si="164"/>
        <v>North</v>
      </c>
      <c r="P700" t="s">
        <v>27</v>
      </c>
      <c r="Q700" t="s">
        <v>28</v>
      </c>
      <c r="R700" t="s">
        <v>85</v>
      </c>
      <c r="S700" s="3" t="str">
        <f t="shared" si="165"/>
        <v>Technology</v>
      </c>
      <c r="T700" t="s">
        <v>381</v>
      </c>
      <c r="U700" t="s">
        <v>3274</v>
      </c>
      <c r="V700" t="s">
        <v>66</v>
      </c>
      <c r="W700" s="3" t="str">
        <f t="shared" si="166"/>
        <v>Standard Class</v>
      </c>
      <c r="X700">
        <v>8</v>
      </c>
      <c r="Y700">
        <v>4081.66</v>
      </c>
      <c r="Z700">
        <v>0.15</v>
      </c>
      <c r="AA700">
        <f t="shared" si="170"/>
        <v>0.15</v>
      </c>
      <c r="AB700">
        <f t="shared" si="171"/>
        <v>27755.287999999997</v>
      </c>
      <c r="AC700">
        <v>28208.1</v>
      </c>
      <c r="AD700">
        <v>23751.91</v>
      </c>
      <c r="AE700">
        <v>4003.38</v>
      </c>
      <c r="AF700" t="s">
        <v>33</v>
      </c>
      <c r="AG700" t="s">
        <v>124</v>
      </c>
      <c r="AH700" t="str">
        <f t="shared" si="167"/>
        <v>Returned</v>
      </c>
      <c r="AI700" t="str">
        <f t="shared" si="168"/>
        <v>Valid</v>
      </c>
      <c r="AJ700">
        <f t="shared" si="169"/>
        <v>4456.1899999999987</v>
      </c>
      <c r="AK700" s="12">
        <f t="shared" si="172"/>
        <v>0.16055282870781235</v>
      </c>
      <c r="AL700">
        <f t="shared" si="173"/>
        <v>9</v>
      </c>
      <c r="AM700">
        <f t="shared" si="174"/>
        <v>2024</v>
      </c>
      <c r="AN700" t="str">
        <f t="shared" si="175"/>
        <v>Clean</v>
      </c>
    </row>
    <row r="701" spans="1:40">
      <c r="A701" t="s">
        <v>3275</v>
      </c>
      <c r="B701" s="3" t="s">
        <v>3276</v>
      </c>
      <c r="C701" s="10">
        <v>45454</v>
      </c>
      <c r="D701" s="3" t="s">
        <v>3277</v>
      </c>
      <c r="E701" s="10">
        <v>45454</v>
      </c>
      <c r="F701" s="6" t="str">
        <f t="shared" si="160"/>
        <v>Valid</v>
      </c>
      <c r="G701" s="8">
        <f t="shared" si="161"/>
        <v>0</v>
      </c>
      <c r="H701" s="8" t="str">
        <f t="shared" si="162"/>
        <v>Valid</v>
      </c>
      <c r="I701" t="s">
        <v>3278</v>
      </c>
      <c r="J701" t="s">
        <v>60</v>
      </c>
      <c r="K701" t="s">
        <v>60</v>
      </c>
      <c r="L701" t="s">
        <v>40</v>
      </c>
      <c r="M701" s="3" t="str">
        <f t="shared" si="163"/>
        <v>Small Business</v>
      </c>
      <c r="N701" t="s">
        <v>61</v>
      </c>
      <c r="O701" s="3" t="str">
        <f t="shared" si="164"/>
        <v>South</v>
      </c>
      <c r="P701" t="s">
        <v>228</v>
      </c>
      <c r="Q701" t="s">
        <v>229</v>
      </c>
      <c r="R701" t="s">
        <v>44</v>
      </c>
      <c r="S701" s="3" t="str">
        <f t="shared" si="165"/>
        <v>Furniture</v>
      </c>
      <c r="T701" t="s">
        <v>203</v>
      </c>
      <c r="U701" t="s">
        <v>3279</v>
      </c>
      <c r="V701" t="s">
        <v>66</v>
      </c>
      <c r="W701" s="3" t="str">
        <f t="shared" si="166"/>
        <v>Standard Class</v>
      </c>
      <c r="X701">
        <v>9</v>
      </c>
      <c r="Y701">
        <v>1400.11</v>
      </c>
      <c r="Z701">
        <v>0.25</v>
      </c>
      <c r="AA701">
        <f t="shared" si="170"/>
        <v>0.25</v>
      </c>
      <c r="AB701">
        <f t="shared" si="171"/>
        <v>9450.7425000000003</v>
      </c>
      <c r="AC701">
        <v>9450.74</v>
      </c>
      <c r="AD701">
        <v>7798.56</v>
      </c>
      <c r="AE701">
        <v>1652.18</v>
      </c>
      <c r="AF701" t="s">
        <v>33</v>
      </c>
      <c r="AG701" t="s">
        <v>34</v>
      </c>
      <c r="AH701" t="str">
        <f t="shared" si="167"/>
        <v>Completed</v>
      </c>
      <c r="AI701" t="str">
        <f t="shared" si="168"/>
        <v>Valid</v>
      </c>
      <c r="AJ701">
        <f t="shared" si="169"/>
        <v>1652.1799999999994</v>
      </c>
      <c r="AK701" s="12">
        <f t="shared" si="172"/>
        <v>0.17482012656677498</v>
      </c>
      <c r="AL701">
        <f t="shared" si="173"/>
        <v>6</v>
      </c>
      <c r="AM701">
        <f t="shared" si="174"/>
        <v>2024</v>
      </c>
      <c r="AN701" t="str">
        <f t="shared" si="175"/>
        <v>Clean</v>
      </c>
    </row>
    <row r="702" spans="1:40">
      <c r="A702" t="s">
        <v>3280</v>
      </c>
      <c r="B702" s="3" t="s">
        <v>3281</v>
      </c>
      <c r="C702" s="10">
        <v>45553</v>
      </c>
      <c r="D702" s="3" t="s">
        <v>1133</v>
      </c>
      <c r="E702" s="10">
        <v>45556</v>
      </c>
      <c r="F702" s="6" t="str">
        <f t="shared" si="160"/>
        <v>Valid</v>
      </c>
      <c r="G702" s="8">
        <f t="shared" si="161"/>
        <v>3</v>
      </c>
      <c r="H702" s="8" t="str">
        <f t="shared" si="162"/>
        <v>Valid</v>
      </c>
      <c r="I702" t="s">
        <v>3282</v>
      </c>
      <c r="J702" t="s">
        <v>92</v>
      </c>
      <c r="K702" t="s">
        <v>92</v>
      </c>
      <c r="L702" t="s">
        <v>107</v>
      </c>
      <c r="M702" s="3" t="str">
        <f t="shared" si="163"/>
        <v>Corporate</v>
      </c>
      <c r="N702" t="s">
        <v>41</v>
      </c>
      <c r="O702" s="3" t="str">
        <f t="shared" si="164"/>
        <v>East</v>
      </c>
      <c r="P702" t="s">
        <v>120</v>
      </c>
      <c r="Q702" t="s">
        <v>121</v>
      </c>
      <c r="R702" t="s">
        <v>85</v>
      </c>
      <c r="S702" s="3" t="str">
        <f t="shared" si="165"/>
        <v>Technology</v>
      </c>
      <c r="T702" t="s">
        <v>381</v>
      </c>
      <c r="U702" t="s">
        <v>3283</v>
      </c>
      <c r="V702" t="s">
        <v>66</v>
      </c>
      <c r="W702" s="3" t="str">
        <f t="shared" si="166"/>
        <v>Standard Class</v>
      </c>
      <c r="X702">
        <v>3</v>
      </c>
      <c r="Y702">
        <v>3055.9</v>
      </c>
      <c r="Z702">
        <v>0.15</v>
      </c>
      <c r="AA702">
        <f t="shared" si="170"/>
        <v>0.15</v>
      </c>
      <c r="AB702">
        <f t="shared" si="171"/>
        <v>7792.5450000000001</v>
      </c>
      <c r="AC702">
        <v>7792.55</v>
      </c>
      <c r="AD702">
        <v>4691.7299999999996</v>
      </c>
      <c r="AE702">
        <v>3100.82</v>
      </c>
      <c r="AF702" t="s">
        <v>33</v>
      </c>
      <c r="AG702" t="s">
        <v>34</v>
      </c>
      <c r="AH702" t="str">
        <f t="shared" si="167"/>
        <v>Completed</v>
      </c>
      <c r="AI702" t="str">
        <f t="shared" si="168"/>
        <v>Valid</v>
      </c>
      <c r="AJ702">
        <f t="shared" si="169"/>
        <v>3100.8200000000006</v>
      </c>
      <c r="AK702" s="12">
        <f t="shared" si="172"/>
        <v>0.39792134662039175</v>
      </c>
      <c r="AL702">
        <f t="shared" si="173"/>
        <v>9</v>
      </c>
      <c r="AM702">
        <f t="shared" si="174"/>
        <v>2024</v>
      </c>
      <c r="AN702" t="str">
        <f t="shared" si="175"/>
        <v>Clean</v>
      </c>
    </row>
    <row r="703" spans="1:40">
      <c r="A703" t="s">
        <v>3284</v>
      </c>
      <c r="B703" s="3" t="s">
        <v>1621</v>
      </c>
      <c r="C703" s="10">
        <v>45412</v>
      </c>
      <c r="D703" s="3" t="s">
        <v>1292</v>
      </c>
      <c r="E703" s="10">
        <v>45416</v>
      </c>
      <c r="F703" s="6" t="str">
        <f t="shared" si="160"/>
        <v>Valid</v>
      </c>
      <c r="G703" s="8">
        <f t="shared" si="161"/>
        <v>4</v>
      </c>
      <c r="H703" s="8" t="str">
        <f t="shared" si="162"/>
        <v>Valid</v>
      </c>
      <c r="I703" t="s">
        <v>3285</v>
      </c>
      <c r="J703" t="s">
        <v>179</v>
      </c>
      <c r="K703" t="s">
        <v>179</v>
      </c>
      <c r="L703" t="s">
        <v>40</v>
      </c>
      <c r="M703" s="3" t="str">
        <f t="shared" si="163"/>
        <v>Small Business</v>
      </c>
      <c r="N703" t="s">
        <v>72</v>
      </c>
      <c r="O703" s="3" t="str">
        <f t="shared" si="164"/>
        <v>West</v>
      </c>
      <c r="P703" t="s">
        <v>234</v>
      </c>
      <c r="Q703" t="s">
        <v>235</v>
      </c>
      <c r="R703" t="s">
        <v>29</v>
      </c>
      <c r="S703" s="3" t="str">
        <f t="shared" si="165"/>
        <v>Office Supplies</v>
      </c>
      <c r="T703" t="s">
        <v>53</v>
      </c>
      <c r="U703" t="s">
        <v>3286</v>
      </c>
      <c r="V703" t="s">
        <v>47</v>
      </c>
      <c r="W703" s="3" t="str">
        <f t="shared" si="166"/>
        <v>Same Day</v>
      </c>
      <c r="X703">
        <v>7</v>
      </c>
      <c r="Y703">
        <v>1224.94</v>
      </c>
      <c r="Z703">
        <v>0</v>
      </c>
      <c r="AA703">
        <f t="shared" si="170"/>
        <v>0</v>
      </c>
      <c r="AB703">
        <f t="shared" si="171"/>
        <v>8574.58</v>
      </c>
      <c r="AC703">
        <v>8574.58</v>
      </c>
      <c r="AD703">
        <v>6685.81</v>
      </c>
      <c r="AE703">
        <v>1888.77</v>
      </c>
      <c r="AF703" t="s">
        <v>33</v>
      </c>
      <c r="AG703" t="s">
        <v>124</v>
      </c>
      <c r="AH703" t="str">
        <f t="shared" si="167"/>
        <v>Returned</v>
      </c>
      <c r="AI703" t="str">
        <f t="shared" si="168"/>
        <v>Valid</v>
      </c>
      <c r="AJ703">
        <f t="shared" si="169"/>
        <v>1888.7699999999995</v>
      </c>
      <c r="AK703" s="12">
        <f t="shared" si="172"/>
        <v>0.22027551203674112</v>
      </c>
      <c r="AL703">
        <f t="shared" si="173"/>
        <v>4</v>
      </c>
      <c r="AM703">
        <f t="shared" si="174"/>
        <v>2024</v>
      </c>
      <c r="AN703" t="str">
        <f t="shared" si="175"/>
        <v>Clean</v>
      </c>
    </row>
    <row r="704" spans="1:40">
      <c r="A704" t="s">
        <v>3287</v>
      </c>
      <c r="B704" s="3" t="s">
        <v>3288</v>
      </c>
      <c r="C704" s="10">
        <v>45690</v>
      </c>
      <c r="D704" s="3" t="s">
        <v>2883</v>
      </c>
      <c r="E704" s="10">
        <v>45694</v>
      </c>
      <c r="F704" s="6" t="str">
        <f t="shared" si="160"/>
        <v>Valid</v>
      </c>
      <c r="G704" s="8">
        <f t="shared" si="161"/>
        <v>4</v>
      </c>
      <c r="H704" s="8" t="str">
        <f t="shared" si="162"/>
        <v>Valid</v>
      </c>
      <c r="I704" t="s">
        <v>3289</v>
      </c>
      <c r="J704" t="s">
        <v>24</v>
      </c>
      <c r="K704" t="s">
        <v>24</v>
      </c>
      <c r="L704" t="s">
        <v>40</v>
      </c>
      <c r="M704" s="3" t="str">
        <f t="shared" si="163"/>
        <v>Small Business</v>
      </c>
      <c r="N704" t="s">
        <v>72</v>
      </c>
      <c r="O704" s="3" t="str">
        <f t="shared" si="164"/>
        <v>West</v>
      </c>
      <c r="P704" t="s">
        <v>27</v>
      </c>
      <c r="Q704" t="s">
        <v>134</v>
      </c>
      <c r="R704" t="s">
        <v>44</v>
      </c>
      <c r="S704" s="3" t="str">
        <f t="shared" si="165"/>
        <v>Furniture</v>
      </c>
      <c r="T704" t="s">
        <v>45</v>
      </c>
      <c r="U704" t="s">
        <v>3290</v>
      </c>
      <c r="V704" t="s">
        <v>32</v>
      </c>
      <c r="W704" s="3" t="str">
        <f t="shared" si="166"/>
        <v>Second Class</v>
      </c>
      <c r="X704">
        <v>3</v>
      </c>
      <c r="Y704">
        <v>997.34</v>
      </c>
      <c r="Z704">
        <v>0.1</v>
      </c>
      <c r="AA704">
        <f t="shared" si="170"/>
        <v>0.1</v>
      </c>
      <c r="AB704">
        <f t="shared" si="171"/>
        <v>2692.8180000000002</v>
      </c>
      <c r="AC704">
        <v>2692.82</v>
      </c>
      <c r="AD704">
        <v>1820.08</v>
      </c>
      <c r="AE704">
        <v>872.74</v>
      </c>
      <c r="AF704" t="s">
        <v>33</v>
      </c>
      <c r="AG704" t="s">
        <v>34</v>
      </c>
      <c r="AH704" t="str">
        <f t="shared" si="167"/>
        <v>Completed</v>
      </c>
      <c r="AI704" t="str">
        <f t="shared" si="168"/>
        <v>Valid</v>
      </c>
      <c r="AJ704">
        <f t="shared" si="169"/>
        <v>872.74000000000024</v>
      </c>
      <c r="AK704" s="12">
        <f t="shared" si="172"/>
        <v>0.32409914075143592</v>
      </c>
      <c r="AL704">
        <f t="shared" si="173"/>
        <v>2</v>
      </c>
      <c r="AM704">
        <f t="shared" si="174"/>
        <v>2025</v>
      </c>
      <c r="AN704" t="str">
        <f t="shared" si="175"/>
        <v>Clean</v>
      </c>
    </row>
    <row r="705" spans="1:40">
      <c r="A705" t="s">
        <v>3291</v>
      </c>
      <c r="B705" s="3" t="s">
        <v>3292</v>
      </c>
      <c r="C705" s="10">
        <v>45584</v>
      </c>
      <c r="D705" s="3" t="s">
        <v>2379</v>
      </c>
      <c r="E705" s="10">
        <v>45585</v>
      </c>
      <c r="F705" s="6" t="str">
        <f t="shared" si="160"/>
        <v>Valid</v>
      </c>
      <c r="G705" s="8">
        <f t="shared" si="161"/>
        <v>1</v>
      </c>
      <c r="H705" s="8" t="str">
        <f t="shared" si="162"/>
        <v>Valid</v>
      </c>
      <c r="I705" t="s">
        <v>3293</v>
      </c>
      <c r="J705" t="s">
        <v>106</v>
      </c>
      <c r="K705" t="s">
        <v>106</v>
      </c>
      <c r="L705" t="s">
        <v>107</v>
      </c>
      <c r="M705" s="3" t="str">
        <f t="shared" si="163"/>
        <v>Corporate</v>
      </c>
      <c r="N705" t="s">
        <v>26</v>
      </c>
      <c r="O705" s="3" t="str">
        <f t="shared" si="164"/>
        <v>North</v>
      </c>
      <c r="P705" t="s">
        <v>27</v>
      </c>
      <c r="Q705" t="s">
        <v>28</v>
      </c>
      <c r="R705" t="s">
        <v>44</v>
      </c>
      <c r="S705" s="3" t="str">
        <f t="shared" si="165"/>
        <v>Furniture</v>
      </c>
      <c r="T705" t="s">
        <v>45</v>
      </c>
      <c r="U705" t="s">
        <v>3294</v>
      </c>
      <c r="V705" t="s">
        <v>55</v>
      </c>
      <c r="W705" s="3" t="str">
        <f t="shared" si="166"/>
        <v>First Class</v>
      </c>
      <c r="X705">
        <v>1</v>
      </c>
      <c r="Y705">
        <v>1150.03</v>
      </c>
      <c r="Z705">
        <v>0.1</v>
      </c>
      <c r="AA705">
        <f t="shared" si="170"/>
        <v>0.1</v>
      </c>
      <c r="AB705">
        <f t="shared" si="171"/>
        <v>1035.027</v>
      </c>
      <c r="AC705">
        <v>1035.03</v>
      </c>
      <c r="AD705">
        <v>854.35</v>
      </c>
      <c r="AE705">
        <v>180.68</v>
      </c>
      <c r="AF705" t="s">
        <v>33</v>
      </c>
      <c r="AG705" t="s">
        <v>34</v>
      </c>
      <c r="AH705" t="str">
        <f t="shared" si="167"/>
        <v>Completed</v>
      </c>
      <c r="AI705" t="str">
        <f t="shared" si="168"/>
        <v>Valid</v>
      </c>
      <c r="AJ705">
        <f t="shared" si="169"/>
        <v>180.67999999999995</v>
      </c>
      <c r="AK705" s="12">
        <f t="shared" si="172"/>
        <v>0.17456549442671537</v>
      </c>
      <c r="AL705">
        <f t="shared" si="173"/>
        <v>10</v>
      </c>
      <c r="AM705">
        <f t="shared" si="174"/>
        <v>2024</v>
      </c>
      <c r="AN705" t="str">
        <f t="shared" si="175"/>
        <v>Clean</v>
      </c>
    </row>
    <row r="706" spans="1:40">
      <c r="A706" t="s">
        <v>3295</v>
      </c>
      <c r="B706" s="3" t="s">
        <v>1557</v>
      </c>
      <c r="C706" s="10">
        <v>45364</v>
      </c>
      <c r="D706" s="3" t="s">
        <v>3296</v>
      </c>
      <c r="E706" s="10">
        <v>45371</v>
      </c>
      <c r="F706" s="6" t="str">
        <f t="shared" ref="F706:F769" si="176">IF(E706&lt;C706,"Invalid Shipping Record","Valid")</f>
        <v>Valid</v>
      </c>
      <c r="G706" s="8">
        <f t="shared" ref="G706:G769" si="177">E706-C706</f>
        <v>7</v>
      </c>
      <c r="H706" s="8" t="str">
        <f t="shared" ref="H706:H769" si="178">IF(OR(C706="",E706=""),"Missing Date",IF(OR(NOT(ISNUMBER(C706)),NOT(ISNUMBER(E706))),"Invalid Date",IF(E706&lt;C706,"Invalid Shipping Record","Valid")))</f>
        <v>Valid</v>
      </c>
      <c r="I706" t="s">
        <v>3297</v>
      </c>
      <c r="J706" t="s">
        <v>141</v>
      </c>
      <c r="K706" t="s">
        <v>141</v>
      </c>
      <c r="L706" t="s">
        <v>114</v>
      </c>
      <c r="M706" s="3" t="str">
        <f t="shared" ref="M706:M769" si="179">PROPER(TRIM(L706))</f>
        <v>Home Office</v>
      </c>
      <c r="N706" t="s">
        <v>61</v>
      </c>
      <c r="O706" s="3" t="str">
        <f t="shared" ref="O706:O769" si="180">IF(TRIM(N706)="","Unknown",PROPER(TRIM(N706)))</f>
        <v>South</v>
      </c>
      <c r="P706" t="s">
        <v>338</v>
      </c>
      <c r="Q706" t="s">
        <v>339</v>
      </c>
      <c r="R706" t="s">
        <v>44</v>
      </c>
      <c r="S706" s="3" t="str">
        <f t="shared" ref="S706:S769" si="181">PROPER(TRIM(R706))</f>
        <v>Furniture</v>
      </c>
      <c r="T706" t="s">
        <v>203</v>
      </c>
      <c r="U706" t="s">
        <v>3298</v>
      </c>
      <c r="W706" s="3" t="str">
        <f t="shared" ref="W706:W769" si="182">IF(TRIM(V706)="","Unknown",PROPER(TRIM(V706)))</f>
        <v>Unknown</v>
      </c>
      <c r="X706">
        <v>1</v>
      </c>
      <c r="Y706">
        <v>2825.63</v>
      </c>
      <c r="Z706">
        <v>0.15</v>
      </c>
      <c r="AA706">
        <f t="shared" si="170"/>
        <v>0.15</v>
      </c>
      <c r="AB706">
        <f t="shared" si="171"/>
        <v>2401.7855</v>
      </c>
      <c r="AC706">
        <v>2401.79</v>
      </c>
      <c r="AD706">
        <v>1820.34</v>
      </c>
      <c r="AE706">
        <v>581.45000000000005</v>
      </c>
      <c r="AF706" t="s">
        <v>33</v>
      </c>
      <c r="AG706" t="s">
        <v>34</v>
      </c>
      <c r="AH706" t="str">
        <f t="shared" ref="AH706:AH769" si="183">PROPER(TRIM(AG706))</f>
        <v>Completed</v>
      </c>
      <c r="AI706" t="str">
        <f t="shared" ref="AI706:AI769" si="184">IF(Z706&lt;0,"Invalid - Negative Discount",IF(Z706&gt;1,"Invalid - Discount Above Range","Valid"))</f>
        <v>Valid</v>
      </c>
      <c r="AJ706">
        <f t="shared" ref="AJ706:AJ769" si="185">AC706-AD706</f>
        <v>581.45000000000005</v>
      </c>
      <c r="AK706" s="12">
        <f t="shared" si="172"/>
        <v>0.24209072791887537</v>
      </c>
      <c r="AL706">
        <f t="shared" si="173"/>
        <v>3</v>
      </c>
      <c r="AM706">
        <f t="shared" si="174"/>
        <v>2024</v>
      </c>
      <c r="AN706" t="str">
        <f t="shared" si="175"/>
        <v>Clean</v>
      </c>
    </row>
    <row r="707" spans="1:40">
      <c r="A707" t="s">
        <v>3299</v>
      </c>
      <c r="B707" s="3" t="s">
        <v>3300</v>
      </c>
      <c r="C707" s="10">
        <v>45543</v>
      </c>
      <c r="D707" s="3" t="s">
        <v>3301</v>
      </c>
      <c r="E707" s="10">
        <v>45549</v>
      </c>
      <c r="F707" s="6" t="str">
        <f t="shared" si="176"/>
        <v>Valid</v>
      </c>
      <c r="G707" s="8">
        <f t="shared" si="177"/>
        <v>6</v>
      </c>
      <c r="H707" s="8" t="str">
        <f t="shared" si="178"/>
        <v>Valid</v>
      </c>
      <c r="I707" t="s">
        <v>3302</v>
      </c>
      <c r="J707" t="s">
        <v>179</v>
      </c>
      <c r="K707" t="s">
        <v>179</v>
      </c>
      <c r="L707" t="s">
        <v>25</v>
      </c>
      <c r="M707" s="3" t="str">
        <f t="shared" si="179"/>
        <v>Consumer</v>
      </c>
      <c r="N707" t="s">
        <v>26</v>
      </c>
      <c r="O707" s="3" t="str">
        <f t="shared" si="180"/>
        <v>North</v>
      </c>
      <c r="P707" t="s">
        <v>27</v>
      </c>
      <c r="Q707" t="s">
        <v>28</v>
      </c>
      <c r="R707" t="s">
        <v>29</v>
      </c>
      <c r="S707" s="3" t="str">
        <f t="shared" si="181"/>
        <v>Office Supplies</v>
      </c>
      <c r="T707" t="s">
        <v>197</v>
      </c>
      <c r="U707" t="s">
        <v>3303</v>
      </c>
      <c r="V707" t="s">
        <v>66</v>
      </c>
      <c r="W707" s="3" t="str">
        <f t="shared" si="182"/>
        <v>Standard Class</v>
      </c>
      <c r="X707">
        <v>5</v>
      </c>
      <c r="Y707">
        <v>3371.75</v>
      </c>
      <c r="Z707">
        <v>0.05</v>
      </c>
      <c r="AA707">
        <f t="shared" ref="AA707:AA770" si="186">IF(Z707="",0,Z707)</f>
        <v>0.05</v>
      </c>
      <c r="AB707">
        <f t="shared" ref="AB707:AB770" si="187">X707*Y707*(1-Z707)</f>
        <v>16015.8125</v>
      </c>
      <c r="AC707">
        <v>16015.81</v>
      </c>
      <c r="AD707">
        <v>11352.38</v>
      </c>
      <c r="AE707">
        <v>4663.43</v>
      </c>
      <c r="AF707" t="s">
        <v>33</v>
      </c>
      <c r="AG707" t="s">
        <v>34</v>
      </c>
      <c r="AH707" t="str">
        <f t="shared" si="183"/>
        <v>Completed</v>
      </c>
      <c r="AI707" t="str">
        <f t="shared" si="184"/>
        <v>Valid</v>
      </c>
      <c r="AJ707">
        <f t="shared" si="185"/>
        <v>4663.43</v>
      </c>
      <c r="AK707" s="12">
        <f t="shared" ref="AK707:AK770" si="188">IF(AB707=0,"",AJ707/AB707)</f>
        <v>0.29117661061529038</v>
      </c>
      <c r="AL707">
        <f t="shared" ref="AL707:AL770" si="189">MONTH(C707)</f>
        <v>9</v>
      </c>
      <c r="AM707">
        <f t="shared" ref="AM707:AM770" si="190">YEAR(C707)</f>
        <v>2024</v>
      </c>
      <c r="AN707" t="str">
        <f t="shared" ref="AN707:AN770" si="191">IF(H707="Invalid Shipping Record","Invalid","Clean")</f>
        <v>Clean</v>
      </c>
    </row>
    <row r="708" spans="1:40">
      <c r="A708" t="s">
        <v>3304</v>
      </c>
      <c r="B708" s="3" t="s">
        <v>3305</v>
      </c>
      <c r="C708" s="10">
        <v>45467</v>
      </c>
      <c r="D708" s="3" t="s">
        <v>1042</v>
      </c>
      <c r="E708" s="10">
        <v>45471</v>
      </c>
      <c r="F708" s="6" t="str">
        <f t="shared" si="176"/>
        <v>Valid</v>
      </c>
      <c r="G708" s="8">
        <f t="shared" si="177"/>
        <v>4</v>
      </c>
      <c r="H708" s="8" t="str">
        <f t="shared" si="178"/>
        <v>Valid</v>
      </c>
      <c r="I708" t="s">
        <v>3306</v>
      </c>
      <c r="J708" t="s">
        <v>52</v>
      </c>
      <c r="K708" t="s">
        <v>52</v>
      </c>
      <c r="L708" t="s">
        <v>40</v>
      </c>
      <c r="M708" s="3" t="str">
        <f t="shared" si="179"/>
        <v>Small Business</v>
      </c>
      <c r="N708" t="s">
        <v>41</v>
      </c>
      <c r="O708" s="3" t="str">
        <f t="shared" si="180"/>
        <v>East</v>
      </c>
      <c r="P708" t="s">
        <v>42</v>
      </c>
      <c r="Q708" t="s">
        <v>43</v>
      </c>
      <c r="R708" t="s">
        <v>29</v>
      </c>
      <c r="S708" s="3" t="str">
        <f t="shared" si="181"/>
        <v>Office Supplies</v>
      </c>
      <c r="T708" t="s">
        <v>30</v>
      </c>
      <c r="U708" t="s">
        <v>3307</v>
      </c>
      <c r="V708" t="s">
        <v>47</v>
      </c>
      <c r="W708" s="3" t="str">
        <f t="shared" si="182"/>
        <v>Same Day</v>
      </c>
      <c r="X708">
        <v>1</v>
      </c>
      <c r="Y708">
        <v>2112.75</v>
      </c>
      <c r="Z708">
        <v>0.1</v>
      </c>
      <c r="AA708">
        <f t="shared" si="186"/>
        <v>0.1</v>
      </c>
      <c r="AB708">
        <f t="shared" si="187"/>
        <v>1901.4750000000001</v>
      </c>
      <c r="AC708">
        <v>1901.48</v>
      </c>
      <c r="AD708">
        <v>1354.28</v>
      </c>
      <c r="AE708">
        <v>547.20000000000005</v>
      </c>
      <c r="AF708" t="s">
        <v>33</v>
      </c>
      <c r="AG708" t="s">
        <v>34</v>
      </c>
      <c r="AH708" t="str">
        <f t="shared" si="183"/>
        <v>Completed</v>
      </c>
      <c r="AI708" t="str">
        <f t="shared" si="184"/>
        <v>Valid</v>
      </c>
      <c r="AJ708">
        <f t="shared" si="185"/>
        <v>547.20000000000005</v>
      </c>
      <c r="AK708" s="12">
        <f t="shared" si="188"/>
        <v>0.28777659448585968</v>
      </c>
      <c r="AL708">
        <f t="shared" si="189"/>
        <v>6</v>
      </c>
      <c r="AM708">
        <f t="shared" si="190"/>
        <v>2024</v>
      </c>
      <c r="AN708" t="str">
        <f t="shared" si="191"/>
        <v>Clean</v>
      </c>
    </row>
    <row r="709" spans="1:40">
      <c r="A709" t="s">
        <v>3308</v>
      </c>
      <c r="B709" s="3" t="s">
        <v>3309</v>
      </c>
      <c r="C709" s="10">
        <v>45832</v>
      </c>
      <c r="D709" s="3" t="s">
        <v>2370</v>
      </c>
      <c r="E709" s="10">
        <v>45834</v>
      </c>
      <c r="F709" s="6" t="str">
        <f t="shared" si="176"/>
        <v>Valid</v>
      </c>
      <c r="G709" s="8">
        <f t="shared" si="177"/>
        <v>2</v>
      </c>
      <c r="H709" s="8" t="str">
        <f t="shared" si="178"/>
        <v>Valid</v>
      </c>
      <c r="I709" t="s">
        <v>3310</v>
      </c>
      <c r="J709" t="s">
        <v>82</v>
      </c>
      <c r="K709" t="s">
        <v>82</v>
      </c>
      <c r="L709" t="s">
        <v>25</v>
      </c>
      <c r="M709" s="3" t="str">
        <f t="shared" si="179"/>
        <v>Consumer</v>
      </c>
      <c r="N709" t="s">
        <v>26</v>
      </c>
      <c r="O709" s="3" t="str">
        <f t="shared" si="180"/>
        <v>North</v>
      </c>
      <c r="P709" t="s">
        <v>27</v>
      </c>
      <c r="Q709" t="s">
        <v>28</v>
      </c>
      <c r="R709" t="s">
        <v>85</v>
      </c>
      <c r="S709" s="3" t="str">
        <f t="shared" si="181"/>
        <v>Technology</v>
      </c>
      <c r="T709" t="s">
        <v>86</v>
      </c>
      <c r="U709" t="s">
        <v>3311</v>
      </c>
      <c r="V709" t="s">
        <v>47</v>
      </c>
      <c r="W709" s="3" t="str">
        <f t="shared" si="182"/>
        <v>Same Day</v>
      </c>
      <c r="X709">
        <v>5</v>
      </c>
      <c r="Y709">
        <v>3722.66</v>
      </c>
      <c r="Z709">
        <v>0.55000000000000004</v>
      </c>
      <c r="AA709">
        <f t="shared" si="186"/>
        <v>0.55000000000000004</v>
      </c>
      <c r="AB709">
        <f t="shared" si="187"/>
        <v>8375.9849999999988</v>
      </c>
      <c r="AC709">
        <v>16751.97</v>
      </c>
      <c r="AD709">
        <v>11678.32</v>
      </c>
      <c r="AE709">
        <v>5073.6499999999996</v>
      </c>
      <c r="AF709" t="s">
        <v>33</v>
      </c>
      <c r="AG709" t="s">
        <v>34</v>
      </c>
      <c r="AH709" t="str">
        <f t="shared" si="183"/>
        <v>Completed</v>
      </c>
      <c r="AI709" t="str">
        <f t="shared" si="184"/>
        <v>Valid</v>
      </c>
      <c r="AJ709">
        <f t="shared" si="185"/>
        <v>5073.6500000000015</v>
      </c>
      <c r="AK709" s="12">
        <f t="shared" si="188"/>
        <v>0.60573771323611514</v>
      </c>
      <c r="AL709">
        <f t="shared" si="189"/>
        <v>6</v>
      </c>
      <c r="AM709">
        <f t="shared" si="190"/>
        <v>2025</v>
      </c>
      <c r="AN709" t="str">
        <f t="shared" si="191"/>
        <v>Clean</v>
      </c>
    </row>
    <row r="710" spans="1:40">
      <c r="A710" t="s">
        <v>3312</v>
      </c>
      <c r="B710" s="3" t="s">
        <v>3313</v>
      </c>
      <c r="C710" s="10">
        <v>45736</v>
      </c>
      <c r="D710" s="3" t="s">
        <v>3314</v>
      </c>
      <c r="E710" s="10">
        <v>45742</v>
      </c>
      <c r="F710" s="6" t="str">
        <f t="shared" si="176"/>
        <v>Valid</v>
      </c>
      <c r="G710" s="8">
        <f t="shared" si="177"/>
        <v>6</v>
      </c>
      <c r="H710" s="8" t="str">
        <f t="shared" si="178"/>
        <v>Valid</v>
      </c>
      <c r="I710" t="s">
        <v>3315</v>
      </c>
      <c r="J710" t="s">
        <v>167</v>
      </c>
      <c r="K710" t="s">
        <v>167</v>
      </c>
      <c r="L710" t="s">
        <v>25</v>
      </c>
      <c r="M710" s="3" t="str">
        <f t="shared" si="179"/>
        <v>Consumer</v>
      </c>
      <c r="N710" t="s">
        <v>41</v>
      </c>
      <c r="O710" s="3" t="str">
        <f t="shared" si="180"/>
        <v>East</v>
      </c>
      <c r="P710" t="s">
        <v>215</v>
      </c>
      <c r="Q710" t="s">
        <v>216</v>
      </c>
      <c r="R710" t="s">
        <v>44</v>
      </c>
      <c r="S710" s="3" t="str">
        <f t="shared" si="181"/>
        <v>Furniture</v>
      </c>
      <c r="T710" t="s">
        <v>203</v>
      </c>
      <c r="U710" t="s">
        <v>3316</v>
      </c>
      <c r="V710" t="s">
        <v>55</v>
      </c>
      <c r="W710" s="3" t="str">
        <f t="shared" si="182"/>
        <v>First Class</v>
      </c>
      <c r="X710">
        <v>4</v>
      </c>
      <c r="Y710">
        <v>4357.66</v>
      </c>
      <c r="Z710">
        <v>0.05</v>
      </c>
      <c r="AA710">
        <f t="shared" si="186"/>
        <v>0.05</v>
      </c>
      <c r="AB710">
        <f t="shared" si="187"/>
        <v>16559.108</v>
      </c>
      <c r="AC710">
        <v>16559.11</v>
      </c>
      <c r="AD710">
        <v>13233.79</v>
      </c>
      <c r="AE710">
        <v>3325.32</v>
      </c>
      <c r="AF710" t="s">
        <v>33</v>
      </c>
      <c r="AG710" t="s">
        <v>34</v>
      </c>
      <c r="AH710" t="str">
        <f t="shared" si="183"/>
        <v>Completed</v>
      </c>
      <c r="AI710" t="str">
        <f t="shared" si="184"/>
        <v>Valid</v>
      </c>
      <c r="AJ710">
        <f t="shared" si="185"/>
        <v>3325.3199999999997</v>
      </c>
      <c r="AK710" s="12">
        <f t="shared" si="188"/>
        <v>0.20081516468157581</v>
      </c>
      <c r="AL710">
        <f t="shared" si="189"/>
        <v>3</v>
      </c>
      <c r="AM710">
        <f t="shared" si="190"/>
        <v>2025</v>
      </c>
      <c r="AN710" t="str">
        <f t="shared" si="191"/>
        <v>Clean</v>
      </c>
    </row>
    <row r="711" spans="1:40">
      <c r="A711" t="s">
        <v>3317</v>
      </c>
      <c r="B711" s="3" t="s">
        <v>194</v>
      </c>
      <c r="C711" s="10">
        <v>45676</v>
      </c>
      <c r="D711" s="3" t="s">
        <v>183</v>
      </c>
      <c r="E711" s="10">
        <v>45680</v>
      </c>
      <c r="F711" s="6" t="str">
        <f t="shared" si="176"/>
        <v>Valid</v>
      </c>
      <c r="G711" s="8">
        <f t="shared" si="177"/>
        <v>4</v>
      </c>
      <c r="H711" s="8" t="str">
        <f t="shared" si="178"/>
        <v>Valid</v>
      </c>
      <c r="I711" t="s">
        <v>3318</v>
      </c>
      <c r="J711" t="s">
        <v>365</v>
      </c>
      <c r="K711" t="s">
        <v>365</v>
      </c>
      <c r="L711" t="s">
        <v>114</v>
      </c>
      <c r="M711" s="3" t="str">
        <f t="shared" si="179"/>
        <v>Home Office</v>
      </c>
      <c r="N711" t="s">
        <v>26</v>
      </c>
      <c r="O711" s="3" t="str">
        <f t="shared" si="180"/>
        <v>North</v>
      </c>
      <c r="P711" t="s">
        <v>153</v>
      </c>
      <c r="Q711" t="s">
        <v>154</v>
      </c>
      <c r="R711" t="s">
        <v>85</v>
      </c>
      <c r="S711" s="3" t="str">
        <f t="shared" si="181"/>
        <v>Technology</v>
      </c>
      <c r="T711" t="s">
        <v>222</v>
      </c>
      <c r="U711" t="s">
        <v>3319</v>
      </c>
      <c r="V711" t="s">
        <v>47</v>
      </c>
      <c r="W711" s="3" t="str">
        <f t="shared" si="182"/>
        <v>Same Day</v>
      </c>
      <c r="X711">
        <v>7</v>
      </c>
      <c r="Y711">
        <v>1363.04</v>
      </c>
      <c r="Z711">
        <v>0.15</v>
      </c>
      <c r="AA711">
        <f t="shared" si="186"/>
        <v>0.15</v>
      </c>
      <c r="AB711">
        <f t="shared" si="187"/>
        <v>8110.0879999999988</v>
      </c>
      <c r="AC711">
        <v>8110.09</v>
      </c>
      <c r="AD711">
        <v>6417.32</v>
      </c>
      <c r="AE711">
        <v>1692.77</v>
      </c>
      <c r="AF711" t="s">
        <v>33</v>
      </c>
      <c r="AG711" t="s">
        <v>77</v>
      </c>
      <c r="AH711" t="str">
        <f t="shared" si="183"/>
        <v>Cancelled</v>
      </c>
      <c r="AI711" t="str">
        <f t="shared" si="184"/>
        <v>Valid</v>
      </c>
      <c r="AJ711">
        <f t="shared" si="185"/>
        <v>1692.7700000000004</v>
      </c>
      <c r="AK711" s="12">
        <f t="shared" si="188"/>
        <v>0.20872399904908562</v>
      </c>
      <c r="AL711">
        <f t="shared" si="189"/>
        <v>1</v>
      </c>
      <c r="AM711">
        <f t="shared" si="190"/>
        <v>2025</v>
      </c>
      <c r="AN711" t="str">
        <f t="shared" si="191"/>
        <v>Clean</v>
      </c>
    </row>
    <row r="712" spans="1:40">
      <c r="A712" t="s">
        <v>3320</v>
      </c>
      <c r="B712" s="3" t="s">
        <v>3321</v>
      </c>
      <c r="C712" s="10">
        <v>45485</v>
      </c>
      <c r="D712" s="3" t="s">
        <v>3322</v>
      </c>
      <c r="E712" s="10">
        <v>45492</v>
      </c>
      <c r="F712" s="6" t="str">
        <f t="shared" si="176"/>
        <v>Valid</v>
      </c>
      <c r="G712" s="8">
        <f t="shared" si="177"/>
        <v>7</v>
      </c>
      <c r="H712" s="8" t="str">
        <f t="shared" si="178"/>
        <v>Valid</v>
      </c>
      <c r="I712" t="s">
        <v>3323</v>
      </c>
      <c r="J712" t="s">
        <v>82</v>
      </c>
      <c r="K712" t="s">
        <v>82</v>
      </c>
      <c r="L712" t="s">
        <v>107</v>
      </c>
      <c r="M712" s="3" t="str">
        <f t="shared" si="179"/>
        <v>Corporate</v>
      </c>
      <c r="N712" t="s">
        <v>26</v>
      </c>
      <c r="O712" s="3" t="str">
        <f t="shared" si="180"/>
        <v>North</v>
      </c>
      <c r="P712" t="s">
        <v>153</v>
      </c>
      <c r="Q712" t="s">
        <v>154</v>
      </c>
      <c r="R712" t="s">
        <v>29</v>
      </c>
      <c r="S712" s="3" t="str">
        <f t="shared" si="181"/>
        <v>Office Supplies</v>
      </c>
      <c r="T712" t="s">
        <v>53</v>
      </c>
      <c r="U712" t="s">
        <v>3324</v>
      </c>
      <c r="V712" t="s">
        <v>32</v>
      </c>
      <c r="W712" s="3" t="str">
        <f t="shared" si="182"/>
        <v>Second Class</v>
      </c>
      <c r="X712">
        <v>5</v>
      </c>
      <c r="Y712">
        <v>1559.16</v>
      </c>
      <c r="Z712">
        <v>0.05</v>
      </c>
      <c r="AA712">
        <f t="shared" si="186"/>
        <v>0.05</v>
      </c>
      <c r="AB712">
        <f t="shared" si="187"/>
        <v>7406.01</v>
      </c>
      <c r="AC712">
        <v>7406.01</v>
      </c>
      <c r="AD712">
        <v>5941.74</v>
      </c>
      <c r="AE712">
        <v>1464.27</v>
      </c>
      <c r="AF712" t="s">
        <v>33</v>
      </c>
      <c r="AG712" t="s">
        <v>34</v>
      </c>
      <c r="AH712" t="str">
        <f t="shared" si="183"/>
        <v>Completed</v>
      </c>
      <c r="AI712" t="str">
        <f t="shared" si="184"/>
        <v>Valid</v>
      </c>
      <c r="AJ712">
        <f t="shared" si="185"/>
        <v>1464.2700000000004</v>
      </c>
      <c r="AK712" s="12">
        <f t="shared" si="188"/>
        <v>0.19771374869869207</v>
      </c>
      <c r="AL712">
        <f t="shared" si="189"/>
        <v>7</v>
      </c>
      <c r="AM712">
        <f t="shared" si="190"/>
        <v>2024</v>
      </c>
      <c r="AN712" t="str">
        <f t="shared" si="191"/>
        <v>Clean</v>
      </c>
    </row>
    <row r="713" spans="1:40">
      <c r="A713" t="s">
        <v>3325</v>
      </c>
      <c r="B713" s="3" t="s">
        <v>3326</v>
      </c>
      <c r="C713" s="10">
        <v>45690</v>
      </c>
      <c r="D713" s="3" t="s">
        <v>3288</v>
      </c>
      <c r="E713" s="10">
        <v>45690</v>
      </c>
      <c r="F713" s="6" t="str">
        <f t="shared" si="176"/>
        <v>Valid</v>
      </c>
      <c r="G713" s="8">
        <f t="shared" si="177"/>
        <v>0</v>
      </c>
      <c r="H713" s="8" t="str">
        <f t="shared" si="178"/>
        <v>Valid</v>
      </c>
      <c r="I713" t="s">
        <v>3327</v>
      </c>
      <c r="J713" t="s">
        <v>365</v>
      </c>
      <c r="K713" t="s">
        <v>365</v>
      </c>
      <c r="L713" t="s">
        <v>107</v>
      </c>
      <c r="M713" s="3" t="str">
        <f t="shared" si="179"/>
        <v>Corporate</v>
      </c>
      <c r="N713" t="s">
        <v>41</v>
      </c>
      <c r="O713" s="3" t="str">
        <f t="shared" si="180"/>
        <v>East</v>
      </c>
      <c r="P713" t="s">
        <v>120</v>
      </c>
      <c r="Q713" t="s">
        <v>121</v>
      </c>
      <c r="R713" t="s">
        <v>85</v>
      </c>
      <c r="S713" s="3" t="str">
        <f t="shared" si="181"/>
        <v>Technology</v>
      </c>
      <c r="T713" t="s">
        <v>381</v>
      </c>
      <c r="U713" t="s">
        <v>3328</v>
      </c>
      <c r="V713" t="s">
        <v>55</v>
      </c>
      <c r="W713" s="3" t="str">
        <f t="shared" si="182"/>
        <v>First Class</v>
      </c>
      <c r="X713">
        <v>1</v>
      </c>
      <c r="Y713">
        <v>4326.75</v>
      </c>
      <c r="Z713">
        <v>0.05</v>
      </c>
      <c r="AA713">
        <f t="shared" si="186"/>
        <v>0.05</v>
      </c>
      <c r="AB713">
        <f t="shared" si="187"/>
        <v>4110.4124999999995</v>
      </c>
      <c r="AC713">
        <v>4110.41</v>
      </c>
      <c r="AD713">
        <v>2394.14</v>
      </c>
      <c r="AE713">
        <v>1716.27</v>
      </c>
      <c r="AF713" t="s">
        <v>136</v>
      </c>
      <c r="AG713" t="s">
        <v>124</v>
      </c>
      <c r="AH713" t="str">
        <f t="shared" si="183"/>
        <v>Returned</v>
      </c>
      <c r="AI713" t="str">
        <f t="shared" si="184"/>
        <v>Valid</v>
      </c>
      <c r="AJ713">
        <f t="shared" si="185"/>
        <v>1716.27</v>
      </c>
      <c r="AK713" s="12">
        <f t="shared" si="188"/>
        <v>0.41754203501473397</v>
      </c>
      <c r="AL713">
        <f t="shared" si="189"/>
        <v>2</v>
      </c>
      <c r="AM713">
        <f t="shared" si="190"/>
        <v>2025</v>
      </c>
      <c r="AN713" t="str">
        <f t="shared" si="191"/>
        <v>Clean</v>
      </c>
    </row>
    <row r="714" spans="1:40">
      <c r="A714" t="s">
        <v>3329</v>
      </c>
      <c r="B714" s="3" t="s">
        <v>2128</v>
      </c>
      <c r="C714" s="10">
        <v>45332</v>
      </c>
      <c r="D714" s="3" t="s">
        <v>3330</v>
      </c>
      <c r="E714" s="10">
        <v>45340</v>
      </c>
      <c r="F714" s="6" t="str">
        <f t="shared" si="176"/>
        <v>Valid</v>
      </c>
      <c r="G714" s="8">
        <f t="shared" si="177"/>
        <v>8</v>
      </c>
      <c r="H714" s="8" t="str">
        <f t="shared" si="178"/>
        <v>Valid</v>
      </c>
      <c r="I714" t="s">
        <v>3331</v>
      </c>
      <c r="J714" t="s">
        <v>52</v>
      </c>
      <c r="K714" t="s">
        <v>52</v>
      </c>
      <c r="L714" t="s">
        <v>114</v>
      </c>
      <c r="M714" s="3" t="str">
        <f t="shared" si="179"/>
        <v>Home Office</v>
      </c>
      <c r="N714" t="s">
        <v>72</v>
      </c>
      <c r="O714" s="3" t="str">
        <f t="shared" si="180"/>
        <v>West</v>
      </c>
      <c r="P714" t="s">
        <v>83</v>
      </c>
      <c r="Q714" t="s">
        <v>84</v>
      </c>
      <c r="R714" t="s">
        <v>44</v>
      </c>
      <c r="S714" s="3" t="str">
        <f t="shared" si="181"/>
        <v>Furniture</v>
      </c>
      <c r="T714" t="s">
        <v>75</v>
      </c>
      <c r="U714" t="s">
        <v>3332</v>
      </c>
      <c r="V714" t="s">
        <v>55</v>
      </c>
      <c r="W714" s="3" t="str">
        <f t="shared" si="182"/>
        <v>First Class</v>
      </c>
      <c r="X714">
        <v>7</v>
      </c>
      <c r="Y714">
        <v>1382.86</v>
      </c>
      <c r="Z714">
        <v>0</v>
      </c>
      <c r="AA714">
        <f t="shared" si="186"/>
        <v>0</v>
      </c>
      <c r="AB714">
        <f t="shared" si="187"/>
        <v>9680.0199999999986</v>
      </c>
      <c r="AC714">
        <v>9680.02</v>
      </c>
      <c r="AD714">
        <v>6876.66</v>
      </c>
      <c r="AE714">
        <v>2803.36</v>
      </c>
      <c r="AF714" t="s">
        <v>33</v>
      </c>
      <c r="AG714" t="s">
        <v>34</v>
      </c>
      <c r="AH714" t="str">
        <f t="shared" si="183"/>
        <v>Completed</v>
      </c>
      <c r="AI714" t="str">
        <f t="shared" si="184"/>
        <v>Valid</v>
      </c>
      <c r="AJ714">
        <f t="shared" si="185"/>
        <v>2803.3600000000006</v>
      </c>
      <c r="AK714" s="12">
        <f t="shared" si="188"/>
        <v>0.28960270743242278</v>
      </c>
      <c r="AL714">
        <f t="shared" si="189"/>
        <v>2</v>
      </c>
      <c r="AM714">
        <f t="shared" si="190"/>
        <v>2024</v>
      </c>
      <c r="AN714" t="str">
        <f t="shared" si="191"/>
        <v>Clean</v>
      </c>
    </row>
    <row r="715" spans="1:40">
      <c r="A715" t="s">
        <v>3333</v>
      </c>
      <c r="B715" s="3" t="s">
        <v>3334</v>
      </c>
      <c r="C715" s="10">
        <v>45814</v>
      </c>
      <c r="D715" s="3" t="s">
        <v>3181</v>
      </c>
      <c r="E715" s="10">
        <v>45818</v>
      </c>
      <c r="F715" s="6" t="str">
        <f t="shared" si="176"/>
        <v>Valid</v>
      </c>
      <c r="G715" s="8">
        <f t="shared" si="177"/>
        <v>4</v>
      </c>
      <c r="H715" s="8" t="str">
        <f t="shared" si="178"/>
        <v>Valid</v>
      </c>
      <c r="I715" t="s">
        <v>902</v>
      </c>
      <c r="J715" t="s">
        <v>39</v>
      </c>
      <c r="K715" t="s">
        <v>39</v>
      </c>
      <c r="L715" t="s">
        <v>25</v>
      </c>
      <c r="M715" s="3" t="str">
        <f t="shared" si="179"/>
        <v>Consumer</v>
      </c>
      <c r="N715" t="s">
        <v>72</v>
      </c>
      <c r="O715" s="3" t="str">
        <f t="shared" si="180"/>
        <v>West</v>
      </c>
      <c r="P715" t="s">
        <v>27</v>
      </c>
      <c r="Q715" t="s">
        <v>134</v>
      </c>
      <c r="R715" t="s">
        <v>85</v>
      </c>
      <c r="S715" s="3" t="str">
        <f t="shared" si="181"/>
        <v>Technology</v>
      </c>
      <c r="T715" t="s">
        <v>381</v>
      </c>
      <c r="U715" t="s">
        <v>3335</v>
      </c>
      <c r="V715" t="s">
        <v>32</v>
      </c>
      <c r="W715" s="3" t="str">
        <f t="shared" si="182"/>
        <v>Second Class</v>
      </c>
      <c r="X715">
        <v>1</v>
      </c>
      <c r="Y715">
        <v>289.97000000000003</v>
      </c>
      <c r="Z715">
        <v>0.25</v>
      </c>
      <c r="AA715">
        <f t="shared" si="186"/>
        <v>0.25</v>
      </c>
      <c r="AB715">
        <f t="shared" si="187"/>
        <v>217.47750000000002</v>
      </c>
      <c r="AC715">
        <v>217.48</v>
      </c>
      <c r="AD715">
        <v>132.13</v>
      </c>
      <c r="AE715">
        <v>85.35</v>
      </c>
      <c r="AF715" t="s">
        <v>33</v>
      </c>
      <c r="AG715" t="s">
        <v>34</v>
      </c>
      <c r="AH715" t="str">
        <f t="shared" si="183"/>
        <v>Completed</v>
      </c>
      <c r="AI715" t="str">
        <f t="shared" si="184"/>
        <v>Valid</v>
      </c>
      <c r="AJ715">
        <f t="shared" si="185"/>
        <v>85.35</v>
      </c>
      <c r="AK715" s="12">
        <f t="shared" si="188"/>
        <v>0.39245439183363789</v>
      </c>
      <c r="AL715">
        <f t="shared" si="189"/>
        <v>6</v>
      </c>
      <c r="AM715">
        <f t="shared" si="190"/>
        <v>2025</v>
      </c>
      <c r="AN715" t="str">
        <f t="shared" si="191"/>
        <v>Clean</v>
      </c>
    </row>
    <row r="716" spans="1:40">
      <c r="A716" t="s">
        <v>3336</v>
      </c>
      <c r="B716" s="3" t="s">
        <v>2114</v>
      </c>
      <c r="C716" s="10">
        <v>45738</v>
      </c>
      <c r="D716" s="3" t="s">
        <v>2230</v>
      </c>
      <c r="E716" s="10">
        <v>45739</v>
      </c>
      <c r="F716" s="6" t="str">
        <f t="shared" si="176"/>
        <v>Valid</v>
      </c>
      <c r="G716" s="8">
        <f t="shared" si="177"/>
        <v>1</v>
      </c>
      <c r="H716" s="8" t="str">
        <f t="shared" si="178"/>
        <v>Valid</v>
      </c>
      <c r="I716" t="s">
        <v>3337</v>
      </c>
      <c r="J716" t="s">
        <v>24</v>
      </c>
      <c r="K716" t="s">
        <v>24</v>
      </c>
      <c r="L716" t="s">
        <v>114</v>
      </c>
      <c r="M716" s="3" t="str">
        <f t="shared" si="179"/>
        <v>Home Office</v>
      </c>
      <c r="N716" t="s">
        <v>26</v>
      </c>
      <c r="O716" s="3" t="str">
        <f t="shared" si="180"/>
        <v>North</v>
      </c>
      <c r="P716" t="s">
        <v>505</v>
      </c>
      <c r="Q716" t="s">
        <v>506</v>
      </c>
      <c r="R716" t="s">
        <v>85</v>
      </c>
      <c r="S716" s="3" t="str">
        <f t="shared" si="181"/>
        <v>Technology</v>
      </c>
      <c r="T716" t="s">
        <v>93</v>
      </c>
      <c r="U716" t="s">
        <v>3338</v>
      </c>
      <c r="V716" t="s">
        <v>66</v>
      </c>
      <c r="W716" s="3" t="str">
        <f t="shared" si="182"/>
        <v>Standard Class</v>
      </c>
      <c r="X716">
        <v>9</v>
      </c>
      <c r="Y716">
        <v>2075.02</v>
      </c>
      <c r="Z716">
        <v>0</v>
      </c>
      <c r="AA716">
        <f t="shared" si="186"/>
        <v>0</v>
      </c>
      <c r="AB716">
        <f t="shared" si="187"/>
        <v>18675.18</v>
      </c>
      <c r="AC716">
        <v>18675.18</v>
      </c>
      <c r="AD716">
        <v>13974.7</v>
      </c>
      <c r="AE716">
        <v>4700.4799999999996</v>
      </c>
      <c r="AF716" t="s">
        <v>33</v>
      </c>
      <c r="AG716" t="s">
        <v>34</v>
      </c>
      <c r="AH716" t="str">
        <f t="shared" si="183"/>
        <v>Completed</v>
      </c>
      <c r="AI716" t="str">
        <f t="shared" si="184"/>
        <v>Valid</v>
      </c>
      <c r="AJ716">
        <f t="shared" si="185"/>
        <v>4700.4799999999996</v>
      </c>
      <c r="AK716" s="12">
        <f t="shared" si="188"/>
        <v>0.25169663692665878</v>
      </c>
      <c r="AL716">
        <f t="shared" si="189"/>
        <v>3</v>
      </c>
      <c r="AM716">
        <f t="shared" si="190"/>
        <v>2025</v>
      </c>
      <c r="AN716" t="str">
        <f t="shared" si="191"/>
        <v>Clean</v>
      </c>
    </row>
    <row r="717" spans="1:40">
      <c r="A717" t="s">
        <v>3339</v>
      </c>
      <c r="B717" s="3" t="s">
        <v>453</v>
      </c>
      <c r="C717" s="10">
        <v>45891</v>
      </c>
      <c r="D717" s="3" t="s">
        <v>454</v>
      </c>
      <c r="E717" s="10">
        <v>45896</v>
      </c>
      <c r="F717" s="6" t="str">
        <f t="shared" si="176"/>
        <v>Valid</v>
      </c>
      <c r="G717" s="8">
        <f t="shared" si="177"/>
        <v>5</v>
      </c>
      <c r="H717" s="8" t="str">
        <f t="shared" si="178"/>
        <v>Valid</v>
      </c>
      <c r="I717" t="s">
        <v>3340</v>
      </c>
      <c r="J717" t="s">
        <v>141</v>
      </c>
      <c r="K717" t="s">
        <v>141</v>
      </c>
      <c r="L717" t="s">
        <v>25</v>
      </c>
      <c r="M717" s="3" t="str">
        <f t="shared" si="179"/>
        <v>Consumer</v>
      </c>
      <c r="N717" t="s">
        <v>26</v>
      </c>
      <c r="O717" s="3" t="str">
        <f t="shared" si="180"/>
        <v>North</v>
      </c>
      <c r="P717" t="s">
        <v>322</v>
      </c>
      <c r="Q717" t="s">
        <v>323</v>
      </c>
      <c r="R717" t="s">
        <v>44</v>
      </c>
      <c r="S717" s="3" t="str">
        <f t="shared" si="181"/>
        <v>Furniture</v>
      </c>
      <c r="T717" t="s">
        <v>75</v>
      </c>
      <c r="U717" t="s">
        <v>3341</v>
      </c>
      <c r="V717" t="s">
        <v>32</v>
      </c>
      <c r="W717" s="3" t="str">
        <f t="shared" si="182"/>
        <v>Second Class</v>
      </c>
      <c r="X717">
        <v>7</v>
      </c>
      <c r="Y717">
        <v>2843.09</v>
      </c>
      <c r="Z717">
        <v>0</v>
      </c>
      <c r="AA717">
        <f t="shared" si="186"/>
        <v>0</v>
      </c>
      <c r="AB717">
        <f t="shared" si="187"/>
        <v>19901.63</v>
      </c>
      <c r="AC717">
        <v>19901.63</v>
      </c>
      <c r="AD717">
        <v>15492.03</v>
      </c>
      <c r="AE717">
        <v>4409.6000000000004</v>
      </c>
      <c r="AF717" t="s">
        <v>123</v>
      </c>
      <c r="AG717" t="s">
        <v>77</v>
      </c>
      <c r="AH717" t="str">
        <f t="shared" si="183"/>
        <v>Cancelled</v>
      </c>
      <c r="AI717" t="str">
        <f t="shared" si="184"/>
        <v>Valid</v>
      </c>
      <c r="AJ717">
        <f t="shared" si="185"/>
        <v>4409.6000000000004</v>
      </c>
      <c r="AK717" s="12">
        <f t="shared" si="188"/>
        <v>0.22156979101711771</v>
      </c>
      <c r="AL717">
        <f t="shared" si="189"/>
        <v>8</v>
      </c>
      <c r="AM717">
        <f t="shared" si="190"/>
        <v>2025</v>
      </c>
      <c r="AN717" t="str">
        <f t="shared" si="191"/>
        <v>Clean</v>
      </c>
    </row>
    <row r="718" spans="1:40">
      <c r="A718" t="s">
        <v>3342</v>
      </c>
      <c r="B718" s="3" t="s">
        <v>3343</v>
      </c>
      <c r="C718" s="10">
        <v>45895</v>
      </c>
      <c r="D718" s="3" t="s">
        <v>201</v>
      </c>
      <c r="E718" s="10">
        <v>45900</v>
      </c>
      <c r="F718" s="6" t="str">
        <f t="shared" si="176"/>
        <v>Valid</v>
      </c>
      <c r="G718" s="8">
        <f t="shared" si="177"/>
        <v>5</v>
      </c>
      <c r="H718" s="8" t="str">
        <f t="shared" si="178"/>
        <v>Valid</v>
      </c>
      <c r="I718" t="s">
        <v>3344</v>
      </c>
      <c r="J718" t="s">
        <v>209</v>
      </c>
      <c r="K718" t="s">
        <v>209</v>
      </c>
      <c r="L718" t="s">
        <v>40</v>
      </c>
      <c r="M718" s="3" t="str">
        <f t="shared" si="179"/>
        <v>Small Business</v>
      </c>
      <c r="N718" t="s">
        <v>26</v>
      </c>
      <c r="O718" s="3" t="str">
        <f t="shared" si="180"/>
        <v>North</v>
      </c>
      <c r="P718" t="s">
        <v>322</v>
      </c>
      <c r="Q718" t="s">
        <v>323</v>
      </c>
      <c r="R718" t="s">
        <v>85</v>
      </c>
      <c r="S718" s="3" t="str">
        <f t="shared" si="181"/>
        <v>Technology</v>
      </c>
      <c r="T718" t="s">
        <v>222</v>
      </c>
      <c r="U718" t="s">
        <v>3345</v>
      </c>
      <c r="V718" t="s">
        <v>55</v>
      </c>
      <c r="W718" s="3" t="str">
        <f t="shared" si="182"/>
        <v>First Class</v>
      </c>
      <c r="X718">
        <v>1</v>
      </c>
      <c r="Y718">
        <v>3388.02</v>
      </c>
      <c r="Z718">
        <v>0.15</v>
      </c>
      <c r="AA718">
        <f t="shared" si="186"/>
        <v>0.15</v>
      </c>
      <c r="AB718">
        <f t="shared" si="187"/>
        <v>2879.817</v>
      </c>
      <c r="AC718">
        <v>2879.82</v>
      </c>
      <c r="AD718">
        <v>1824.88</v>
      </c>
      <c r="AE718">
        <v>1054.94</v>
      </c>
      <c r="AF718" t="s">
        <v>33</v>
      </c>
      <c r="AG718" t="s">
        <v>34</v>
      </c>
      <c r="AH718" t="str">
        <f t="shared" si="183"/>
        <v>Completed</v>
      </c>
      <c r="AI718" t="str">
        <f t="shared" si="184"/>
        <v>Valid</v>
      </c>
      <c r="AJ718">
        <f t="shared" si="185"/>
        <v>1054.94</v>
      </c>
      <c r="AK718" s="12">
        <f t="shared" si="188"/>
        <v>0.36632188781439934</v>
      </c>
      <c r="AL718">
        <f t="shared" si="189"/>
        <v>8</v>
      </c>
      <c r="AM718">
        <f t="shared" si="190"/>
        <v>2025</v>
      </c>
      <c r="AN718" t="str">
        <f t="shared" si="191"/>
        <v>Clean</v>
      </c>
    </row>
    <row r="719" spans="1:40">
      <c r="A719" t="s">
        <v>3346</v>
      </c>
      <c r="B719" s="3" t="s">
        <v>3347</v>
      </c>
      <c r="C719" s="10">
        <v>45942</v>
      </c>
      <c r="D719" s="3" t="s">
        <v>308</v>
      </c>
      <c r="E719" s="10">
        <v>45945</v>
      </c>
      <c r="F719" s="6" t="str">
        <f t="shared" si="176"/>
        <v>Valid</v>
      </c>
      <c r="G719" s="8">
        <f t="shared" si="177"/>
        <v>3</v>
      </c>
      <c r="H719" s="8" t="str">
        <f t="shared" si="178"/>
        <v>Valid</v>
      </c>
      <c r="I719" t="s">
        <v>3348</v>
      </c>
      <c r="J719" t="s">
        <v>365</v>
      </c>
      <c r="K719" t="s">
        <v>365</v>
      </c>
      <c r="L719" t="s">
        <v>40</v>
      </c>
      <c r="M719" s="3" t="str">
        <f t="shared" si="179"/>
        <v>Small Business</v>
      </c>
      <c r="N719" t="s">
        <v>26</v>
      </c>
      <c r="O719" s="3" t="str">
        <f t="shared" si="180"/>
        <v>North</v>
      </c>
      <c r="P719" t="s">
        <v>322</v>
      </c>
      <c r="Q719" t="s">
        <v>323</v>
      </c>
      <c r="R719" t="s">
        <v>85</v>
      </c>
      <c r="S719" s="3" t="str">
        <f t="shared" si="181"/>
        <v>Technology</v>
      </c>
      <c r="T719" t="s">
        <v>381</v>
      </c>
      <c r="U719" t="s">
        <v>3349</v>
      </c>
      <c r="V719" t="s">
        <v>66</v>
      </c>
      <c r="W719" s="3" t="str">
        <f t="shared" si="182"/>
        <v>Standard Class</v>
      </c>
      <c r="X719">
        <v>9</v>
      </c>
      <c r="Y719">
        <v>2598.92</v>
      </c>
      <c r="Z719">
        <v>0.2</v>
      </c>
      <c r="AA719">
        <f t="shared" si="186"/>
        <v>0.2</v>
      </c>
      <c r="AB719">
        <f t="shared" si="187"/>
        <v>18712.223999999998</v>
      </c>
      <c r="AC719">
        <v>18712.22</v>
      </c>
      <c r="AD719">
        <v>11852.22</v>
      </c>
      <c r="AE719">
        <v>6860</v>
      </c>
      <c r="AF719" t="s">
        <v>136</v>
      </c>
      <c r="AG719" t="s">
        <v>77</v>
      </c>
      <c r="AH719" t="str">
        <f t="shared" si="183"/>
        <v>Cancelled</v>
      </c>
      <c r="AI719" t="str">
        <f t="shared" si="184"/>
        <v>Valid</v>
      </c>
      <c r="AJ719">
        <f t="shared" si="185"/>
        <v>6860.0000000000018</v>
      </c>
      <c r="AK719" s="12">
        <f t="shared" si="188"/>
        <v>0.36660527364358197</v>
      </c>
      <c r="AL719">
        <f t="shared" si="189"/>
        <v>10</v>
      </c>
      <c r="AM719">
        <f t="shared" si="190"/>
        <v>2025</v>
      </c>
      <c r="AN719" t="str">
        <f t="shared" si="191"/>
        <v>Clean</v>
      </c>
    </row>
    <row r="720" spans="1:40">
      <c r="A720" t="s">
        <v>3350</v>
      </c>
      <c r="B720" s="3" t="s">
        <v>3351</v>
      </c>
      <c r="C720" s="10">
        <v>45541</v>
      </c>
      <c r="D720" s="3" t="s">
        <v>875</v>
      </c>
      <c r="E720" s="10">
        <v>45544</v>
      </c>
      <c r="F720" s="6" t="str">
        <f t="shared" si="176"/>
        <v>Valid</v>
      </c>
      <c r="G720" s="8">
        <f t="shared" si="177"/>
        <v>3</v>
      </c>
      <c r="H720" s="8" t="str">
        <f t="shared" si="178"/>
        <v>Valid</v>
      </c>
      <c r="I720" t="s">
        <v>3352</v>
      </c>
      <c r="J720" t="s">
        <v>39</v>
      </c>
      <c r="K720" t="s">
        <v>39</v>
      </c>
      <c r="L720" t="s">
        <v>25</v>
      </c>
      <c r="M720" s="3" t="str">
        <f t="shared" si="179"/>
        <v>Consumer</v>
      </c>
      <c r="N720" t="s">
        <v>72</v>
      </c>
      <c r="O720" s="3" t="str">
        <f t="shared" si="180"/>
        <v>West</v>
      </c>
      <c r="P720" t="s">
        <v>73</v>
      </c>
      <c r="Q720" t="s">
        <v>74</v>
      </c>
      <c r="R720" t="s">
        <v>29</v>
      </c>
      <c r="S720" s="3" t="str">
        <f t="shared" si="181"/>
        <v>Office Supplies</v>
      </c>
      <c r="T720" t="s">
        <v>53</v>
      </c>
      <c r="U720" t="s">
        <v>3353</v>
      </c>
      <c r="V720" t="s">
        <v>47</v>
      </c>
      <c r="W720" s="3" t="str">
        <f t="shared" si="182"/>
        <v>Same Day</v>
      </c>
      <c r="X720">
        <v>3</v>
      </c>
      <c r="Y720">
        <v>1972.27</v>
      </c>
      <c r="Z720">
        <v>0.2</v>
      </c>
      <c r="AA720">
        <f t="shared" si="186"/>
        <v>0.2</v>
      </c>
      <c r="AB720">
        <f t="shared" si="187"/>
        <v>4733.4479999999994</v>
      </c>
      <c r="AC720">
        <v>4733.45</v>
      </c>
      <c r="AD720">
        <v>3672.32</v>
      </c>
      <c r="AE720">
        <v>1061.1300000000001</v>
      </c>
      <c r="AF720" t="s">
        <v>33</v>
      </c>
      <c r="AG720" t="s">
        <v>34</v>
      </c>
      <c r="AH720" t="str">
        <f t="shared" si="183"/>
        <v>Completed</v>
      </c>
      <c r="AI720" t="str">
        <f t="shared" si="184"/>
        <v>Valid</v>
      </c>
      <c r="AJ720">
        <f t="shared" si="185"/>
        <v>1061.1299999999997</v>
      </c>
      <c r="AK720" s="12">
        <f t="shared" si="188"/>
        <v>0.22417696360031836</v>
      </c>
      <c r="AL720">
        <f t="shared" si="189"/>
        <v>9</v>
      </c>
      <c r="AM720">
        <f t="shared" si="190"/>
        <v>2024</v>
      </c>
      <c r="AN720" t="str">
        <f t="shared" si="191"/>
        <v>Clean</v>
      </c>
    </row>
    <row r="721" spans="1:40">
      <c r="A721" t="s">
        <v>3354</v>
      </c>
      <c r="B721" s="3" t="s">
        <v>1723</v>
      </c>
      <c r="C721" s="10">
        <v>45908</v>
      </c>
      <c r="D721" s="3" t="s">
        <v>1724</v>
      </c>
      <c r="E721" s="10">
        <v>45909</v>
      </c>
      <c r="F721" s="6" t="str">
        <f t="shared" si="176"/>
        <v>Valid</v>
      </c>
      <c r="G721" s="8">
        <f t="shared" si="177"/>
        <v>1</v>
      </c>
      <c r="H721" s="8" t="str">
        <f t="shared" si="178"/>
        <v>Valid</v>
      </c>
      <c r="I721" t="s">
        <v>184</v>
      </c>
      <c r="J721" t="s">
        <v>365</v>
      </c>
      <c r="K721" t="s">
        <v>365</v>
      </c>
      <c r="L721" t="s">
        <v>107</v>
      </c>
      <c r="M721" s="3" t="str">
        <f t="shared" si="179"/>
        <v>Corporate</v>
      </c>
      <c r="N721" t="s">
        <v>72</v>
      </c>
      <c r="O721" s="3" t="str">
        <f t="shared" si="180"/>
        <v>West</v>
      </c>
      <c r="P721" t="s">
        <v>234</v>
      </c>
      <c r="Q721" t="s">
        <v>235</v>
      </c>
      <c r="R721" t="s">
        <v>29</v>
      </c>
      <c r="S721" s="3" t="str">
        <f t="shared" si="181"/>
        <v>Office Supplies</v>
      </c>
      <c r="T721" t="s">
        <v>53</v>
      </c>
      <c r="U721" t="s">
        <v>3355</v>
      </c>
      <c r="V721" t="s">
        <v>47</v>
      </c>
      <c r="W721" s="3" t="str">
        <f t="shared" si="182"/>
        <v>Same Day</v>
      </c>
      <c r="X721">
        <v>2</v>
      </c>
      <c r="Y721">
        <v>2372.41</v>
      </c>
      <c r="Z721">
        <v>0.2</v>
      </c>
      <c r="AA721">
        <f t="shared" si="186"/>
        <v>0.2</v>
      </c>
      <c r="AB721">
        <f t="shared" si="187"/>
        <v>3795.8559999999998</v>
      </c>
      <c r="AC721">
        <v>3795.86</v>
      </c>
      <c r="AD721">
        <v>2264.92</v>
      </c>
      <c r="AE721">
        <v>1530.94</v>
      </c>
      <c r="AF721" t="s">
        <v>33</v>
      </c>
      <c r="AG721" t="s">
        <v>34</v>
      </c>
      <c r="AH721" t="str">
        <f t="shared" si="183"/>
        <v>Completed</v>
      </c>
      <c r="AI721" t="str">
        <f t="shared" si="184"/>
        <v>Valid</v>
      </c>
      <c r="AJ721">
        <f t="shared" si="185"/>
        <v>1530.94</v>
      </c>
      <c r="AK721" s="12">
        <f t="shared" si="188"/>
        <v>0.40331877710850994</v>
      </c>
      <c r="AL721">
        <f t="shared" si="189"/>
        <v>9</v>
      </c>
      <c r="AM721">
        <f t="shared" si="190"/>
        <v>2025</v>
      </c>
      <c r="AN721" t="str">
        <f t="shared" si="191"/>
        <v>Clean</v>
      </c>
    </row>
    <row r="722" spans="1:40">
      <c r="A722" t="s">
        <v>3356</v>
      </c>
      <c r="B722" s="3" t="s">
        <v>1108</v>
      </c>
      <c r="C722" s="10">
        <v>45489</v>
      </c>
      <c r="D722" s="3" t="s">
        <v>3357</v>
      </c>
      <c r="E722" s="10">
        <v>45489</v>
      </c>
      <c r="F722" s="6" t="str">
        <f t="shared" si="176"/>
        <v>Valid</v>
      </c>
      <c r="G722" s="8">
        <f t="shared" si="177"/>
        <v>0</v>
      </c>
      <c r="H722" s="8" t="str">
        <f t="shared" si="178"/>
        <v>Valid</v>
      </c>
      <c r="I722" t="s">
        <v>3358</v>
      </c>
      <c r="J722" t="s">
        <v>106</v>
      </c>
      <c r="K722" t="s">
        <v>106</v>
      </c>
      <c r="L722" t="s">
        <v>114</v>
      </c>
      <c r="M722" s="3" t="str">
        <f t="shared" si="179"/>
        <v>Home Office</v>
      </c>
      <c r="N722" t="s">
        <v>72</v>
      </c>
      <c r="O722" s="3" t="str">
        <f t="shared" si="180"/>
        <v>West</v>
      </c>
      <c r="P722" t="s">
        <v>83</v>
      </c>
      <c r="Q722" t="s">
        <v>84</v>
      </c>
      <c r="R722" t="s">
        <v>85</v>
      </c>
      <c r="S722" s="3" t="str">
        <f t="shared" si="181"/>
        <v>Technology</v>
      </c>
      <c r="T722" t="s">
        <v>93</v>
      </c>
      <c r="U722" t="s">
        <v>3359</v>
      </c>
      <c r="V722" t="s">
        <v>47</v>
      </c>
      <c r="W722" s="3" t="str">
        <f t="shared" si="182"/>
        <v>Same Day</v>
      </c>
      <c r="X722">
        <v>4</v>
      </c>
      <c r="Y722">
        <v>4479.92</v>
      </c>
      <c r="Z722">
        <v>0.15</v>
      </c>
      <c r="AA722">
        <f t="shared" si="186"/>
        <v>0.15</v>
      </c>
      <c r="AB722">
        <f t="shared" si="187"/>
        <v>15231.727999999999</v>
      </c>
      <c r="AC722">
        <v>15231.73</v>
      </c>
      <c r="AD722">
        <v>12451.46</v>
      </c>
      <c r="AE722">
        <v>2780.27</v>
      </c>
      <c r="AF722" t="s">
        <v>33</v>
      </c>
      <c r="AG722" t="s">
        <v>34</v>
      </c>
      <c r="AH722" t="str">
        <f t="shared" si="183"/>
        <v>Completed</v>
      </c>
      <c r="AI722" t="str">
        <f t="shared" si="184"/>
        <v>Valid</v>
      </c>
      <c r="AJ722">
        <f t="shared" si="185"/>
        <v>2780.2700000000004</v>
      </c>
      <c r="AK722" s="12">
        <f t="shared" si="188"/>
        <v>0.18253148953290135</v>
      </c>
      <c r="AL722">
        <f t="shared" si="189"/>
        <v>7</v>
      </c>
      <c r="AM722">
        <f t="shared" si="190"/>
        <v>2024</v>
      </c>
      <c r="AN722" t="str">
        <f t="shared" si="191"/>
        <v>Clean</v>
      </c>
    </row>
    <row r="723" spans="1:40">
      <c r="A723" t="s">
        <v>3360</v>
      </c>
      <c r="B723" s="3" t="s">
        <v>253</v>
      </c>
      <c r="C723" s="10">
        <v>45827</v>
      </c>
      <c r="D723" s="3" t="s">
        <v>3361</v>
      </c>
      <c r="E723" s="10">
        <v>45831</v>
      </c>
      <c r="F723" s="6" t="str">
        <f t="shared" si="176"/>
        <v>Valid</v>
      </c>
      <c r="G723" s="8">
        <f t="shared" si="177"/>
        <v>4</v>
      </c>
      <c r="H723" s="8" t="str">
        <f t="shared" si="178"/>
        <v>Valid</v>
      </c>
      <c r="I723" t="s">
        <v>3362</v>
      </c>
      <c r="J723" t="s">
        <v>167</v>
      </c>
      <c r="K723" t="s">
        <v>167</v>
      </c>
      <c r="L723" t="s">
        <v>25</v>
      </c>
      <c r="M723" s="3" t="str">
        <f t="shared" si="179"/>
        <v>Consumer</v>
      </c>
      <c r="N723" t="s">
        <v>61</v>
      </c>
      <c r="O723" s="3" t="str">
        <f t="shared" si="180"/>
        <v>South</v>
      </c>
      <c r="P723" t="s">
        <v>228</v>
      </c>
      <c r="Q723" t="s">
        <v>229</v>
      </c>
      <c r="R723" t="s">
        <v>85</v>
      </c>
      <c r="S723" s="3" t="str">
        <f t="shared" si="181"/>
        <v>Technology</v>
      </c>
      <c r="T723" t="s">
        <v>93</v>
      </c>
      <c r="U723" t="s">
        <v>3363</v>
      </c>
      <c r="V723" t="s">
        <v>55</v>
      </c>
      <c r="W723" s="3" t="str">
        <f t="shared" si="182"/>
        <v>First Class</v>
      </c>
      <c r="X723">
        <v>5</v>
      </c>
      <c r="Y723">
        <v>2729.95</v>
      </c>
      <c r="Z723">
        <v>0</v>
      </c>
      <c r="AA723">
        <f t="shared" si="186"/>
        <v>0</v>
      </c>
      <c r="AB723">
        <f t="shared" si="187"/>
        <v>13649.75</v>
      </c>
      <c r="AC723">
        <v>13649.75</v>
      </c>
      <c r="AD723">
        <v>10288.030000000001</v>
      </c>
      <c r="AE723">
        <v>3361.72</v>
      </c>
      <c r="AF723" t="s">
        <v>33</v>
      </c>
      <c r="AG723" t="s">
        <v>34</v>
      </c>
      <c r="AH723" t="str">
        <f t="shared" si="183"/>
        <v>Completed</v>
      </c>
      <c r="AI723" t="str">
        <f t="shared" si="184"/>
        <v>Valid</v>
      </c>
      <c r="AJ723">
        <f t="shared" si="185"/>
        <v>3361.7199999999993</v>
      </c>
      <c r="AK723" s="12">
        <f t="shared" si="188"/>
        <v>0.24628436418249414</v>
      </c>
      <c r="AL723">
        <f t="shared" si="189"/>
        <v>6</v>
      </c>
      <c r="AM723">
        <f t="shared" si="190"/>
        <v>2025</v>
      </c>
      <c r="AN723" t="str">
        <f t="shared" si="191"/>
        <v>Clean</v>
      </c>
    </row>
    <row r="724" spans="1:40">
      <c r="A724" t="s">
        <v>3364</v>
      </c>
      <c r="B724" s="3" t="s">
        <v>2556</v>
      </c>
      <c r="C724" s="10">
        <v>45572</v>
      </c>
      <c r="D724" s="3" t="s">
        <v>3365</v>
      </c>
      <c r="E724" s="10">
        <v>45575</v>
      </c>
      <c r="F724" s="6" t="str">
        <f t="shared" si="176"/>
        <v>Valid</v>
      </c>
      <c r="G724" s="8">
        <f t="shared" si="177"/>
        <v>3</v>
      </c>
      <c r="H724" s="8" t="str">
        <f t="shared" si="178"/>
        <v>Valid</v>
      </c>
      <c r="I724" t="s">
        <v>3366</v>
      </c>
      <c r="J724" t="s">
        <v>82</v>
      </c>
      <c r="K724" t="s">
        <v>82</v>
      </c>
      <c r="L724" t="s">
        <v>25</v>
      </c>
      <c r="M724" s="3" t="str">
        <f t="shared" si="179"/>
        <v>Consumer</v>
      </c>
      <c r="N724" t="s">
        <v>41</v>
      </c>
      <c r="O724" s="3" t="str">
        <f t="shared" si="180"/>
        <v>East</v>
      </c>
      <c r="P724" t="s">
        <v>120</v>
      </c>
      <c r="Q724" t="s">
        <v>121</v>
      </c>
      <c r="R724" t="s">
        <v>44</v>
      </c>
      <c r="S724" s="3" t="str">
        <f t="shared" si="181"/>
        <v>Furniture</v>
      </c>
      <c r="T724" t="s">
        <v>75</v>
      </c>
      <c r="U724" t="s">
        <v>3367</v>
      </c>
      <c r="V724" t="s">
        <v>32</v>
      </c>
      <c r="W724" s="3" t="str">
        <f t="shared" si="182"/>
        <v>Second Class</v>
      </c>
      <c r="X724">
        <v>9</v>
      </c>
      <c r="Y724">
        <v>481.51</v>
      </c>
      <c r="AA724">
        <f t="shared" si="186"/>
        <v>0</v>
      </c>
      <c r="AB724">
        <f t="shared" si="187"/>
        <v>4333.59</v>
      </c>
      <c r="AC724">
        <v>4333.59</v>
      </c>
      <c r="AD724">
        <v>2533.59</v>
      </c>
      <c r="AE724">
        <v>1800</v>
      </c>
      <c r="AF724" t="s">
        <v>123</v>
      </c>
      <c r="AG724" t="s">
        <v>77</v>
      </c>
      <c r="AH724" t="str">
        <f t="shared" si="183"/>
        <v>Cancelled</v>
      </c>
      <c r="AI724" t="str">
        <f t="shared" si="184"/>
        <v>Valid</v>
      </c>
      <c r="AJ724">
        <f t="shared" si="185"/>
        <v>1800</v>
      </c>
      <c r="AK724" s="12">
        <f t="shared" si="188"/>
        <v>0.41536001329152039</v>
      </c>
      <c r="AL724">
        <f t="shared" si="189"/>
        <v>10</v>
      </c>
      <c r="AM724">
        <f t="shared" si="190"/>
        <v>2024</v>
      </c>
      <c r="AN724" t="str">
        <f t="shared" si="191"/>
        <v>Clean</v>
      </c>
    </row>
    <row r="725" spans="1:40">
      <c r="A725" t="s">
        <v>3368</v>
      </c>
      <c r="B725" s="3" t="s">
        <v>886</v>
      </c>
      <c r="C725" s="10">
        <v>45936</v>
      </c>
      <c r="D725" s="3" t="s">
        <v>3369</v>
      </c>
      <c r="E725" s="10">
        <v>45943</v>
      </c>
      <c r="F725" s="6" t="str">
        <f t="shared" si="176"/>
        <v>Valid</v>
      </c>
      <c r="G725" s="8">
        <f t="shared" si="177"/>
        <v>7</v>
      </c>
      <c r="H725" s="8" t="str">
        <f t="shared" si="178"/>
        <v>Valid</v>
      </c>
      <c r="I725" t="s">
        <v>3370</v>
      </c>
      <c r="J725" t="s">
        <v>365</v>
      </c>
      <c r="K725" t="s">
        <v>365</v>
      </c>
      <c r="L725" t="s">
        <v>114</v>
      </c>
      <c r="M725" s="3" t="str">
        <f t="shared" si="179"/>
        <v>Home Office</v>
      </c>
      <c r="N725" t="s">
        <v>41</v>
      </c>
      <c r="O725" s="3" t="str">
        <f t="shared" si="180"/>
        <v>East</v>
      </c>
      <c r="P725" t="s">
        <v>310</v>
      </c>
      <c r="Q725" t="s">
        <v>311</v>
      </c>
      <c r="R725" t="s">
        <v>85</v>
      </c>
      <c r="S725" s="3" t="str">
        <f t="shared" si="181"/>
        <v>Technology</v>
      </c>
      <c r="T725" t="s">
        <v>86</v>
      </c>
      <c r="U725" t="s">
        <v>3371</v>
      </c>
      <c r="V725" t="s">
        <v>66</v>
      </c>
      <c r="W725" s="3" t="str">
        <f t="shared" si="182"/>
        <v>Standard Class</v>
      </c>
      <c r="X725">
        <v>6</v>
      </c>
      <c r="Y725">
        <v>2391.9299999999998</v>
      </c>
      <c r="Z725">
        <v>0.05</v>
      </c>
      <c r="AA725">
        <f t="shared" si="186"/>
        <v>0.05</v>
      </c>
      <c r="AB725">
        <f t="shared" si="187"/>
        <v>13634.000999999998</v>
      </c>
      <c r="AC725">
        <v>13634</v>
      </c>
      <c r="AD725">
        <v>9589.81</v>
      </c>
      <c r="AE725">
        <v>4044.19</v>
      </c>
      <c r="AF725" t="s">
        <v>199</v>
      </c>
      <c r="AG725" t="s">
        <v>124</v>
      </c>
      <c r="AH725" t="str">
        <f t="shared" si="183"/>
        <v>Returned</v>
      </c>
      <c r="AI725" t="str">
        <f t="shared" si="184"/>
        <v>Valid</v>
      </c>
      <c r="AJ725">
        <f t="shared" si="185"/>
        <v>4044.1900000000005</v>
      </c>
      <c r="AK725" s="12">
        <f t="shared" si="188"/>
        <v>0.29662532663742663</v>
      </c>
      <c r="AL725">
        <f t="shared" si="189"/>
        <v>10</v>
      </c>
      <c r="AM725">
        <f t="shared" si="190"/>
        <v>2025</v>
      </c>
      <c r="AN725" t="str">
        <f t="shared" si="191"/>
        <v>Clean</v>
      </c>
    </row>
    <row r="726" spans="1:40">
      <c r="A726" t="s">
        <v>3372</v>
      </c>
      <c r="B726" s="3" t="s">
        <v>3373</v>
      </c>
      <c r="C726" s="10">
        <v>45332</v>
      </c>
      <c r="D726" s="3" t="s">
        <v>1610</v>
      </c>
      <c r="E726" s="10">
        <v>45338</v>
      </c>
      <c r="F726" s="6" t="str">
        <f t="shared" si="176"/>
        <v>Valid</v>
      </c>
      <c r="G726" s="8">
        <f t="shared" si="177"/>
        <v>6</v>
      </c>
      <c r="H726" s="8" t="str">
        <f t="shared" si="178"/>
        <v>Valid</v>
      </c>
      <c r="I726" t="s">
        <v>3374</v>
      </c>
      <c r="J726" t="s">
        <v>24</v>
      </c>
      <c r="K726" t="s">
        <v>24</v>
      </c>
      <c r="L726" t="s">
        <v>25</v>
      </c>
      <c r="M726" s="3" t="str">
        <f t="shared" si="179"/>
        <v>Consumer</v>
      </c>
      <c r="N726" t="s">
        <v>72</v>
      </c>
      <c r="O726" s="3" t="str">
        <f t="shared" si="180"/>
        <v>West</v>
      </c>
      <c r="P726" t="s">
        <v>248</v>
      </c>
      <c r="Q726" t="s">
        <v>249</v>
      </c>
      <c r="R726" t="s">
        <v>44</v>
      </c>
      <c r="S726" s="3" t="str">
        <f t="shared" si="181"/>
        <v>Furniture</v>
      </c>
      <c r="T726" t="s">
        <v>64</v>
      </c>
      <c r="U726" t="s">
        <v>3375</v>
      </c>
      <c r="V726" t="s">
        <v>32</v>
      </c>
      <c r="W726" s="3" t="str">
        <f t="shared" si="182"/>
        <v>Second Class</v>
      </c>
      <c r="X726">
        <v>3</v>
      </c>
      <c r="Y726">
        <v>253.43</v>
      </c>
      <c r="Z726">
        <v>0</v>
      </c>
      <c r="AA726">
        <f t="shared" si="186"/>
        <v>0</v>
      </c>
      <c r="AB726">
        <f t="shared" si="187"/>
        <v>760.29</v>
      </c>
      <c r="AC726">
        <v>760.29</v>
      </c>
      <c r="AD726">
        <v>497.77</v>
      </c>
      <c r="AE726">
        <v>262.52</v>
      </c>
      <c r="AF726" t="s">
        <v>33</v>
      </c>
      <c r="AG726" t="s">
        <v>34</v>
      </c>
      <c r="AH726" t="str">
        <f t="shared" si="183"/>
        <v>Completed</v>
      </c>
      <c r="AI726" t="str">
        <f t="shared" si="184"/>
        <v>Valid</v>
      </c>
      <c r="AJ726">
        <f t="shared" si="185"/>
        <v>262.52</v>
      </c>
      <c r="AK726" s="12">
        <f t="shared" si="188"/>
        <v>0.34528929750489945</v>
      </c>
      <c r="AL726">
        <f t="shared" si="189"/>
        <v>2</v>
      </c>
      <c r="AM726">
        <f t="shared" si="190"/>
        <v>2024</v>
      </c>
      <c r="AN726" t="str">
        <f t="shared" si="191"/>
        <v>Clean</v>
      </c>
    </row>
    <row r="727" spans="1:40">
      <c r="A727" t="s">
        <v>3376</v>
      </c>
      <c r="B727" s="3" t="s">
        <v>3377</v>
      </c>
      <c r="C727" s="10">
        <v>45935</v>
      </c>
      <c r="D727" s="3" t="s">
        <v>138</v>
      </c>
      <c r="E727" s="10">
        <v>45942</v>
      </c>
      <c r="F727" s="6" t="str">
        <f t="shared" si="176"/>
        <v>Valid</v>
      </c>
      <c r="G727" s="8">
        <f t="shared" si="177"/>
        <v>7</v>
      </c>
      <c r="H727" s="8" t="str">
        <f t="shared" si="178"/>
        <v>Valid</v>
      </c>
      <c r="I727" t="s">
        <v>3378</v>
      </c>
      <c r="J727" t="s">
        <v>141</v>
      </c>
      <c r="K727" t="s">
        <v>141</v>
      </c>
      <c r="L727" t="s">
        <v>107</v>
      </c>
      <c r="M727" s="3" t="str">
        <f t="shared" si="179"/>
        <v>Corporate</v>
      </c>
      <c r="N727" t="s">
        <v>61</v>
      </c>
      <c r="O727" s="3" t="str">
        <f t="shared" si="180"/>
        <v>South</v>
      </c>
      <c r="P727" t="s">
        <v>228</v>
      </c>
      <c r="Q727" t="s">
        <v>229</v>
      </c>
      <c r="R727" t="s">
        <v>44</v>
      </c>
      <c r="S727" s="3" t="str">
        <f t="shared" si="181"/>
        <v>Furniture</v>
      </c>
      <c r="T727" t="s">
        <v>45</v>
      </c>
      <c r="U727" t="s">
        <v>3379</v>
      </c>
      <c r="V727" t="s">
        <v>32</v>
      </c>
      <c r="W727" s="3" t="str">
        <f t="shared" si="182"/>
        <v>Second Class</v>
      </c>
      <c r="X727">
        <v>7</v>
      </c>
      <c r="Y727">
        <v>2134.73</v>
      </c>
      <c r="Z727">
        <v>0</v>
      </c>
      <c r="AA727">
        <f t="shared" si="186"/>
        <v>0</v>
      </c>
      <c r="AB727">
        <f t="shared" si="187"/>
        <v>14943.11</v>
      </c>
      <c r="AC727">
        <v>14943.11</v>
      </c>
      <c r="AD727">
        <v>8521.5</v>
      </c>
      <c r="AE727">
        <v>6421.61</v>
      </c>
      <c r="AF727" t="s">
        <v>33</v>
      </c>
      <c r="AG727" t="s">
        <v>34</v>
      </c>
      <c r="AH727" t="str">
        <f t="shared" si="183"/>
        <v>Completed</v>
      </c>
      <c r="AI727" t="str">
        <f t="shared" si="184"/>
        <v>Valid</v>
      </c>
      <c r="AJ727">
        <f t="shared" si="185"/>
        <v>6421.6100000000006</v>
      </c>
      <c r="AK727" s="12">
        <f t="shared" si="188"/>
        <v>0.42973718322357263</v>
      </c>
      <c r="AL727">
        <f t="shared" si="189"/>
        <v>10</v>
      </c>
      <c r="AM727">
        <f t="shared" si="190"/>
        <v>2025</v>
      </c>
      <c r="AN727" t="str">
        <f t="shared" si="191"/>
        <v>Clean</v>
      </c>
    </row>
    <row r="728" spans="1:40">
      <c r="A728" t="s">
        <v>3380</v>
      </c>
      <c r="B728" s="3" t="s">
        <v>3381</v>
      </c>
      <c r="C728" s="10">
        <v>45308</v>
      </c>
      <c r="D728" s="3" t="s">
        <v>3382</v>
      </c>
      <c r="E728" s="10">
        <v>45314</v>
      </c>
      <c r="F728" s="6" t="str">
        <f t="shared" si="176"/>
        <v>Valid</v>
      </c>
      <c r="G728" s="8">
        <f t="shared" si="177"/>
        <v>6</v>
      </c>
      <c r="H728" s="8" t="str">
        <f t="shared" si="178"/>
        <v>Valid</v>
      </c>
      <c r="I728" t="s">
        <v>3383</v>
      </c>
      <c r="J728" t="s">
        <v>365</v>
      </c>
      <c r="K728" t="s">
        <v>365</v>
      </c>
      <c r="L728" t="s">
        <v>114</v>
      </c>
      <c r="M728" s="3" t="str">
        <f t="shared" si="179"/>
        <v>Home Office</v>
      </c>
      <c r="N728" t="s">
        <v>72</v>
      </c>
      <c r="O728" s="3" t="str">
        <f t="shared" si="180"/>
        <v>West</v>
      </c>
      <c r="P728" t="s">
        <v>234</v>
      </c>
      <c r="Q728" t="s">
        <v>235</v>
      </c>
      <c r="R728" t="s">
        <v>85</v>
      </c>
      <c r="S728" s="3" t="str">
        <f t="shared" si="181"/>
        <v>Technology</v>
      </c>
      <c r="T728" t="s">
        <v>222</v>
      </c>
      <c r="U728" t="s">
        <v>3384</v>
      </c>
      <c r="V728" t="s">
        <v>66</v>
      </c>
      <c r="W728" s="3" t="str">
        <f t="shared" si="182"/>
        <v>Standard Class</v>
      </c>
      <c r="X728">
        <v>5</v>
      </c>
      <c r="Y728">
        <v>2018</v>
      </c>
      <c r="Z728">
        <v>0.2</v>
      </c>
      <c r="AA728">
        <f t="shared" si="186"/>
        <v>0.2</v>
      </c>
      <c r="AB728">
        <f t="shared" si="187"/>
        <v>8072</v>
      </c>
      <c r="AC728">
        <v>8072</v>
      </c>
      <c r="AD728">
        <v>5379.22</v>
      </c>
      <c r="AE728">
        <v>2692.78</v>
      </c>
      <c r="AF728" t="s">
        <v>136</v>
      </c>
      <c r="AG728" t="s">
        <v>124</v>
      </c>
      <c r="AH728" t="str">
        <f t="shared" si="183"/>
        <v>Returned</v>
      </c>
      <c r="AI728" t="str">
        <f t="shared" si="184"/>
        <v>Valid</v>
      </c>
      <c r="AJ728">
        <f t="shared" si="185"/>
        <v>2692.7799999999997</v>
      </c>
      <c r="AK728" s="12">
        <f t="shared" si="188"/>
        <v>0.33359514370664023</v>
      </c>
      <c r="AL728">
        <f t="shared" si="189"/>
        <v>1</v>
      </c>
      <c r="AM728">
        <f t="shared" si="190"/>
        <v>2024</v>
      </c>
      <c r="AN728" t="str">
        <f t="shared" si="191"/>
        <v>Clean</v>
      </c>
    </row>
    <row r="729" spans="1:40">
      <c r="A729" t="s">
        <v>3385</v>
      </c>
      <c r="B729" s="3" t="s">
        <v>3386</v>
      </c>
      <c r="C729" s="10">
        <v>45578</v>
      </c>
      <c r="D729" s="3" t="s">
        <v>3386</v>
      </c>
      <c r="E729" s="10">
        <v>45578</v>
      </c>
      <c r="F729" s="6" t="str">
        <f t="shared" si="176"/>
        <v>Valid</v>
      </c>
      <c r="G729" s="8">
        <f t="shared" si="177"/>
        <v>0</v>
      </c>
      <c r="H729" s="8" t="str">
        <f t="shared" si="178"/>
        <v>Valid</v>
      </c>
      <c r="I729" t="s">
        <v>3387</v>
      </c>
      <c r="J729" t="s">
        <v>161</v>
      </c>
      <c r="K729" t="s">
        <v>161</v>
      </c>
      <c r="L729" t="s">
        <v>40</v>
      </c>
      <c r="M729" s="3" t="str">
        <f t="shared" si="179"/>
        <v>Small Business</v>
      </c>
      <c r="N729" t="s">
        <v>41</v>
      </c>
      <c r="O729" s="3" t="str">
        <f t="shared" si="180"/>
        <v>East</v>
      </c>
      <c r="P729" t="s">
        <v>215</v>
      </c>
      <c r="Q729" t="s">
        <v>216</v>
      </c>
      <c r="R729" t="s">
        <v>85</v>
      </c>
      <c r="S729" s="3" t="str">
        <f t="shared" si="181"/>
        <v>Technology</v>
      </c>
      <c r="T729" t="s">
        <v>86</v>
      </c>
      <c r="U729" t="s">
        <v>3388</v>
      </c>
      <c r="V729" t="s">
        <v>32</v>
      </c>
      <c r="W729" s="3" t="str">
        <f t="shared" si="182"/>
        <v>Second Class</v>
      </c>
      <c r="X729">
        <v>8</v>
      </c>
      <c r="Y729">
        <v>3730.66</v>
      </c>
      <c r="Z729">
        <v>0.05</v>
      </c>
      <c r="AA729">
        <f t="shared" si="186"/>
        <v>0.05</v>
      </c>
      <c r="AB729">
        <f t="shared" si="187"/>
        <v>28353.015999999996</v>
      </c>
      <c r="AC729">
        <v>28353.02</v>
      </c>
      <c r="AD729">
        <v>19257.849999999999</v>
      </c>
      <c r="AE729">
        <v>9095.17</v>
      </c>
      <c r="AF729" t="s">
        <v>33</v>
      </c>
      <c r="AG729" t="s">
        <v>34</v>
      </c>
      <c r="AH729" t="str">
        <f t="shared" si="183"/>
        <v>Completed</v>
      </c>
      <c r="AI729" t="str">
        <f t="shared" si="184"/>
        <v>Valid</v>
      </c>
      <c r="AJ729">
        <f t="shared" si="185"/>
        <v>9095.1700000000019</v>
      </c>
      <c r="AK729" s="12">
        <f t="shared" si="188"/>
        <v>0.32078315760129372</v>
      </c>
      <c r="AL729">
        <f t="shared" si="189"/>
        <v>10</v>
      </c>
      <c r="AM729">
        <f t="shared" si="190"/>
        <v>2024</v>
      </c>
      <c r="AN729" t="str">
        <f t="shared" si="191"/>
        <v>Clean</v>
      </c>
    </row>
    <row r="730" spans="1:40">
      <c r="A730" t="s">
        <v>3389</v>
      </c>
      <c r="B730" s="3" t="s">
        <v>3051</v>
      </c>
      <c r="C730" s="10">
        <v>45295</v>
      </c>
      <c r="D730" s="3" t="s">
        <v>1761</v>
      </c>
      <c r="E730" s="10">
        <v>45298</v>
      </c>
      <c r="F730" s="6" t="str">
        <f t="shared" si="176"/>
        <v>Valid</v>
      </c>
      <c r="G730" s="8">
        <f t="shared" si="177"/>
        <v>3</v>
      </c>
      <c r="H730" s="8" t="str">
        <f t="shared" si="178"/>
        <v>Valid</v>
      </c>
      <c r="I730" t="s">
        <v>3390</v>
      </c>
      <c r="J730" t="s">
        <v>167</v>
      </c>
      <c r="K730" t="s">
        <v>167</v>
      </c>
      <c r="L730" t="s">
        <v>40</v>
      </c>
      <c r="M730" s="3" t="str">
        <f t="shared" si="179"/>
        <v>Small Business</v>
      </c>
      <c r="N730" t="s">
        <v>61</v>
      </c>
      <c r="O730" s="3" t="str">
        <f t="shared" si="180"/>
        <v>South</v>
      </c>
      <c r="P730" t="s">
        <v>228</v>
      </c>
      <c r="Q730" t="s">
        <v>229</v>
      </c>
      <c r="R730" t="s">
        <v>85</v>
      </c>
      <c r="S730" s="3" t="str">
        <f t="shared" si="181"/>
        <v>Technology</v>
      </c>
      <c r="T730" t="s">
        <v>381</v>
      </c>
      <c r="U730" t="s">
        <v>3391</v>
      </c>
      <c r="V730" t="s">
        <v>55</v>
      </c>
      <c r="W730" s="3" t="str">
        <f t="shared" si="182"/>
        <v>First Class</v>
      </c>
      <c r="X730">
        <v>1</v>
      </c>
      <c r="Y730">
        <v>2363.02</v>
      </c>
      <c r="Z730">
        <v>0.15</v>
      </c>
      <c r="AA730">
        <f t="shared" si="186"/>
        <v>0.15</v>
      </c>
      <c r="AB730">
        <f t="shared" si="187"/>
        <v>2008.567</v>
      </c>
      <c r="AC730">
        <v>2008.57</v>
      </c>
      <c r="AD730">
        <v>1194.83</v>
      </c>
      <c r="AE730">
        <v>813.74</v>
      </c>
      <c r="AF730" t="s">
        <v>33</v>
      </c>
      <c r="AG730" t="s">
        <v>34</v>
      </c>
      <c r="AH730" t="str">
        <f t="shared" si="183"/>
        <v>Completed</v>
      </c>
      <c r="AI730" t="str">
        <f t="shared" si="184"/>
        <v>Valid</v>
      </c>
      <c r="AJ730">
        <f t="shared" si="185"/>
        <v>813.74</v>
      </c>
      <c r="AK730" s="12">
        <f t="shared" si="188"/>
        <v>0.40513460591556072</v>
      </c>
      <c r="AL730">
        <f t="shared" si="189"/>
        <v>1</v>
      </c>
      <c r="AM730">
        <f t="shared" si="190"/>
        <v>2024</v>
      </c>
      <c r="AN730" t="str">
        <f t="shared" si="191"/>
        <v>Clean</v>
      </c>
    </row>
    <row r="731" spans="1:40">
      <c r="A731" t="s">
        <v>3392</v>
      </c>
      <c r="B731" s="3" t="s">
        <v>3393</v>
      </c>
      <c r="C731" s="10">
        <v>45794</v>
      </c>
      <c r="D731" s="3" t="s">
        <v>3394</v>
      </c>
      <c r="E731" s="10">
        <v>45802</v>
      </c>
      <c r="F731" s="6" t="str">
        <f t="shared" si="176"/>
        <v>Valid</v>
      </c>
      <c r="G731" s="8">
        <f t="shared" si="177"/>
        <v>8</v>
      </c>
      <c r="H731" s="8" t="str">
        <f t="shared" si="178"/>
        <v>Valid</v>
      </c>
      <c r="I731" t="s">
        <v>3395</v>
      </c>
      <c r="J731" t="s">
        <v>71</v>
      </c>
      <c r="K731" t="s">
        <v>71</v>
      </c>
      <c r="L731" t="s">
        <v>107</v>
      </c>
      <c r="M731" s="3" t="str">
        <f t="shared" si="179"/>
        <v>Corporate</v>
      </c>
      <c r="N731" t="s">
        <v>61</v>
      </c>
      <c r="O731" s="3" t="str">
        <f t="shared" si="180"/>
        <v>South</v>
      </c>
      <c r="P731" t="s">
        <v>338</v>
      </c>
      <c r="Q731" t="s">
        <v>339</v>
      </c>
      <c r="R731" t="s">
        <v>85</v>
      </c>
      <c r="S731" s="3" t="str">
        <f t="shared" si="181"/>
        <v>Technology</v>
      </c>
      <c r="T731" t="s">
        <v>381</v>
      </c>
      <c r="U731" t="s">
        <v>3396</v>
      </c>
      <c r="V731" t="s">
        <v>47</v>
      </c>
      <c r="W731" s="3" t="str">
        <f t="shared" si="182"/>
        <v>Same Day</v>
      </c>
      <c r="X731">
        <v>6</v>
      </c>
      <c r="Y731">
        <v>1810.63</v>
      </c>
      <c r="Z731">
        <v>0.15</v>
      </c>
      <c r="AA731">
        <f t="shared" si="186"/>
        <v>0.15</v>
      </c>
      <c r="AB731">
        <f t="shared" si="187"/>
        <v>9234.2129999999997</v>
      </c>
      <c r="AC731">
        <v>9234.2099999999991</v>
      </c>
      <c r="AD731">
        <v>5516.52</v>
      </c>
      <c r="AE731">
        <v>3717.69</v>
      </c>
      <c r="AF731" t="s">
        <v>33</v>
      </c>
      <c r="AG731" t="s">
        <v>34</v>
      </c>
      <c r="AH731" t="str">
        <f t="shared" si="183"/>
        <v>Completed</v>
      </c>
      <c r="AI731" t="str">
        <f t="shared" si="184"/>
        <v>Valid</v>
      </c>
      <c r="AJ731">
        <f t="shared" si="185"/>
        <v>3717.6899999999987</v>
      </c>
      <c r="AK731" s="12">
        <f t="shared" si="188"/>
        <v>0.40259955017281912</v>
      </c>
      <c r="AL731">
        <f t="shared" si="189"/>
        <v>5</v>
      </c>
      <c r="AM731">
        <f t="shared" si="190"/>
        <v>2025</v>
      </c>
      <c r="AN731" t="str">
        <f t="shared" si="191"/>
        <v>Clean</v>
      </c>
    </row>
    <row r="732" spans="1:40">
      <c r="A732" t="s">
        <v>3397</v>
      </c>
      <c r="B732" s="3" t="s">
        <v>3398</v>
      </c>
      <c r="C732" s="10">
        <v>45827</v>
      </c>
      <c r="D732" s="3" t="s">
        <v>3309</v>
      </c>
      <c r="E732" s="10">
        <v>45832</v>
      </c>
      <c r="F732" s="6" t="str">
        <f t="shared" si="176"/>
        <v>Valid</v>
      </c>
      <c r="G732" s="8">
        <f t="shared" si="177"/>
        <v>5</v>
      </c>
      <c r="H732" s="8" t="str">
        <f t="shared" si="178"/>
        <v>Valid</v>
      </c>
      <c r="I732" t="s">
        <v>3399</v>
      </c>
      <c r="J732" t="s">
        <v>60</v>
      </c>
      <c r="K732" t="s">
        <v>60</v>
      </c>
      <c r="L732" t="s">
        <v>25</v>
      </c>
      <c r="M732" s="3" t="str">
        <f t="shared" si="179"/>
        <v>Consumer</v>
      </c>
      <c r="N732" t="s">
        <v>41</v>
      </c>
      <c r="O732" s="3" t="str">
        <f t="shared" si="180"/>
        <v>East</v>
      </c>
      <c r="P732" t="s">
        <v>120</v>
      </c>
      <c r="Q732" t="s">
        <v>121</v>
      </c>
      <c r="R732" t="s">
        <v>29</v>
      </c>
      <c r="S732" s="3" t="str">
        <f t="shared" si="181"/>
        <v>Office Supplies</v>
      </c>
      <c r="T732" t="s">
        <v>53</v>
      </c>
      <c r="U732" t="s">
        <v>3400</v>
      </c>
      <c r="V732" t="s">
        <v>32</v>
      </c>
      <c r="W732" s="3" t="str">
        <f t="shared" si="182"/>
        <v>Second Class</v>
      </c>
      <c r="X732">
        <v>4</v>
      </c>
      <c r="Y732">
        <v>782.01</v>
      </c>
      <c r="Z732">
        <v>0.15</v>
      </c>
      <c r="AA732">
        <f t="shared" si="186"/>
        <v>0.15</v>
      </c>
      <c r="AB732">
        <f t="shared" si="187"/>
        <v>2658.8339999999998</v>
      </c>
      <c r="AC732">
        <v>2658.83</v>
      </c>
      <c r="AD732">
        <v>2226.9699999999998</v>
      </c>
      <c r="AE732">
        <v>431.86</v>
      </c>
      <c r="AF732" t="s">
        <v>123</v>
      </c>
      <c r="AG732" t="s">
        <v>124</v>
      </c>
      <c r="AH732" t="str">
        <f t="shared" si="183"/>
        <v>Returned</v>
      </c>
      <c r="AI732" t="str">
        <f t="shared" si="184"/>
        <v>Valid</v>
      </c>
      <c r="AJ732">
        <f t="shared" si="185"/>
        <v>431.86000000000013</v>
      </c>
      <c r="AK732" s="12">
        <f t="shared" si="188"/>
        <v>0.16242458160231144</v>
      </c>
      <c r="AL732">
        <f t="shared" si="189"/>
        <v>6</v>
      </c>
      <c r="AM732">
        <f t="shared" si="190"/>
        <v>2025</v>
      </c>
      <c r="AN732" t="str">
        <f t="shared" si="191"/>
        <v>Clean</v>
      </c>
    </row>
    <row r="733" spans="1:40">
      <c r="A733" t="s">
        <v>3401</v>
      </c>
      <c r="B733" s="3" t="s">
        <v>3402</v>
      </c>
      <c r="C733" s="10">
        <v>45368</v>
      </c>
      <c r="D733" s="3" t="s">
        <v>3403</v>
      </c>
      <c r="E733" s="10">
        <v>45370</v>
      </c>
      <c r="F733" s="6" t="str">
        <f t="shared" si="176"/>
        <v>Valid</v>
      </c>
      <c r="G733" s="8">
        <f t="shared" si="177"/>
        <v>2</v>
      </c>
      <c r="H733" s="8" t="str">
        <f t="shared" si="178"/>
        <v>Valid</v>
      </c>
      <c r="I733" t="s">
        <v>3404</v>
      </c>
      <c r="J733" t="s">
        <v>71</v>
      </c>
      <c r="K733" t="s">
        <v>71</v>
      </c>
      <c r="L733" t="s">
        <v>107</v>
      </c>
      <c r="M733" s="3" t="str">
        <f t="shared" si="179"/>
        <v>Corporate</v>
      </c>
      <c r="N733" t="s">
        <v>41</v>
      </c>
      <c r="O733" s="3" t="str">
        <f t="shared" si="180"/>
        <v>East</v>
      </c>
      <c r="P733" t="s">
        <v>42</v>
      </c>
      <c r="Q733" t="s">
        <v>43</v>
      </c>
      <c r="R733" t="s">
        <v>29</v>
      </c>
      <c r="S733" s="3" t="str">
        <f t="shared" si="181"/>
        <v>Office Supplies</v>
      </c>
      <c r="T733" t="s">
        <v>197</v>
      </c>
      <c r="U733" t="s">
        <v>3405</v>
      </c>
      <c r="V733" t="s">
        <v>55</v>
      </c>
      <c r="W733" s="3" t="str">
        <f t="shared" si="182"/>
        <v>First Class</v>
      </c>
      <c r="X733">
        <v>4</v>
      </c>
      <c r="Y733">
        <v>4376.68</v>
      </c>
      <c r="Z733">
        <v>0.1</v>
      </c>
      <c r="AA733">
        <f t="shared" si="186"/>
        <v>0.1</v>
      </c>
      <c r="AB733">
        <f t="shared" si="187"/>
        <v>15756.048000000001</v>
      </c>
      <c r="AC733">
        <v>15756.05</v>
      </c>
      <c r="AD733">
        <v>10245.44</v>
      </c>
      <c r="AE733">
        <v>5510.61</v>
      </c>
      <c r="AF733" t="s">
        <v>33</v>
      </c>
      <c r="AG733" t="s">
        <v>34</v>
      </c>
      <c r="AH733" t="str">
        <f t="shared" si="183"/>
        <v>Completed</v>
      </c>
      <c r="AI733" t="str">
        <f t="shared" si="184"/>
        <v>Valid</v>
      </c>
      <c r="AJ733">
        <f t="shared" si="185"/>
        <v>5510.6099999999988</v>
      </c>
      <c r="AK733" s="12">
        <f t="shared" si="188"/>
        <v>0.34974569765210151</v>
      </c>
      <c r="AL733">
        <f t="shared" si="189"/>
        <v>3</v>
      </c>
      <c r="AM733">
        <f t="shared" si="190"/>
        <v>2024</v>
      </c>
      <c r="AN733" t="str">
        <f t="shared" si="191"/>
        <v>Clean</v>
      </c>
    </row>
    <row r="734" spans="1:40">
      <c r="A734" t="s">
        <v>3406</v>
      </c>
      <c r="B734" s="3" t="s">
        <v>3407</v>
      </c>
      <c r="C734" s="10">
        <v>45624</v>
      </c>
      <c r="D734" s="3" t="s">
        <v>2820</v>
      </c>
      <c r="E734" s="10">
        <v>45632</v>
      </c>
      <c r="F734" s="6" t="str">
        <f t="shared" si="176"/>
        <v>Valid</v>
      </c>
      <c r="G734" s="8">
        <f t="shared" si="177"/>
        <v>8</v>
      </c>
      <c r="H734" s="8" t="str">
        <f t="shared" si="178"/>
        <v>Valid</v>
      </c>
      <c r="I734" t="s">
        <v>3408</v>
      </c>
      <c r="J734" t="s">
        <v>60</v>
      </c>
      <c r="K734" t="s">
        <v>60</v>
      </c>
      <c r="L734" t="s">
        <v>40</v>
      </c>
      <c r="M734" s="3" t="str">
        <f t="shared" si="179"/>
        <v>Small Business</v>
      </c>
      <c r="N734" t="s">
        <v>26</v>
      </c>
      <c r="O734" s="3" t="str">
        <f t="shared" si="180"/>
        <v>North</v>
      </c>
      <c r="P734" t="s">
        <v>153</v>
      </c>
      <c r="Q734" t="s">
        <v>154</v>
      </c>
      <c r="R734" t="s">
        <v>85</v>
      </c>
      <c r="S734" s="3" t="str">
        <f t="shared" si="181"/>
        <v>Technology</v>
      </c>
      <c r="T734" t="s">
        <v>222</v>
      </c>
      <c r="U734" t="s">
        <v>3409</v>
      </c>
      <c r="V734" t="s">
        <v>66</v>
      </c>
      <c r="W734" s="3" t="str">
        <f t="shared" si="182"/>
        <v>Standard Class</v>
      </c>
      <c r="X734">
        <v>6</v>
      </c>
      <c r="Y734">
        <v>2464.63</v>
      </c>
      <c r="Z734">
        <v>0</v>
      </c>
      <c r="AA734">
        <f t="shared" si="186"/>
        <v>0</v>
      </c>
      <c r="AB734">
        <f t="shared" si="187"/>
        <v>14787.78</v>
      </c>
      <c r="AC734">
        <v>14787.78</v>
      </c>
      <c r="AD734">
        <v>8596.65</v>
      </c>
      <c r="AE734">
        <v>6191.13</v>
      </c>
      <c r="AF734" t="s">
        <v>33</v>
      </c>
      <c r="AG734" t="s">
        <v>34</v>
      </c>
      <c r="AH734" t="str">
        <f t="shared" si="183"/>
        <v>Completed</v>
      </c>
      <c r="AI734" t="str">
        <f t="shared" si="184"/>
        <v>Valid</v>
      </c>
      <c r="AJ734">
        <f t="shared" si="185"/>
        <v>6191.130000000001</v>
      </c>
      <c r="AK734" s="12">
        <f t="shared" si="188"/>
        <v>0.41866527632950995</v>
      </c>
      <c r="AL734">
        <f t="shared" si="189"/>
        <v>11</v>
      </c>
      <c r="AM734">
        <f t="shared" si="190"/>
        <v>2024</v>
      </c>
      <c r="AN734" t="str">
        <f t="shared" si="191"/>
        <v>Clean</v>
      </c>
    </row>
    <row r="735" spans="1:40">
      <c r="A735" t="s">
        <v>3410</v>
      </c>
      <c r="B735" s="3" t="s">
        <v>1831</v>
      </c>
      <c r="C735" s="10">
        <v>45464</v>
      </c>
      <c r="D735" s="3" t="s">
        <v>3411</v>
      </c>
      <c r="E735" s="10">
        <v>45471</v>
      </c>
      <c r="F735" s="6" t="str">
        <f t="shared" si="176"/>
        <v>Valid</v>
      </c>
      <c r="G735" s="8">
        <f t="shared" si="177"/>
        <v>7</v>
      </c>
      <c r="H735" s="8" t="str">
        <f t="shared" si="178"/>
        <v>Valid</v>
      </c>
      <c r="I735" t="s">
        <v>3412</v>
      </c>
      <c r="J735" t="s">
        <v>161</v>
      </c>
      <c r="K735" t="s">
        <v>161</v>
      </c>
      <c r="L735" t="s">
        <v>114</v>
      </c>
      <c r="M735" s="3" t="str">
        <f t="shared" si="179"/>
        <v>Home Office</v>
      </c>
      <c r="N735" t="s">
        <v>26</v>
      </c>
      <c r="O735" s="3" t="str">
        <f t="shared" si="180"/>
        <v>North</v>
      </c>
      <c r="P735" t="s">
        <v>27</v>
      </c>
      <c r="Q735" t="s">
        <v>28</v>
      </c>
      <c r="R735" t="s">
        <v>44</v>
      </c>
      <c r="S735" s="3" t="str">
        <f t="shared" si="181"/>
        <v>Furniture</v>
      </c>
      <c r="T735" t="s">
        <v>64</v>
      </c>
      <c r="U735" t="s">
        <v>3413</v>
      </c>
      <c r="V735" t="s">
        <v>55</v>
      </c>
      <c r="W735" s="3" t="str">
        <f t="shared" si="182"/>
        <v>First Class</v>
      </c>
      <c r="X735">
        <v>9</v>
      </c>
      <c r="Y735">
        <v>2797.96</v>
      </c>
      <c r="Z735">
        <v>0</v>
      </c>
      <c r="AA735">
        <f t="shared" si="186"/>
        <v>0</v>
      </c>
      <c r="AB735">
        <f t="shared" si="187"/>
        <v>25181.64</v>
      </c>
      <c r="AC735">
        <v>25181.64</v>
      </c>
      <c r="AD735">
        <v>15337.9</v>
      </c>
      <c r="AE735">
        <v>9843.74</v>
      </c>
      <c r="AF735" t="s">
        <v>33</v>
      </c>
      <c r="AG735" t="s">
        <v>34</v>
      </c>
      <c r="AH735" t="str">
        <f t="shared" si="183"/>
        <v>Completed</v>
      </c>
      <c r="AI735" t="str">
        <f t="shared" si="184"/>
        <v>Valid</v>
      </c>
      <c r="AJ735">
        <f t="shared" si="185"/>
        <v>9843.74</v>
      </c>
      <c r="AK735" s="12">
        <f t="shared" si="188"/>
        <v>0.39090940860086953</v>
      </c>
      <c r="AL735">
        <f t="shared" si="189"/>
        <v>6</v>
      </c>
      <c r="AM735">
        <f t="shared" si="190"/>
        <v>2024</v>
      </c>
      <c r="AN735" t="str">
        <f t="shared" si="191"/>
        <v>Clean</v>
      </c>
    </row>
    <row r="736" spans="1:40">
      <c r="A736" t="s">
        <v>3414</v>
      </c>
      <c r="B736" s="3" t="s">
        <v>3415</v>
      </c>
      <c r="C736" s="10">
        <v>45528</v>
      </c>
      <c r="D736" s="3" t="s">
        <v>3415</v>
      </c>
      <c r="E736" s="10">
        <v>45528</v>
      </c>
      <c r="F736" s="6" t="str">
        <f t="shared" si="176"/>
        <v>Valid</v>
      </c>
      <c r="G736" s="8">
        <f t="shared" si="177"/>
        <v>0</v>
      </c>
      <c r="H736" s="8" t="str">
        <f t="shared" si="178"/>
        <v>Valid</v>
      </c>
      <c r="I736" t="s">
        <v>3416</v>
      </c>
      <c r="J736" t="s">
        <v>71</v>
      </c>
      <c r="K736" t="s">
        <v>71</v>
      </c>
      <c r="L736" t="s">
        <v>40</v>
      </c>
      <c r="M736" s="3" t="str">
        <f t="shared" si="179"/>
        <v>Small Business</v>
      </c>
      <c r="N736" t="s">
        <v>26</v>
      </c>
      <c r="O736" s="3" t="str">
        <f t="shared" si="180"/>
        <v>North</v>
      </c>
      <c r="P736" t="s">
        <v>27</v>
      </c>
      <c r="Q736" t="s">
        <v>28</v>
      </c>
      <c r="R736" t="s">
        <v>85</v>
      </c>
      <c r="S736" s="3" t="str">
        <f t="shared" si="181"/>
        <v>Technology</v>
      </c>
      <c r="T736" t="s">
        <v>86</v>
      </c>
      <c r="U736" t="s">
        <v>3417</v>
      </c>
      <c r="V736" t="s">
        <v>55</v>
      </c>
      <c r="W736" s="3" t="str">
        <f t="shared" si="182"/>
        <v>First Class</v>
      </c>
      <c r="X736">
        <v>4</v>
      </c>
      <c r="Y736">
        <v>2761.86</v>
      </c>
      <c r="Z736">
        <v>0.2</v>
      </c>
      <c r="AA736">
        <f t="shared" si="186"/>
        <v>0.2</v>
      </c>
      <c r="AB736">
        <f t="shared" si="187"/>
        <v>8837.9520000000011</v>
      </c>
      <c r="AC736">
        <v>8837.9500000000007</v>
      </c>
      <c r="AD736">
        <v>6157.27</v>
      </c>
      <c r="AE736">
        <v>2680.68</v>
      </c>
      <c r="AF736" t="s">
        <v>33</v>
      </c>
      <c r="AG736" t="s">
        <v>34</v>
      </c>
      <c r="AH736" t="str">
        <f t="shared" si="183"/>
        <v>Completed</v>
      </c>
      <c r="AI736" t="str">
        <f t="shared" si="184"/>
        <v>Valid</v>
      </c>
      <c r="AJ736">
        <f t="shared" si="185"/>
        <v>2680.6800000000003</v>
      </c>
      <c r="AK736" s="12">
        <f t="shared" si="188"/>
        <v>0.30331461406443483</v>
      </c>
      <c r="AL736">
        <f t="shared" si="189"/>
        <v>8</v>
      </c>
      <c r="AM736">
        <f t="shared" si="190"/>
        <v>2024</v>
      </c>
      <c r="AN736" t="str">
        <f t="shared" si="191"/>
        <v>Clean</v>
      </c>
    </row>
    <row r="737" spans="1:40">
      <c r="A737" t="s">
        <v>3418</v>
      </c>
      <c r="B737" s="3" t="s">
        <v>3419</v>
      </c>
      <c r="C737" s="10">
        <v>45515</v>
      </c>
      <c r="D737" s="3" t="s">
        <v>2860</v>
      </c>
      <c r="E737" s="10">
        <v>45523</v>
      </c>
      <c r="F737" s="6" t="str">
        <f t="shared" si="176"/>
        <v>Valid</v>
      </c>
      <c r="G737" s="8">
        <f t="shared" si="177"/>
        <v>8</v>
      </c>
      <c r="H737" s="8" t="str">
        <f t="shared" si="178"/>
        <v>Valid</v>
      </c>
      <c r="I737" t="s">
        <v>3420</v>
      </c>
      <c r="J737" t="s">
        <v>39</v>
      </c>
      <c r="K737" t="s">
        <v>39</v>
      </c>
      <c r="L737" t="s">
        <v>25</v>
      </c>
      <c r="M737" s="3" t="str">
        <f t="shared" si="179"/>
        <v>Consumer</v>
      </c>
      <c r="N737" t="s">
        <v>72</v>
      </c>
      <c r="O737" s="3" t="str">
        <f t="shared" si="180"/>
        <v>West</v>
      </c>
      <c r="P737" t="s">
        <v>73</v>
      </c>
      <c r="Q737" t="s">
        <v>74</v>
      </c>
      <c r="R737" t="s">
        <v>44</v>
      </c>
      <c r="S737" s="3" t="str">
        <f t="shared" si="181"/>
        <v>Furniture</v>
      </c>
      <c r="T737" t="s">
        <v>45</v>
      </c>
      <c r="U737" t="s">
        <v>3421</v>
      </c>
      <c r="V737" t="s">
        <v>66</v>
      </c>
      <c r="W737" s="3" t="str">
        <f t="shared" si="182"/>
        <v>Standard Class</v>
      </c>
      <c r="X737">
        <v>6</v>
      </c>
      <c r="Y737">
        <v>1515.79</v>
      </c>
      <c r="Z737">
        <v>0.2</v>
      </c>
      <c r="AA737">
        <f t="shared" si="186"/>
        <v>0.2</v>
      </c>
      <c r="AB737">
        <f t="shared" si="187"/>
        <v>7275.7920000000004</v>
      </c>
      <c r="AC737">
        <v>7275.79</v>
      </c>
      <c r="AD737">
        <v>6152.87</v>
      </c>
      <c r="AE737">
        <v>1122.92</v>
      </c>
      <c r="AF737" t="s">
        <v>33</v>
      </c>
      <c r="AG737" t="s">
        <v>34</v>
      </c>
      <c r="AH737" t="str">
        <f t="shared" si="183"/>
        <v>Completed</v>
      </c>
      <c r="AI737" t="str">
        <f t="shared" si="184"/>
        <v>Valid</v>
      </c>
      <c r="AJ737">
        <f t="shared" si="185"/>
        <v>1122.92</v>
      </c>
      <c r="AK737" s="12">
        <f t="shared" si="188"/>
        <v>0.1543364626146542</v>
      </c>
      <c r="AL737">
        <f t="shared" si="189"/>
        <v>8</v>
      </c>
      <c r="AM737">
        <f t="shared" si="190"/>
        <v>2024</v>
      </c>
      <c r="AN737" t="str">
        <f t="shared" si="191"/>
        <v>Clean</v>
      </c>
    </row>
    <row r="738" spans="1:40">
      <c r="A738" t="s">
        <v>3422</v>
      </c>
      <c r="B738" s="3" t="s">
        <v>2820</v>
      </c>
      <c r="C738" s="10">
        <v>45632</v>
      </c>
      <c r="D738" s="3" t="s">
        <v>3423</v>
      </c>
      <c r="E738" s="10">
        <v>45635</v>
      </c>
      <c r="F738" s="6" t="str">
        <f t="shared" si="176"/>
        <v>Valid</v>
      </c>
      <c r="G738" s="8">
        <f t="shared" si="177"/>
        <v>3</v>
      </c>
      <c r="H738" s="8" t="str">
        <f t="shared" si="178"/>
        <v>Valid</v>
      </c>
      <c r="I738" t="s">
        <v>3424</v>
      </c>
      <c r="J738" t="s">
        <v>106</v>
      </c>
      <c r="K738" t="s">
        <v>106</v>
      </c>
      <c r="L738" t="s">
        <v>25</v>
      </c>
      <c r="M738" s="3" t="str">
        <f t="shared" si="179"/>
        <v>Consumer</v>
      </c>
      <c r="N738" t="s">
        <v>72</v>
      </c>
      <c r="O738" s="3" t="str">
        <f t="shared" si="180"/>
        <v>West</v>
      </c>
      <c r="P738" t="s">
        <v>73</v>
      </c>
      <c r="Q738" t="s">
        <v>74</v>
      </c>
      <c r="R738" t="s">
        <v>44</v>
      </c>
      <c r="S738" s="3" t="str">
        <f t="shared" si="181"/>
        <v>Furniture</v>
      </c>
      <c r="T738" t="s">
        <v>75</v>
      </c>
      <c r="U738" t="s">
        <v>3425</v>
      </c>
      <c r="V738" t="s">
        <v>32</v>
      </c>
      <c r="W738" s="3" t="str">
        <f t="shared" si="182"/>
        <v>Second Class</v>
      </c>
      <c r="X738">
        <v>9</v>
      </c>
      <c r="Y738">
        <v>290.75</v>
      </c>
      <c r="Z738">
        <v>0.1</v>
      </c>
      <c r="AA738">
        <f t="shared" si="186"/>
        <v>0.1</v>
      </c>
      <c r="AB738">
        <f t="shared" si="187"/>
        <v>2355.0750000000003</v>
      </c>
      <c r="AC738">
        <v>2355.08</v>
      </c>
      <c r="AD738">
        <v>1350.03</v>
      </c>
      <c r="AE738">
        <v>1005.05</v>
      </c>
      <c r="AF738" t="s">
        <v>33</v>
      </c>
      <c r="AG738" t="s">
        <v>34</v>
      </c>
      <c r="AH738" t="str">
        <f t="shared" si="183"/>
        <v>Completed</v>
      </c>
      <c r="AI738" t="str">
        <f t="shared" si="184"/>
        <v>Valid</v>
      </c>
      <c r="AJ738">
        <f t="shared" si="185"/>
        <v>1005.05</v>
      </c>
      <c r="AK738" s="12">
        <f t="shared" si="188"/>
        <v>0.42675923272082622</v>
      </c>
      <c r="AL738">
        <f t="shared" si="189"/>
        <v>12</v>
      </c>
      <c r="AM738">
        <f t="shared" si="190"/>
        <v>2024</v>
      </c>
      <c r="AN738" t="str">
        <f t="shared" si="191"/>
        <v>Clean</v>
      </c>
    </row>
    <row r="739" spans="1:40">
      <c r="A739" t="s">
        <v>3426</v>
      </c>
      <c r="B739" s="3" t="s">
        <v>2248</v>
      </c>
      <c r="C739" s="10">
        <v>45332</v>
      </c>
      <c r="D739" s="3" t="s">
        <v>2128</v>
      </c>
      <c r="E739" s="10">
        <v>45332</v>
      </c>
      <c r="F739" s="6" t="str">
        <f t="shared" si="176"/>
        <v>Valid</v>
      </c>
      <c r="G739" s="8">
        <f t="shared" si="177"/>
        <v>0</v>
      </c>
      <c r="H739" s="8" t="str">
        <f t="shared" si="178"/>
        <v>Valid</v>
      </c>
      <c r="I739" t="s">
        <v>3427</v>
      </c>
      <c r="J739" t="s">
        <v>52</v>
      </c>
      <c r="K739" t="s">
        <v>52</v>
      </c>
      <c r="L739" t="s">
        <v>114</v>
      </c>
      <c r="M739" s="3" t="str">
        <f t="shared" si="179"/>
        <v>Home Office</v>
      </c>
      <c r="N739" t="s">
        <v>72</v>
      </c>
      <c r="O739" s="3" t="str">
        <f t="shared" si="180"/>
        <v>West</v>
      </c>
      <c r="P739" t="s">
        <v>73</v>
      </c>
      <c r="Q739" t="s">
        <v>74</v>
      </c>
      <c r="R739" t="s">
        <v>44</v>
      </c>
      <c r="S739" s="3" t="str">
        <f t="shared" si="181"/>
        <v>Furniture</v>
      </c>
      <c r="T739" t="s">
        <v>75</v>
      </c>
      <c r="U739" t="s">
        <v>3428</v>
      </c>
      <c r="V739" t="s">
        <v>47</v>
      </c>
      <c r="W739" s="3" t="str">
        <f t="shared" si="182"/>
        <v>Same Day</v>
      </c>
      <c r="X739">
        <v>6</v>
      </c>
      <c r="Y739">
        <v>601.52</v>
      </c>
      <c r="Z739">
        <v>0</v>
      </c>
      <c r="AA739">
        <f t="shared" si="186"/>
        <v>0</v>
      </c>
      <c r="AB739">
        <f t="shared" si="187"/>
        <v>3609.12</v>
      </c>
      <c r="AC739">
        <v>3609.12</v>
      </c>
      <c r="AD739">
        <v>2645.5</v>
      </c>
      <c r="AE739">
        <v>963.62</v>
      </c>
      <c r="AF739" t="s">
        <v>33</v>
      </c>
      <c r="AG739" t="s">
        <v>34</v>
      </c>
      <c r="AH739" t="str">
        <f t="shared" si="183"/>
        <v>Completed</v>
      </c>
      <c r="AI739" t="str">
        <f t="shared" si="184"/>
        <v>Valid</v>
      </c>
      <c r="AJ739">
        <f t="shared" si="185"/>
        <v>963.61999999999989</v>
      </c>
      <c r="AK739" s="12">
        <f t="shared" si="188"/>
        <v>0.2669958327791816</v>
      </c>
      <c r="AL739">
        <f t="shared" si="189"/>
        <v>2</v>
      </c>
      <c r="AM739">
        <f t="shared" si="190"/>
        <v>2024</v>
      </c>
      <c r="AN739" t="str">
        <f t="shared" si="191"/>
        <v>Clean</v>
      </c>
    </row>
    <row r="740" spans="1:40">
      <c r="A740" t="s">
        <v>3429</v>
      </c>
      <c r="B740" s="3" t="s">
        <v>1565</v>
      </c>
      <c r="C740" s="10">
        <v>45708</v>
      </c>
      <c r="D740" s="3" t="s">
        <v>3430</v>
      </c>
      <c r="E740" s="10">
        <v>45710</v>
      </c>
      <c r="F740" s="6" t="str">
        <f t="shared" si="176"/>
        <v>Valid</v>
      </c>
      <c r="G740" s="8">
        <f t="shared" si="177"/>
        <v>2</v>
      </c>
      <c r="H740" s="8" t="str">
        <f t="shared" si="178"/>
        <v>Valid</v>
      </c>
      <c r="I740" t="s">
        <v>3431</v>
      </c>
      <c r="J740" t="s">
        <v>141</v>
      </c>
      <c r="K740" t="s">
        <v>141</v>
      </c>
      <c r="L740" t="s">
        <v>107</v>
      </c>
      <c r="M740" s="3" t="str">
        <f t="shared" si="179"/>
        <v>Corporate</v>
      </c>
      <c r="N740" t="s">
        <v>61</v>
      </c>
      <c r="O740" s="3" t="str">
        <f t="shared" si="180"/>
        <v>South</v>
      </c>
      <c r="P740" t="s">
        <v>241</v>
      </c>
      <c r="Q740" t="s">
        <v>242</v>
      </c>
      <c r="R740" t="s">
        <v>29</v>
      </c>
      <c r="S740" s="3" t="str">
        <f t="shared" si="181"/>
        <v>Office Supplies</v>
      </c>
      <c r="T740" t="s">
        <v>30</v>
      </c>
      <c r="U740" t="s">
        <v>3432</v>
      </c>
      <c r="V740" t="s">
        <v>55</v>
      </c>
      <c r="W740" s="3" t="str">
        <f t="shared" si="182"/>
        <v>First Class</v>
      </c>
      <c r="X740">
        <v>1</v>
      </c>
      <c r="Y740">
        <v>2188.19</v>
      </c>
      <c r="Z740">
        <v>0</v>
      </c>
      <c r="AA740">
        <f t="shared" si="186"/>
        <v>0</v>
      </c>
      <c r="AB740">
        <f t="shared" si="187"/>
        <v>2188.19</v>
      </c>
      <c r="AC740">
        <v>2188.19</v>
      </c>
      <c r="AD740">
        <v>1298.8399999999999</v>
      </c>
      <c r="AE740">
        <v>889.35</v>
      </c>
      <c r="AF740" t="s">
        <v>33</v>
      </c>
      <c r="AG740" t="s">
        <v>34</v>
      </c>
      <c r="AH740" t="str">
        <f t="shared" si="183"/>
        <v>Completed</v>
      </c>
      <c r="AI740" t="str">
        <f t="shared" si="184"/>
        <v>Valid</v>
      </c>
      <c r="AJ740">
        <f t="shared" si="185"/>
        <v>889.35000000000014</v>
      </c>
      <c r="AK740" s="12">
        <f t="shared" si="188"/>
        <v>0.40643179979800664</v>
      </c>
      <c r="AL740">
        <f t="shared" si="189"/>
        <v>2</v>
      </c>
      <c r="AM740">
        <f t="shared" si="190"/>
        <v>2025</v>
      </c>
      <c r="AN740" t="str">
        <f t="shared" si="191"/>
        <v>Clean</v>
      </c>
    </row>
    <row r="741" spans="1:40">
      <c r="A741" t="s">
        <v>3433</v>
      </c>
      <c r="B741" s="3" t="s">
        <v>3434</v>
      </c>
      <c r="C741" s="10">
        <v>45629</v>
      </c>
      <c r="D741" s="3" t="s">
        <v>3435</v>
      </c>
      <c r="E741" s="10">
        <v>45636</v>
      </c>
      <c r="F741" s="6" t="str">
        <f t="shared" si="176"/>
        <v>Valid</v>
      </c>
      <c r="G741" s="8">
        <f t="shared" si="177"/>
        <v>7</v>
      </c>
      <c r="H741" s="8" t="str">
        <f t="shared" si="178"/>
        <v>Valid</v>
      </c>
      <c r="I741" t="s">
        <v>3436</v>
      </c>
      <c r="J741" t="s">
        <v>92</v>
      </c>
      <c r="K741" t="s">
        <v>92</v>
      </c>
      <c r="L741" t="s">
        <v>107</v>
      </c>
      <c r="M741" s="3" t="str">
        <f t="shared" si="179"/>
        <v>Corporate</v>
      </c>
      <c r="N741" t="s">
        <v>26</v>
      </c>
      <c r="O741" s="3" t="str">
        <f t="shared" si="180"/>
        <v>North</v>
      </c>
      <c r="P741" t="s">
        <v>27</v>
      </c>
      <c r="Q741" t="s">
        <v>28</v>
      </c>
      <c r="R741" t="s">
        <v>85</v>
      </c>
      <c r="S741" s="3" t="str">
        <f t="shared" si="181"/>
        <v>Technology</v>
      </c>
      <c r="T741" t="s">
        <v>222</v>
      </c>
      <c r="U741" t="s">
        <v>3437</v>
      </c>
      <c r="V741" t="s">
        <v>66</v>
      </c>
      <c r="W741" s="3" t="str">
        <f t="shared" si="182"/>
        <v>Standard Class</v>
      </c>
      <c r="X741">
        <v>5</v>
      </c>
      <c r="Y741">
        <v>2393.86</v>
      </c>
      <c r="Z741">
        <v>0.05</v>
      </c>
      <c r="AA741">
        <f t="shared" si="186"/>
        <v>0.05</v>
      </c>
      <c r="AB741">
        <f t="shared" si="187"/>
        <v>11370.835000000001</v>
      </c>
      <c r="AC741">
        <v>11370.84</v>
      </c>
      <c r="AD741">
        <v>7469.58</v>
      </c>
      <c r="AE741">
        <v>3901.26</v>
      </c>
      <c r="AF741" t="s">
        <v>33</v>
      </c>
      <c r="AG741" t="s">
        <v>34</v>
      </c>
      <c r="AH741" t="str">
        <f t="shared" si="183"/>
        <v>Completed</v>
      </c>
      <c r="AI741" t="str">
        <f t="shared" si="184"/>
        <v>Valid</v>
      </c>
      <c r="AJ741">
        <f t="shared" si="185"/>
        <v>3901.26</v>
      </c>
      <c r="AK741" s="12">
        <f t="shared" si="188"/>
        <v>0.34309353710611401</v>
      </c>
      <c r="AL741">
        <f t="shared" si="189"/>
        <v>12</v>
      </c>
      <c r="AM741">
        <f t="shared" si="190"/>
        <v>2024</v>
      </c>
      <c r="AN741" t="str">
        <f t="shared" si="191"/>
        <v>Clean</v>
      </c>
    </row>
    <row r="742" spans="1:40">
      <c r="A742" t="s">
        <v>3438</v>
      </c>
      <c r="B742" s="3" t="s">
        <v>3439</v>
      </c>
      <c r="C742" s="10">
        <v>45384</v>
      </c>
      <c r="D742" s="3" t="s">
        <v>2169</v>
      </c>
      <c r="E742" s="10">
        <v>45384</v>
      </c>
      <c r="F742" s="6" t="str">
        <f t="shared" si="176"/>
        <v>Valid</v>
      </c>
      <c r="G742" s="8">
        <f t="shared" si="177"/>
        <v>0</v>
      </c>
      <c r="H742" s="8" t="str">
        <f t="shared" si="178"/>
        <v>Valid</v>
      </c>
      <c r="I742" t="s">
        <v>777</v>
      </c>
      <c r="J742" t="s">
        <v>167</v>
      </c>
      <c r="K742" t="s">
        <v>167</v>
      </c>
      <c r="L742" t="s">
        <v>40</v>
      </c>
      <c r="M742" s="3" t="str">
        <f t="shared" si="179"/>
        <v>Small Business</v>
      </c>
      <c r="N742" t="s">
        <v>72</v>
      </c>
      <c r="O742" s="3" t="str">
        <f t="shared" si="180"/>
        <v>West</v>
      </c>
      <c r="P742" t="s">
        <v>73</v>
      </c>
      <c r="Q742" t="s">
        <v>74</v>
      </c>
      <c r="R742" t="s">
        <v>44</v>
      </c>
      <c r="S742" s="3" t="str">
        <f t="shared" si="181"/>
        <v>Furniture</v>
      </c>
      <c r="T742" t="s">
        <v>75</v>
      </c>
      <c r="U742" t="s">
        <v>3440</v>
      </c>
      <c r="V742" t="s">
        <v>55</v>
      </c>
      <c r="W742" s="3" t="str">
        <f t="shared" si="182"/>
        <v>First Class</v>
      </c>
      <c r="X742">
        <v>4</v>
      </c>
      <c r="Y742">
        <v>2583</v>
      </c>
      <c r="Z742">
        <v>0.1</v>
      </c>
      <c r="AA742">
        <f t="shared" si="186"/>
        <v>0.1</v>
      </c>
      <c r="AB742">
        <f t="shared" si="187"/>
        <v>9298.8000000000011</v>
      </c>
      <c r="AC742">
        <v>9298.7999999999993</v>
      </c>
      <c r="AD742">
        <v>6548.5</v>
      </c>
      <c r="AE742">
        <v>2750.3</v>
      </c>
      <c r="AF742" t="s">
        <v>33</v>
      </c>
      <c r="AG742" t="s">
        <v>34</v>
      </c>
      <c r="AH742" t="str">
        <f t="shared" si="183"/>
        <v>Completed</v>
      </c>
      <c r="AI742" t="str">
        <f t="shared" si="184"/>
        <v>Valid</v>
      </c>
      <c r="AJ742">
        <f t="shared" si="185"/>
        <v>2750.2999999999993</v>
      </c>
      <c r="AK742" s="12">
        <f t="shared" si="188"/>
        <v>0.2957693465823546</v>
      </c>
      <c r="AL742">
        <f t="shared" si="189"/>
        <v>4</v>
      </c>
      <c r="AM742">
        <f t="shared" si="190"/>
        <v>2024</v>
      </c>
      <c r="AN742" t="str">
        <f t="shared" si="191"/>
        <v>Clean</v>
      </c>
    </row>
    <row r="743" spans="1:40">
      <c r="A743" t="s">
        <v>3441</v>
      </c>
      <c r="B743" s="3" t="s">
        <v>3442</v>
      </c>
      <c r="C743" s="10">
        <v>45770</v>
      </c>
      <c r="D743" s="3" t="s">
        <v>3443</v>
      </c>
      <c r="E743" s="10">
        <v>45772</v>
      </c>
      <c r="F743" s="6" t="str">
        <f t="shared" si="176"/>
        <v>Valid</v>
      </c>
      <c r="G743" s="8">
        <f t="shared" si="177"/>
        <v>2</v>
      </c>
      <c r="H743" s="8" t="str">
        <f t="shared" si="178"/>
        <v>Valid</v>
      </c>
      <c r="I743" t="s">
        <v>3444</v>
      </c>
      <c r="J743" t="s">
        <v>52</v>
      </c>
      <c r="K743" t="s">
        <v>52</v>
      </c>
      <c r="L743" t="s">
        <v>114</v>
      </c>
      <c r="M743" s="3" t="str">
        <f t="shared" si="179"/>
        <v>Home Office</v>
      </c>
      <c r="N743" t="s">
        <v>61</v>
      </c>
      <c r="O743" s="3" t="str">
        <f t="shared" si="180"/>
        <v>South</v>
      </c>
      <c r="P743" t="s">
        <v>338</v>
      </c>
      <c r="Q743" t="s">
        <v>339</v>
      </c>
      <c r="R743" t="s">
        <v>44</v>
      </c>
      <c r="S743" s="3" t="str">
        <f t="shared" si="181"/>
        <v>Furniture</v>
      </c>
      <c r="T743" t="s">
        <v>75</v>
      </c>
      <c r="U743" t="s">
        <v>3445</v>
      </c>
      <c r="V743" t="s">
        <v>32</v>
      </c>
      <c r="W743" s="3" t="str">
        <f t="shared" si="182"/>
        <v>Second Class</v>
      </c>
      <c r="X743">
        <v>3</v>
      </c>
      <c r="Y743">
        <v>2951.12</v>
      </c>
      <c r="AA743">
        <f t="shared" si="186"/>
        <v>0</v>
      </c>
      <c r="AB743">
        <f t="shared" si="187"/>
        <v>8853.36</v>
      </c>
      <c r="AC743">
        <v>7082.69</v>
      </c>
      <c r="AD743">
        <v>5596.34</v>
      </c>
      <c r="AE743">
        <v>1486.35</v>
      </c>
      <c r="AF743" t="s">
        <v>33</v>
      </c>
      <c r="AG743" t="s">
        <v>77</v>
      </c>
      <c r="AH743" t="str">
        <f t="shared" si="183"/>
        <v>Cancelled</v>
      </c>
      <c r="AI743" t="str">
        <f t="shared" si="184"/>
        <v>Valid</v>
      </c>
      <c r="AJ743">
        <f t="shared" si="185"/>
        <v>1486.3499999999995</v>
      </c>
      <c r="AK743" s="12">
        <f t="shared" si="188"/>
        <v>0.16788541299574392</v>
      </c>
      <c r="AL743">
        <f t="shared" si="189"/>
        <v>4</v>
      </c>
      <c r="AM743">
        <f t="shared" si="190"/>
        <v>2025</v>
      </c>
      <c r="AN743" t="str">
        <f t="shared" si="191"/>
        <v>Clean</v>
      </c>
    </row>
    <row r="744" spans="1:40">
      <c r="A744" t="s">
        <v>3446</v>
      </c>
      <c r="B744" s="3" t="s">
        <v>3447</v>
      </c>
      <c r="C744" s="10">
        <v>45580</v>
      </c>
      <c r="D744" s="3" t="s">
        <v>3448</v>
      </c>
      <c r="E744" s="10">
        <v>45587</v>
      </c>
      <c r="F744" s="6" t="str">
        <f t="shared" si="176"/>
        <v>Valid</v>
      </c>
      <c r="G744" s="8">
        <f t="shared" si="177"/>
        <v>7</v>
      </c>
      <c r="H744" s="8" t="str">
        <f t="shared" si="178"/>
        <v>Valid</v>
      </c>
      <c r="I744" t="s">
        <v>3449</v>
      </c>
      <c r="J744" t="s">
        <v>24</v>
      </c>
      <c r="K744" t="s">
        <v>24</v>
      </c>
      <c r="L744" t="s">
        <v>107</v>
      </c>
      <c r="M744" s="3" t="str">
        <f t="shared" si="179"/>
        <v>Corporate</v>
      </c>
      <c r="N744" t="s">
        <v>3450</v>
      </c>
      <c r="O744" s="3" t="str">
        <f t="shared" si="180"/>
        <v>East</v>
      </c>
      <c r="P744" t="s">
        <v>42</v>
      </c>
      <c r="Q744" t="s">
        <v>43</v>
      </c>
      <c r="R744" t="s">
        <v>29</v>
      </c>
      <c r="S744" s="3" t="str">
        <f t="shared" si="181"/>
        <v>Office Supplies</v>
      </c>
      <c r="T744" t="s">
        <v>30</v>
      </c>
      <c r="U744" t="s">
        <v>3451</v>
      </c>
      <c r="V744" t="s">
        <v>66</v>
      </c>
      <c r="W744" s="3" t="str">
        <f t="shared" si="182"/>
        <v>Standard Class</v>
      </c>
      <c r="X744">
        <v>4</v>
      </c>
      <c r="Y744">
        <v>2260.9499999999998</v>
      </c>
      <c r="Z744">
        <v>0</v>
      </c>
      <c r="AA744">
        <f t="shared" si="186"/>
        <v>0</v>
      </c>
      <c r="AB744">
        <f t="shared" si="187"/>
        <v>9043.7999999999993</v>
      </c>
      <c r="AC744">
        <v>9043.7999999999993</v>
      </c>
      <c r="AD744">
        <v>5913.38</v>
      </c>
      <c r="AE744">
        <v>3130.42</v>
      </c>
      <c r="AF744" t="s">
        <v>33</v>
      </c>
      <c r="AG744" t="s">
        <v>34</v>
      </c>
      <c r="AH744" t="str">
        <f t="shared" si="183"/>
        <v>Completed</v>
      </c>
      <c r="AI744" t="str">
        <f t="shared" si="184"/>
        <v>Valid</v>
      </c>
      <c r="AJ744">
        <f t="shared" si="185"/>
        <v>3130.4199999999992</v>
      </c>
      <c r="AK744" s="12">
        <f t="shared" si="188"/>
        <v>0.34613989694597397</v>
      </c>
      <c r="AL744">
        <f t="shared" si="189"/>
        <v>10</v>
      </c>
      <c r="AM744">
        <f t="shared" si="190"/>
        <v>2024</v>
      </c>
      <c r="AN744" t="str">
        <f t="shared" si="191"/>
        <v>Clean</v>
      </c>
    </row>
    <row r="745" spans="1:40">
      <c r="A745" t="s">
        <v>3452</v>
      </c>
      <c r="B745" s="3" t="s">
        <v>1396</v>
      </c>
      <c r="C745" s="10">
        <v>45700</v>
      </c>
      <c r="D745" s="3" t="s">
        <v>1939</v>
      </c>
      <c r="E745" s="10">
        <v>45702</v>
      </c>
      <c r="F745" s="6" t="str">
        <f t="shared" si="176"/>
        <v>Valid</v>
      </c>
      <c r="G745" s="8">
        <f t="shared" si="177"/>
        <v>2</v>
      </c>
      <c r="H745" s="8" t="str">
        <f t="shared" si="178"/>
        <v>Valid</v>
      </c>
      <c r="I745" t="s">
        <v>3453</v>
      </c>
      <c r="J745" t="s">
        <v>167</v>
      </c>
      <c r="K745" t="s">
        <v>167</v>
      </c>
      <c r="L745" t="s">
        <v>25</v>
      </c>
      <c r="M745" s="3" t="str">
        <f t="shared" si="179"/>
        <v>Consumer</v>
      </c>
      <c r="N745" t="s">
        <v>26</v>
      </c>
      <c r="O745" s="3" t="str">
        <f t="shared" si="180"/>
        <v>North</v>
      </c>
      <c r="P745" t="s">
        <v>173</v>
      </c>
      <c r="Q745" t="s">
        <v>174</v>
      </c>
      <c r="R745" t="s">
        <v>29</v>
      </c>
      <c r="S745" s="3" t="str">
        <f t="shared" si="181"/>
        <v>Office Supplies</v>
      </c>
      <c r="T745" t="s">
        <v>53</v>
      </c>
      <c r="U745" t="s">
        <v>3454</v>
      </c>
      <c r="V745" t="s">
        <v>66</v>
      </c>
      <c r="W745" s="3" t="str">
        <f t="shared" si="182"/>
        <v>Standard Class</v>
      </c>
      <c r="X745">
        <v>6</v>
      </c>
      <c r="Y745">
        <v>491.4</v>
      </c>
      <c r="Z745">
        <v>0.25</v>
      </c>
      <c r="AA745">
        <f t="shared" si="186"/>
        <v>0.25</v>
      </c>
      <c r="AB745">
        <f t="shared" si="187"/>
        <v>2211.2999999999997</v>
      </c>
      <c r="AC745">
        <v>2211.3000000000002</v>
      </c>
      <c r="AD745">
        <v>1735.64</v>
      </c>
      <c r="AE745">
        <v>475.66</v>
      </c>
      <c r="AF745" t="s">
        <v>33</v>
      </c>
      <c r="AG745" t="s">
        <v>34</v>
      </c>
      <c r="AH745" t="str">
        <f t="shared" si="183"/>
        <v>Completed</v>
      </c>
      <c r="AI745" t="str">
        <f t="shared" si="184"/>
        <v>Valid</v>
      </c>
      <c r="AJ745">
        <f t="shared" si="185"/>
        <v>475.66000000000008</v>
      </c>
      <c r="AK745" s="12">
        <f t="shared" si="188"/>
        <v>0.21510423732645961</v>
      </c>
      <c r="AL745">
        <f t="shared" si="189"/>
        <v>2</v>
      </c>
      <c r="AM745">
        <f t="shared" si="190"/>
        <v>2025</v>
      </c>
      <c r="AN745" t="str">
        <f t="shared" si="191"/>
        <v>Clean</v>
      </c>
    </row>
    <row r="746" spans="1:40">
      <c r="A746" t="s">
        <v>3455</v>
      </c>
      <c r="B746" s="3" t="s">
        <v>3456</v>
      </c>
      <c r="C746" s="10">
        <v>45886</v>
      </c>
      <c r="D746" s="3" t="s">
        <v>1469</v>
      </c>
      <c r="E746" s="10">
        <v>45889</v>
      </c>
      <c r="F746" s="6" t="str">
        <f t="shared" si="176"/>
        <v>Valid</v>
      </c>
      <c r="G746" s="8">
        <f t="shared" si="177"/>
        <v>3</v>
      </c>
      <c r="H746" s="8" t="str">
        <f t="shared" si="178"/>
        <v>Valid</v>
      </c>
      <c r="I746" t="s">
        <v>3457</v>
      </c>
      <c r="J746" t="s">
        <v>39</v>
      </c>
      <c r="K746" t="s">
        <v>39</v>
      </c>
      <c r="L746" t="s">
        <v>114</v>
      </c>
      <c r="M746" s="3" t="str">
        <f t="shared" si="179"/>
        <v>Home Office</v>
      </c>
      <c r="N746" t="s">
        <v>26</v>
      </c>
      <c r="O746" s="3" t="str">
        <f t="shared" si="180"/>
        <v>North</v>
      </c>
      <c r="P746" t="s">
        <v>153</v>
      </c>
      <c r="Q746" t="s">
        <v>154</v>
      </c>
      <c r="R746" t="s">
        <v>29</v>
      </c>
      <c r="S746" s="3" t="str">
        <f t="shared" si="181"/>
        <v>Office Supplies</v>
      </c>
      <c r="T746" t="s">
        <v>197</v>
      </c>
      <c r="U746" t="s">
        <v>3458</v>
      </c>
      <c r="V746" t="s">
        <v>55</v>
      </c>
      <c r="W746" s="3" t="str">
        <f t="shared" si="182"/>
        <v>First Class</v>
      </c>
      <c r="X746">
        <v>5</v>
      </c>
      <c r="Y746">
        <v>2701.89</v>
      </c>
      <c r="Z746">
        <v>0.1</v>
      </c>
      <c r="AA746">
        <f t="shared" si="186"/>
        <v>0.1</v>
      </c>
      <c r="AB746">
        <f t="shared" si="187"/>
        <v>12158.504999999999</v>
      </c>
      <c r="AC746">
        <v>12158.5</v>
      </c>
      <c r="AD746">
        <v>10260.07</v>
      </c>
      <c r="AE746">
        <v>1898.43</v>
      </c>
      <c r="AF746" t="s">
        <v>33</v>
      </c>
      <c r="AG746" t="s">
        <v>77</v>
      </c>
      <c r="AH746" t="str">
        <f t="shared" si="183"/>
        <v>Cancelled</v>
      </c>
      <c r="AI746" t="str">
        <f t="shared" si="184"/>
        <v>Valid</v>
      </c>
      <c r="AJ746">
        <f t="shared" si="185"/>
        <v>1898.4300000000003</v>
      </c>
      <c r="AK746" s="12">
        <f t="shared" si="188"/>
        <v>0.15614008465678966</v>
      </c>
      <c r="AL746">
        <f t="shared" si="189"/>
        <v>8</v>
      </c>
      <c r="AM746">
        <f t="shared" si="190"/>
        <v>2025</v>
      </c>
      <c r="AN746" t="str">
        <f t="shared" si="191"/>
        <v>Clean</v>
      </c>
    </row>
    <row r="747" spans="1:40">
      <c r="A747" t="s">
        <v>3459</v>
      </c>
      <c r="B747" s="3" t="s">
        <v>3460</v>
      </c>
      <c r="C747" s="10">
        <v>45589</v>
      </c>
      <c r="D747" s="3" t="s">
        <v>3461</v>
      </c>
      <c r="E747" s="10">
        <v>45593</v>
      </c>
      <c r="F747" s="6" t="str">
        <f t="shared" si="176"/>
        <v>Valid</v>
      </c>
      <c r="G747" s="8">
        <f t="shared" si="177"/>
        <v>4</v>
      </c>
      <c r="H747" s="8" t="str">
        <f t="shared" si="178"/>
        <v>Valid</v>
      </c>
      <c r="I747" t="s">
        <v>3462</v>
      </c>
      <c r="J747" t="s">
        <v>39</v>
      </c>
      <c r="K747" t="s">
        <v>39</v>
      </c>
      <c r="L747" t="s">
        <v>40</v>
      </c>
      <c r="M747" s="3" t="str">
        <f t="shared" si="179"/>
        <v>Small Business</v>
      </c>
      <c r="N747" t="s">
        <v>41</v>
      </c>
      <c r="O747" s="3" t="str">
        <f t="shared" si="180"/>
        <v>East</v>
      </c>
      <c r="P747" t="s">
        <v>215</v>
      </c>
      <c r="Q747" t="s">
        <v>216</v>
      </c>
      <c r="R747" t="s">
        <v>85</v>
      </c>
      <c r="S747" s="3" t="str">
        <f t="shared" si="181"/>
        <v>Technology</v>
      </c>
      <c r="T747" t="s">
        <v>93</v>
      </c>
      <c r="U747" t="s">
        <v>3463</v>
      </c>
      <c r="V747" t="s">
        <v>66</v>
      </c>
      <c r="W747" s="3" t="str">
        <f t="shared" si="182"/>
        <v>Standard Class</v>
      </c>
      <c r="X747">
        <v>3</v>
      </c>
      <c r="Y747">
        <v>723.59</v>
      </c>
      <c r="Z747">
        <v>0.2</v>
      </c>
      <c r="AA747">
        <f t="shared" si="186"/>
        <v>0.2</v>
      </c>
      <c r="AB747">
        <f t="shared" si="187"/>
        <v>1736.616</v>
      </c>
      <c r="AC747">
        <v>1736.62</v>
      </c>
      <c r="AD747">
        <v>1059.52</v>
      </c>
      <c r="AE747">
        <v>677.1</v>
      </c>
      <c r="AF747" t="s">
        <v>33</v>
      </c>
      <c r="AG747" t="s">
        <v>34</v>
      </c>
      <c r="AH747" t="str">
        <f t="shared" si="183"/>
        <v>Completed</v>
      </c>
      <c r="AI747" t="str">
        <f t="shared" si="184"/>
        <v>Valid</v>
      </c>
      <c r="AJ747">
        <f t="shared" si="185"/>
        <v>677.09999999999991</v>
      </c>
      <c r="AK747" s="12">
        <f t="shared" si="188"/>
        <v>0.38989621194322749</v>
      </c>
      <c r="AL747">
        <f t="shared" si="189"/>
        <v>10</v>
      </c>
      <c r="AM747">
        <f t="shared" si="190"/>
        <v>2024</v>
      </c>
      <c r="AN747" t="str">
        <f t="shared" si="191"/>
        <v>Clean</v>
      </c>
    </row>
    <row r="748" spans="1:40">
      <c r="A748" t="s">
        <v>3464</v>
      </c>
      <c r="B748" s="3" t="s">
        <v>1347</v>
      </c>
      <c r="C748" s="10">
        <v>45661</v>
      </c>
      <c r="D748" s="3" t="s">
        <v>3465</v>
      </c>
      <c r="E748" s="10">
        <v>45667</v>
      </c>
      <c r="F748" s="6" t="str">
        <f t="shared" si="176"/>
        <v>Valid</v>
      </c>
      <c r="G748" s="8">
        <f t="shared" si="177"/>
        <v>6</v>
      </c>
      <c r="H748" s="8" t="str">
        <f t="shared" si="178"/>
        <v>Valid</v>
      </c>
      <c r="I748" t="s">
        <v>3052</v>
      </c>
      <c r="J748" t="s">
        <v>161</v>
      </c>
      <c r="K748" t="s">
        <v>161</v>
      </c>
      <c r="L748" t="s">
        <v>114</v>
      </c>
      <c r="M748" s="3" t="str">
        <f t="shared" si="179"/>
        <v>Home Office</v>
      </c>
      <c r="N748" t="s">
        <v>41</v>
      </c>
      <c r="O748" s="3" t="str">
        <f t="shared" si="180"/>
        <v>East</v>
      </c>
      <c r="P748" t="s">
        <v>120</v>
      </c>
      <c r="Q748" t="s">
        <v>121</v>
      </c>
      <c r="R748" t="s">
        <v>29</v>
      </c>
      <c r="S748" s="3" t="str">
        <f t="shared" si="181"/>
        <v>Office Supplies</v>
      </c>
      <c r="T748" t="s">
        <v>30</v>
      </c>
      <c r="U748" t="s">
        <v>3466</v>
      </c>
      <c r="V748" t="s">
        <v>66</v>
      </c>
      <c r="W748" s="3" t="str">
        <f t="shared" si="182"/>
        <v>Standard Class</v>
      </c>
      <c r="X748">
        <v>4</v>
      </c>
      <c r="Y748">
        <v>2583.19</v>
      </c>
      <c r="Z748">
        <v>0.2</v>
      </c>
      <c r="AA748">
        <f t="shared" si="186"/>
        <v>0.2</v>
      </c>
      <c r="AB748">
        <f t="shared" si="187"/>
        <v>8266.2080000000005</v>
      </c>
      <c r="AC748">
        <v>8266.2099999999991</v>
      </c>
      <c r="AD748">
        <v>6236.32</v>
      </c>
      <c r="AE748">
        <v>2029.89</v>
      </c>
      <c r="AF748" t="s">
        <v>33</v>
      </c>
      <c r="AG748" t="s">
        <v>34</v>
      </c>
      <c r="AH748" t="str">
        <f t="shared" si="183"/>
        <v>Completed</v>
      </c>
      <c r="AI748" t="str">
        <f t="shared" si="184"/>
        <v>Valid</v>
      </c>
      <c r="AJ748">
        <f t="shared" si="185"/>
        <v>2029.8899999999994</v>
      </c>
      <c r="AK748" s="12">
        <f t="shared" si="188"/>
        <v>0.24556483456501449</v>
      </c>
      <c r="AL748">
        <f t="shared" si="189"/>
        <v>1</v>
      </c>
      <c r="AM748">
        <f t="shared" si="190"/>
        <v>2025</v>
      </c>
      <c r="AN748" t="str">
        <f t="shared" si="191"/>
        <v>Clean</v>
      </c>
    </row>
    <row r="749" spans="1:40">
      <c r="A749" t="s">
        <v>3467</v>
      </c>
      <c r="B749" s="3" t="s">
        <v>3468</v>
      </c>
      <c r="C749" s="10">
        <v>45413</v>
      </c>
      <c r="D749" s="3" t="s">
        <v>3469</v>
      </c>
      <c r="E749" s="10">
        <v>45419</v>
      </c>
      <c r="F749" s="6" t="str">
        <f t="shared" si="176"/>
        <v>Valid</v>
      </c>
      <c r="G749" s="8">
        <f t="shared" si="177"/>
        <v>6</v>
      </c>
      <c r="H749" s="8" t="str">
        <f t="shared" si="178"/>
        <v>Valid</v>
      </c>
      <c r="I749" t="s">
        <v>3470</v>
      </c>
      <c r="J749" t="s">
        <v>52</v>
      </c>
      <c r="K749" t="s">
        <v>52</v>
      </c>
      <c r="L749" t="s">
        <v>114</v>
      </c>
      <c r="M749" s="3" t="str">
        <f t="shared" si="179"/>
        <v>Home Office</v>
      </c>
      <c r="N749" t="s">
        <v>41</v>
      </c>
      <c r="O749" s="3" t="str">
        <f t="shared" si="180"/>
        <v>East</v>
      </c>
      <c r="P749" t="s">
        <v>42</v>
      </c>
      <c r="Q749" t="s">
        <v>43</v>
      </c>
      <c r="R749" t="s">
        <v>29</v>
      </c>
      <c r="S749" s="3" t="str">
        <f t="shared" si="181"/>
        <v>Office Supplies</v>
      </c>
      <c r="T749" t="s">
        <v>30</v>
      </c>
      <c r="U749" t="s">
        <v>3471</v>
      </c>
      <c r="V749" t="s">
        <v>47</v>
      </c>
      <c r="W749" s="3" t="str">
        <f t="shared" si="182"/>
        <v>Same Day</v>
      </c>
      <c r="X749">
        <v>8</v>
      </c>
      <c r="Y749">
        <v>1473.83</v>
      </c>
      <c r="Z749">
        <v>0.15</v>
      </c>
      <c r="AA749">
        <f t="shared" si="186"/>
        <v>0.15</v>
      </c>
      <c r="AB749">
        <f t="shared" si="187"/>
        <v>10022.044</v>
      </c>
      <c r="AC749">
        <v>10022.040000000001</v>
      </c>
      <c r="AD749">
        <v>5576.98</v>
      </c>
      <c r="AE749">
        <v>4445.0600000000004</v>
      </c>
      <c r="AF749" t="s">
        <v>33</v>
      </c>
      <c r="AG749" t="s">
        <v>34</v>
      </c>
      <c r="AH749" t="str">
        <f t="shared" si="183"/>
        <v>Completed</v>
      </c>
      <c r="AI749" t="str">
        <f t="shared" si="184"/>
        <v>Valid</v>
      </c>
      <c r="AJ749">
        <f t="shared" si="185"/>
        <v>4445.0600000000013</v>
      </c>
      <c r="AK749" s="12">
        <f t="shared" si="188"/>
        <v>0.44352828624579987</v>
      </c>
      <c r="AL749">
        <f t="shared" si="189"/>
        <v>5</v>
      </c>
      <c r="AM749">
        <f t="shared" si="190"/>
        <v>2024</v>
      </c>
      <c r="AN749" t="str">
        <f t="shared" si="191"/>
        <v>Clean</v>
      </c>
    </row>
    <row r="750" spans="1:40">
      <c r="A750" t="s">
        <v>3472</v>
      </c>
      <c r="B750" s="3" t="s">
        <v>3473</v>
      </c>
      <c r="C750" s="10">
        <v>45442</v>
      </c>
      <c r="D750" s="3" t="s">
        <v>3474</v>
      </c>
      <c r="E750" s="10">
        <v>45442</v>
      </c>
      <c r="F750" s="6" t="str">
        <f t="shared" si="176"/>
        <v>Valid</v>
      </c>
      <c r="G750" s="8">
        <f t="shared" si="177"/>
        <v>0</v>
      </c>
      <c r="H750" s="8" t="str">
        <f t="shared" si="178"/>
        <v>Valid</v>
      </c>
      <c r="I750" t="s">
        <v>3475</v>
      </c>
      <c r="J750" t="s">
        <v>209</v>
      </c>
      <c r="K750" t="s">
        <v>209</v>
      </c>
      <c r="L750" t="s">
        <v>114</v>
      </c>
      <c r="M750" s="3" t="str">
        <f t="shared" si="179"/>
        <v>Home Office</v>
      </c>
      <c r="N750" t="s">
        <v>26</v>
      </c>
      <c r="O750" s="3" t="str">
        <f t="shared" si="180"/>
        <v>North</v>
      </c>
      <c r="P750" t="s">
        <v>322</v>
      </c>
      <c r="Q750" t="s">
        <v>323</v>
      </c>
      <c r="R750" t="s">
        <v>85</v>
      </c>
      <c r="S750" s="3" t="str">
        <f t="shared" si="181"/>
        <v>Technology</v>
      </c>
      <c r="T750" t="s">
        <v>222</v>
      </c>
      <c r="U750" t="s">
        <v>3476</v>
      </c>
      <c r="V750" t="s">
        <v>32</v>
      </c>
      <c r="W750" s="3" t="str">
        <f t="shared" si="182"/>
        <v>Second Class</v>
      </c>
      <c r="X750">
        <v>1</v>
      </c>
      <c r="Y750">
        <v>3848.04</v>
      </c>
      <c r="Z750">
        <v>0.25</v>
      </c>
      <c r="AA750">
        <f t="shared" si="186"/>
        <v>0.25</v>
      </c>
      <c r="AB750">
        <f t="shared" si="187"/>
        <v>2886.0299999999997</v>
      </c>
      <c r="AC750">
        <v>2886.03</v>
      </c>
      <c r="AD750">
        <v>2064.83</v>
      </c>
      <c r="AE750">
        <v>821.2</v>
      </c>
      <c r="AF750" t="s">
        <v>33</v>
      </c>
      <c r="AG750" t="s">
        <v>34</v>
      </c>
      <c r="AH750" t="str">
        <f t="shared" si="183"/>
        <v>Completed</v>
      </c>
      <c r="AI750" t="str">
        <f t="shared" si="184"/>
        <v>Valid</v>
      </c>
      <c r="AJ750">
        <f t="shared" si="185"/>
        <v>821.20000000000027</v>
      </c>
      <c r="AK750" s="12">
        <f t="shared" si="188"/>
        <v>0.28454312671732462</v>
      </c>
      <c r="AL750">
        <f t="shared" si="189"/>
        <v>5</v>
      </c>
      <c r="AM750">
        <f t="shared" si="190"/>
        <v>2024</v>
      </c>
      <c r="AN750" t="str">
        <f t="shared" si="191"/>
        <v>Clean</v>
      </c>
    </row>
    <row r="751" spans="1:40">
      <c r="A751" t="s">
        <v>3477</v>
      </c>
      <c r="B751" s="3" t="s">
        <v>3478</v>
      </c>
      <c r="C751" s="10">
        <v>45372</v>
      </c>
      <c r="D751" s="3" t="s">
        <v>3479</v>
      </c>
      <c r="E751" s="10">
        <v>45376</v>
      </c>
      <c r="F751" s="6" t="str">
        <f t="shared" si="176"/>
        <v>Valid</v>
      </c>
      <c r="G751" s="8">
        <f t="shared" si="177"/>
        <v>4</v>
      </c>
      <c r="H751" s="8" t="str">
        <f t="shared" si="178"/>
        <v>Valid</v>
      </c>
      <c r="I751" t="s">
        <v>3480</v>
      </c>
      <c r="J751" t="s">
        <v>106</v>
      </c>
      <c r="K751" t="s">
        <v>106</v>
      </c>
      <c r="L751" t="s">
        <v>114</v>
      </c>
      <c r="M751" s="3" t="str">
        <f t="shared" si="179"/>
        <v>Home Office</v>
      </c>
      <c r="N751" t="s">
        <v>41</v>
      </c>
      <c r="O751" s="3" t="str">
        <f t="shared" si="180"/>
        <v>East</v>
      </c>
      <c r="P751" t="s">
        <v>215</v>
      </c>
      <c r="Q751" t="s">
        <v>216</v>
      </c>
      <c r="R751" t="s">
        <v>85</v>
      </c>
      <c r="S751" s="3" t="str">
        <f t="shared" si="181"/>
        <v>Technology</v>
      </c>
      <c r="T751" t="s">
        <v>381</v>
      </c>
      <c r="U751" t="s">
        <v>3481</v>
      </c>
      <c r="V751" t="s">
        <v>66</v>
      </c>
      <c r="W751" s="3" t="str">
        <f t="shared" si="182"/>
        <v>Standard Class</v>
      </c>
      <c r="X751">
        <v>1</v>
      </c>
      <c r="Y751">
        <v>1716.7</v>
      </c>
      <c r="Z751">
        <v>0.15</v>
      </c>
      <c r="AA751">
        <f t="shared" si="186"/>
        <v>0.15</v>
      </c>
      <c r="AB751">
        <f t="shared" si="187"/>
        <v>1459.1949999999999</v>
      </c>
      <c r="AC751">
        <v>1459.19</v>
      </c>
      <c r="AD751">
        <v>1055.79</v>
      </c>
      <c r="AE751">
        <v>403.4</v>
      </c>
      <c r="AF751" t="s">
        <v>33</v>
      </c>
      <c r="AG751" t="s">
        <v>34</v>
      </c>
      <c r="AH751" t="str">
        <f t="shared" si="183"/>
        <v>Completed</v>
      </c>
      <c r="AI751" t="str">
        <f t="shared" si="184"/>
        <v>Valid</v>
      </c>
      <c r="AJ751">
        <f t="shared" si="185"/>
        <v>403.40000000000009</v>
      </c>
      <c r="AK751" s="12">
        <f t="shared" si="188"/>
        <v>0.2764537981558326</v>
      </c>
      <c r="AL751">
        <f t="shared" si="189"/>
        <v>3</v>
      </c>
      <c r="AM751">
        <f t="shared" si="190"/>
        <v>2024</v>
      </c>
      <c r="AN751" t="str">
        <f t="shared" si="191"/>
        <v>Clean</v>
      </c>
    </row>
    <row r="752" spans="1:40">
      <c r="A752" t="s">
        <v>3482</v>
      </c>
      <c r="B752" s="3" t="s">
        <v>3483</v>
      </c>
      <c r="C752" s="10">
        <v>45810</v>
      </c>
      <c r="D752" s="3" t="s">
        <v>374</v>
      </c>
      <c r="E752" s="10">
        <v>45810</v>
      </c>
      <c r="F752" s="6" t="str">
        <f t="shared" si="176"/>
        <v>Valid</v>
      </c>
      <c r="G752" s="8">
        <f t="shared" si="177"/>
        <v>0</v>
      </c>
      <c r="H752" s="8" t="str">
        <f t="shared" si="178"/>
        <v>Valid</v>
      </c>
      <c r="I752" t="s">
        <v>3484</v>
      </c>
      <c r="J752" t="s">
        <v>161</v>
      </c>
      <c r="K752" t="s">
        <v>161</v>
      </c>
      <c r="L752" t="s">
        <v>114</v>
      </c>
      <c r="M752" s="3" t="str">
        <f t="shared" si="179"/>
        <v>Home Office</v>
      </c>
      <c r="N752" t="s">
        <v>61</v>
      </c>
      <c r="O752" s="3" t="str">
        <f t="shared" si="180"/>
        <v>South</v>
      </c>
      <c r="P752" t="s">
        <v>62</v>
      </c>
      <c r="Q752" t="s">
        <v>63</v>
      </c>
      <c r="R752" t="s">
        <v>85</v>
      </c>
      <c r="S752" s="3" t="str">
        <f t="shared" si="181"/>
        <v>Technology</v>
      </c>
      <c r="T752" t="s">
        <v>86</v>
      </c>
      <c r="U752" t="s">
        <v>3485</v>
      </c>
      <c r="V752" t="s">
        <v>55</v>
      </c>
      <c r="W752" s="3" t="str">
        <f t="shared" si="182"/>
        <v>First Class</v>
      </c>
      <c r="X752">
        <v>8</v>
      </c>
      <c r="Y752">
        <v>3925.93</v>
      </c>
      <c r="Z752">
        <v>0.15</v>
      </c>
      <c r="AA752">
        <f t="shared" si="186"/>
        <v>0.15</v>
      </c>
      <c r="AB752">
        <f t="shared" si="187"/>
        <v>26696.323999999997</v>
      </c>
      <c r="AC752">
        <v>26696.32</v>
      </c>
      <c r="AD752">
        <v>22724.52</v>
      </c>
      <c r="AE752">
        <v>3971.8</v>
      </c>
      <c r="AF752" t="s">
        <v>33</v>
      </c>
      <c r="AG752" t="s">
        <v>34</v>
      </c>
      <c r="AH752" t="str">
        <f t="shared" si="183"/>
        <v>Completed</v>
      </c>
      <c r="AI752" t="str">
        <f t="shared" si="184"/>
        <v>Valid</v>
      </c>
      <c r="AJ752">
        <f t="shared" si="185"/>
        <v>3971.7999999999993</v>
      </c>
      <c r="AK752" s="12">
        <f t="shared" si="188"/>
        <v>0.14877703761761357</v>
      </c>
      <c r="AL752">
        <f t="shared" si="189"/>
        <v>6</v>
      </c>
      <c r="AM752">
        <f t="shared" si="190"/>
        <v>2025</v>
      </c>
      <c r="AN752" t="str">
        <f t="shared" si="191"/>
        <v>Clean</v>
      </c>
    </row>
    <row r="753" spans="1:40">
      <c r="A753" t="s">
        <v>3486</v>
      </c>
      <c r="B753" s="3" t="s">
        <v>719</v>
      </c>
      <c r="C753" s="10">
        <v>45856</v>
      </c>
      <c r="D753" s="3" t="s">
        <v>3487</v>
      </c>
      <c r="E753" s="10">
        <v>45857</v>
      </c>
      <c r="F753" s="6" t="str">
        <f t="shared" si="176"/>
        <v>Valid</v>
      </c>
      <c r="G753" s="8">
        <f t="shared" si="177"/>
        <v>1</v>
      </c>
      <c r="H753" s="8" t="str">
        <f t="shared" si="178"/>
        <v>Valid</v>
      </c>
      <c r="I753" t="s">
        <v>3488</v>
      </c>
      <c r="J753" t="s">
        <v>141</v>
      </c>
      <c r="K753" t="s">
        <v>141</v>
      </c>
      <c r="L753" t="s">
        <v>114</v>
      </c>
      <c r="M753" s="3" t="str">
        <f t="shared" si="179"/>
        <v>Home Office</v>
      </c>
      <c r="O753" s="3" t="str">
        <f t="shared" si="180"/>
        <v>Unknown</v>
      </c>
      <c r="P753" t="s">
        <v>173</v>
      </c>
      <c r="Q753" t="s">
        <v>174</v>
      </c>
      <c r="R753" t="s">
        <v>85</v>
      </c>
      <c r="S753" s="3" t="str">
        <f t="shared" si="181"/>
        <v>Technology</v>
      </c>
      <c r="T753" t="s">
        <v>381</v>
      </c>
      <c r="U753" t="s">
        <v>3489</v>
      </c>
      <c r="W753" s="3" t="str">
        <f t="shared" si="182"/>
        <v>Unknown</v>
      </c>
      <c r="X753">
        <v>3</v>
      </c>
      <c r="Y753">
        <v>2963.25</v>
      </c>
      <c r="Z753">
        <v>0.05</v>
      </c>
      <c r="AA753">
        <f t="shared" si="186"/>
        <v>0.05</v>
      </c>
      <c r="AB753">
        <f t="shared" si="187"/>
        <v>8445.2624999999989</v>
      </c>
      <c r="AC753">
        <v>8445.26</v>
      </c>
      <c r="AD753">
        <v>6937.6</v>
      </c>
      <c r="AE753">
        <v>1507.66</v>
      </c>
      <c r="AF753" t="s">
        <v>33</v>
      </c>
      <c r="AG753" t="s">
        <v>34</v>
      </c>
      <c r="AH753" t="str">
        <f t="shared" si="183"/>
        <v>Completed</v>
      </c>
      <c r="AI753" t="str">
        <f t="shared" si="184"/>
        <v>Valid</v>
      </c>
      <c r="AJ753">
        <f t="shared" si="185"/>
        <v>1507.6599999999999</v>
      </c>
      <c r="AK753" s="12">
        <f t="shared" si="188"/>
        <v>0.17852138995087483</v>
      </c>
      <c r="AL753">
        <f t="shared" si="189"/>
        <v>7</v>
      </c>
      <c r="AM753">
        <f t="shared" si="190"/>
        <v>2025</v>
      </c>
      <c r="AN753" t="str">
        <f t="shared" si="191"/>
        <v>Clean</v>
      </c>
    </row>
    <row r="754" spans="1:40">
      <c r="A754" t="s">
        <v>3490</v>
      </c>
      <c r="B754" s="3" t="s">
        <v>2216</v>
      </c>
      <c r="C754" s="10">
        <v>45375</v>
      </c>
      <c r="D754" s="3" t="s">
        <v>3161</v>
      </c>
      <c r="E754" s="10">
        <v>45378</v>
      </c>
      <c r="F754" s="6" t="str">
        <f t="shared" si="176"/>
        <v>Valid</v>
      </c>
      <c r="G754" s="8">
        <f t="shared" si="177"/>
        <v>3</v>
      </c>
      <c r="H754" s="8" t="str">
        <f t="shared" si="178"/>
        <v>Valid</v>
      </c>
      <c r="I754" t="s">
        <v>3491</v>
      </c>
      <c r="J754" t="s">
        <v>106</v>
      </c>
      <c r="K754" t="s">
        <v>106</v>
      </c>
      <c r="L754" t="s">
        <v>107</v>
      </c>
      <c r="M754" s="3" t="str">
        <f t="shared" si="179"/>
        <v>Corporate</v>
      </c>
      <c r="N754" t="s">
        <v>72</v>
      </c>
      <c r="O754" s="3" t="str">
        <f t="shared" si="180"/>
        <v>West</v>
      </c>
      <c r="P754" t="s">
        <v>234</v>
      </c>
      <c r="Q754" t="s">
        <v>235</v>
      </c>
      <c r="R754" t="s">
        <v>29</v>
      </c>
      <c r="S754" s="3" t="str">
        <f t="shared" si="181"/>
        <v>Office Supplies</v>
      </c>
      <c r="T754" t="s">
        <v>155</v>
      </c>
      <c r="U754" t="s">
        <v>3492</v>
      </c>
      <c r="V754" t="s">
        <v>55</v>
      </c>
      <c r="W754" s="3" t="str">
        <f t="shared" si="182"/>
        <v>First Class</v>
      </c>
      <c r="X754">
        <v>5</v>
      </c>
      <c r="Y754">
        <v>2465.2199999999998</v>
      </c>
      <c r="Z754">
        <v>0.05</v>
      </c>
      <c r="AA754">
        <f t="shared" si="186"/>
        <v>0.05</v>
      </c>
      <c r="AB754">
        <f t="shared" si="187"/>
        <v>11709.794999999998</v>
      </c>
      <c r="AC754">
        <v>11709.79</v>
      </c>
      <c r="AD754">
        <v>8372.2900000000009</v>
      </c>
      <c r="AE754">
        <v>3337.5</v>
      </c>
      <c r="AF754" t="s">
        <v>33</v>
      </c>
      <c r="AG754" t="s">
        <v>34</v>
      </c>
      <c r="AH754" t="str">
        <f t="shared" si="183"/>
        <v>Completed</v>
      </c>
      <c r="AI754" t="str">
        <f t="shared" si="184"/>
        <v>Valid</v>
      </c>
      <c r="AJ754">
        <f t="shared" si="185"/>
        <v>3337.5</v>
      </c>
      <c r="AK754" s="12">
        <f t="shared" si="188"/>
        <v>0.28501779920143783</v>
      </c>
      <c r="AL754">
        <f t="shared" si="189"/>
        <v>3</v>
      </c>
      <c r="AM754">
        <f t="shared" si="190"/>
        <v>2024</v>
      </c>
      <c r="AN754" t="str">
        <f t="shared" si="191"/>
        <v>Clean</v>
      </c>
    </row>
    <row r="755" spans="1:40">
      <c r="A755" t="s">
        <v>3493</v>
      </c>
      <c r="B755" s="3" t="s">
        <v>2437</v>
      </c>
      <c r="C755" s="10">
        <v>45515</v>
      </c>
      <c r="D755" s="3" t="s">
        <v>2797</v>
      </c>
      <c r="E755" s="10">
        <v>45514</v>
      </c>
      <c r="F755" s="6" t="str">
        <f t="shared" si="176"/>
        <v>Invalid Shipping Record</v>
      </c>
      <c r="G755" s="8">
        <f t="shared" si="177"/>
        <v>-1</v>
      </c>
      <c r="H755" s="8" t="str">
        <f t="shared" si="178"/>
        <v>Invalid Shipping Record</v>
      </c>
      <c r="I755" t="s">
        <v>3494</v>
      </c>
      <c r="J755" t="s">
        <v>106</v>
      </c>
      <c r="K755" t="s">
        <v>106</v>
      </c>
      <c r="L755" t="s">
        <v>107</v>
      </c>
      <c r="M755" s="3" t="str">
        <f t="shared" si="179"/>
        <v>Corporate</v>
      </c>
      <c r="N755" t="s">
        <v>26</v>
      </c>
      <c r="O755" s="3" t="str">
        <f t="shared" si="180"/>
        <v>North</v>
      </c>
      <c r="P755" t="s">
        <v>505</v>
      </c>
      <c r="Q755" t="s">
        <v>506</v>
      </c>
      <c r="R755" t="s">
        <v>44</v>
      </c>
      <c r="S755" s="3" t="str">
        <f t="shared" si="181"/>
        <v>Furniture</v>
      </c>
      <c r="T755" t="s">
        <v>64</v>
      </c>
      <c r="U755" t="s">
        <v>3495</v>
      </c>
      <c r="V755" t="s">
        <v>32</v>
      </c>
      <c r="W755" s="3" t="str">
        <f t="shared" si="182"/>
        <v>Second Class</v>
      </c>
      <c r="X755">
        <v>3</v>
      </c>
      <c r="Y755">
        <v>1017.22</v>
      </c>
      <c r="Z755">
        <v>0.15</v>
      </c>
      <c r="AA755">
        <f t="shared" si="186"/>
        <v>0.15</v>
      </c>
      <c r="AB755">
        <f t="shared" si="187"/>
        <v>2593.9109999999996</v>
      </c>
      <c r="AC755">
        <v>2593.91</v>
      </c>
      <c r="AD755">
        <v>1848.48</v>
      </c>
      <c r="AE755">
        <v>745.43</v>
      </c>
      <c r="AF755" t="s">
        <v>199</v>
      </c>
      <c r="AG755" t="s">
        <v>124</v>
      </c>
      <c r="AH755" t="str">
        <f t="shared" si="183"/>
        <v>Returned</v>
      </c>
      <c r="AI755" t="str">
        <f t="shared" si="184"/>
        <v>Valid</v>
      </c>
      <c r="AJ755">
        <f t="shared" si="185"/>
        <v>745.42999999999984</v>
      </c>
      <c r="AK755" s="12">
        <f t="shared" si="188"/>
        <v>0.28737686065558915</v>
      </c>
      <c r="AL755">
        <f t="shared" si="189"/>
        <v>8</v>
      </c>
      <c r="AM755">
        <f t="shared" si="190"/>
        <v>2024</v>
      </c>
      <c r="AN755" t="str">
        <f t="shared" si="191"/>
        <v>Invalid</v>
      </c>
    </row>
    <row r="756" spans="1:40">
      <c r="A756" t="s">
        <v>3496</v>
      </c>
      <c r="B756" s="3" t="s">
        <v>3497</v>
      </c>
      <c r="C756" s="10">
        <v>45812</v>
      </c>
      <c r="D756" s="3" t="s">
        <v>3497</v>
      </c>
      <c r="E756" s="10">
        <v>45812</v>
      </c>
      <c r="F756" s="6" t="str">
        <f t="shared" si="176"/>
        <v>Valid</v>
      </c>
      <c r="G756" s="8">
        <f t="shared" si="177"/>
        <v>0</v>
      </c>
      <c r="H756" s="8" t="str">
        <f t="shared" si="178"/>
        <v>Valid</v>
      </c>
      <c r="I756" t="s">
        <v>3498</v>
      </c>
      <c r="J756" t="s">
        <v>92</v>
      </c>
      <c r="K756" t="s">
        <v>92</v>
      </c>
      <c r="L756" t="s">
        <v>107</v>
      </c>
      <c r="M756" s="3" t="str">
        <f t="shared" si="179"/>
        <v>Corporate</v>
      </c>
      <c r="N756" t="s">
        <v>61</v>
      </c>
      <c r="O756" s="3" t="str">
        <f t="shared" si="180"/>
        <v>South</v>
      </c>
      <c r="P756" t="s">
        <v>241</v>
      </c>
      <c r="Q756" t="s">
        <v>242</v>
      </c>
      <c r="R756" t="s">
        <v>29</v>
      </c>
      <c r="S756" s="3" t="str">
        <f t="shared" si="181"/>
        <v>Office Supplies</v>
      </c>
      <c r="T756" t="s">
        <v>155</v>
      </c>
      <c r="U756" t="s">
        <v>3499</v>
      </c>
      <c r="V756" t="s">
        <v>66</v>
      </c>
      <c r="W756" s="3" t="str">
        <f t="shared" si="182"/>
        <v>Standard Class</v>
      </c>
      <c r="X756">
        <v>4</v>
      </c>
      <c r="Y756">
        <v>891.34</v>
      </c>
      <c r="Z756">
        <v>0.25</v>
      </c>
      <c r="AA756">
        <f t="shared" si="186"/>
        <v>0.25</v>
      </c>
      <c r="AB756">
        <f t="shared" si="187"/>
        <v>2674.02</v>
      </c>
      <c r="AC756">
        <v>2674.02</v>
      </c>
      <c r="AD756">
        <v>2207.5700000000002</v>
      </c>
      <c r="AE756">
        <v>466.45</v>
      </c>
      <c r="AF756" t="s">
        <v>33</v>
      </c>
      <c r="AG756" t="s">
        <v>34</v>
      </c>
      <c r="AH756" t="str">
        <f t="shared" si="183"/>
        <v>Completed</v>
      </c>
      <c r="AI756" t="str">
        <f t="shared" si="184"/>
        <v>Valid</v>
      </c>
      <c r="AJ756">
        <f t="shared" si="185"/>
        <v>466.44999999999982</v>
      </c>
      <c r="AK756" s="12">
        <f t="shared" si="188"/>
        <v>0.17443773793763689</v>
      </c>
      <c r="AL756">
        <f t="shared" si="189"/>
        <v>6</v>
      </c>
      <c r="AM756">
        <f t="shared" si="190"/>
        <v>2025</v>
      </c>
      <c r="AN756" t="str">
        <f t="shared" si="191"/>
        <v>Clean</v>
      </c>
    </row>
    <row r="757" spans="1:40">
      <c r="A757" t="s">
        <v>3500</v>
      </c>
      <c r="B757" s="3" t="s">
        <v>1093</v>
      </c>
      <c r="C757" s="10">
        <v>45858</v>
      </c>
      <c r="D757" s="3" t="s">
        <v>1728</v>
      </c>
      <c r="E757" s="10">
        <v>45862</v>
      </c>
      <c r="F757" s="6" t="str">
        <f t="shared" si="176"/>
        <v>Valid</v>
      </c>
      <c r="G757" s="8">
        <f t="shared" si="177"/>
        <v>4</v>
      </c>
      <c r="H757" s="8" t="str">
        <f t="shared" si="178"/>
        <v>Valid</v>
      </c>
      <c r="I757" t="s">
        <v>3501</v>
      </c>
      <c r="J757" t="s">
        <v>141</v>
      </c>
      <c r="K757" t="s">
        <v>141</v>
      </c>
      <c r="L757" t="s">
        <v>114</v>
      </c>
      <c r="M757" s="3" t="str">
        <f t="shared" si="179"/>
        <v>Home Office</v>
      </c>
      <c r="N757" t="s">
        <v>72</v>
      </c>
      <c r="O757" s="3" t="str">
        <f t="shared" si="180"/>
        <v>West</v>
      </c>
      <c r="P757" t="s">
        <v>83</v>
      </c>
      <c r="Q757" t="s">
        <v>84</v>
      </c>
      <c r="R757" t="s">
        <v>29</v>
      </c>
      <c r="S757" s="3" t="str">
        <f t="shared" si="181"/>
        <v>Office Supplies</v>
      </c>
      <c r="T757" t="s">
        <v>155</v>
      </c>
      <c r="U757" t="s">
        <v>3502</v>
      </c>
      <c r="V757" t="s">
        <v>32</v>
      </c>
      <c r="W757" s="3" t="str">
        <f t="shared" si="182"/>
        <v>Second Class</v>
      </c>
      <c r="X757">
        <v>5</v>
      </c>
      <c r="Y757">
        <v>2481.7399999999998</v>
      </c>
      <c r="Z757">
        <v>0.2</v>
      </c>
      <c r="AA757">
        <f t="shared" si="186"/>
        <v>0.2</v>
      </c>
      <c r="AB757">
        <f t="shared" si="187"/>
        <v>9926.9599999999991</v>
      </c>
      <c r="AC757">
        <v>9926.9599999999991</v>
      </c>
      <c r="AD757">
        <v>7994.98</v>
      </c>
      <c r="AE757">
        <v>1931.98</v>
      </c>
      <c r="AF757" t="s">
        <v>33</v>
      </c>
      <c r="AG757" t="s">
        <v>34</v>
      </c>
      <c r="AH757" t="str">
        <f t="shared" si="183"/>
        <v>Completed</v>
      </c>
      <c r="AI757" t="str">
        <f t="shared" si="184"/>
        <v>Valid</v>
      </c>
      <c r="AJ757">
        <f t="shared" si="185"/>
        <v>1931.9799999999996</v>
      </c>
      <c r="AK757" s="12">
        <f t="shared" si="188"/>
        <v>0.19461950083409219</v>
      </c>
      <c r="AL757">
        <f t="shared" si="189"/>
        <v>7</v>
      </c>
      <c r="AM757">
        <f t="shared" si="190"/>
        <v>2025</v>
      </c>
      <c r="AN757" t="str">
        <f t="shared" si="191"/>
        <v>Clean</v>
      </c>
    </row>
    <row r="758" spans="1:40">
      <c r="A758" t="s">
        <v>3503</v>
      </c>
      <c r="B758" s="3" t="s">
        <v>3504</v>
      </c>
      <c r="C758" s="10">
        <v>45592</v>
      </c>
      <c r="D758" s="3" t="s">
        <v>3505</v>
      </c>
      <c r="E758" s="10">
        <v>45597</v>
      </c>
      <c r="F758" s="6" t="str">
        <f t="shared" si="176"/>
        <v>Valid</v>
      </c>
      <c r="G758" s="8">
        <f t="shared" si="177"/>
        <v>5</v>
      </c>
      <c r="H758" s="8" t="str">
        <f t="shared" si="178"/>
        <v>Valid</v>
      </c>
      <c r="I758" t="s">
        <v>3506</v>
      </c>
      <c r="J758" t="s">
        <v>179</v>
      </c>
      <c r="K758" t="s">
        <v>179</v>
      </c>
      <c r="L758" t="s">
        <v>25</v>
      </c>
      <c r="M758" s="3" t="str">
        <f t="shared" si="179"/>
        <v>Consumer</v>
      </c>
      <c r="N758" t="s">
        <v>26</v>
      </c>
      <c r="O758" s="3" t="str">
        <f t="shared" si="180"/>
        <v>North</v>
      </c>
      <c r="P758" t="s">
        <v>27</v>
      </c>
      <c r="Q758" t="s">
        <v>28</v>
      </c>
      <c r="R758" t="s">
        <v>85</v>
      </c>
      <c r="S758" s="3" t="str">
        <f t="shared" si="181"/>
        <v>Technology</v>
      </c>
      <c r="T758" t="s">
        <v>86</v>
      </c>
      <c r="U758" t="s">
        <v>3507</v>
      </c>
      <c r="V758" t="s">
        <v>47</v>
      </c>
      <c r="W758" s="3" t="str">
        <f t="shared" si="182"/>
        <v>Same Day</v>
      </c>
      <c r="X758">
        <v>7</v>
      </c>
      <c r="Y758">
        <v>2177.1</v>
      </c>
      <c r="Z758">
        <v>0.2</v>
      </c>
      <c r="AA758">
        <f t="shared" si="186"/>
        <v>0.2</v>
      </c>
      <c r="AB758">
        <f t="shared" si="187"/>
        <v>12191.76</v>
      </c>
      <c r="AC758">
        <v>12191.76</v>
      </c>
      <c r="AD758">
        <v>10457.49</v>
      </c>
      <c r="AE758">
        <v>1734.27</v>
      </c>
      <c r="AF758" t="s">
        <v>33</v>
      </c>
      <c r="AG758" t="s">
        <v>124</v>
      </c>
      <c r="AH758" t="str">
        <f t="shared" si="183"/>
        <v>Returned</v>
      </c>
      <c r="AI758" t="str">
        <f t="shared" si="184"/>
        <v>Valid</v>
      </c>
      <c r="AJ758">
        <f t="shared" si="185"/>
        <v>1734.2700000000004</v>
      </c>
      <c r="AK758" s="12">
        <f t="shared" si="188"/>
        <v>0.14224935530226976</v>
      </c>
      <c r="AL758">
        <f t="shared" si="189"/>
        <v>10</v>
      </c>
      <c r="AM758">
        <f t="shared" si="190"/>
        <v>2024</v>
      </c>
      <c r="AN758" t="str">
        <f t="shared" si="191"/>
        <v>Clean</v>
      </c>
    </row>
    <row r="759" spans="1:40">
      <c r="A759" t="s">
        <v>3508</v>
      </c>
      <c r="B759" s="3" t="s">
        <v>3509</v>
      </c>
      <c r="C759" s="10">
        <v>45870</v>
      </c>
      <c r="D759" s="3" t="s">
        <v>3510</v>
      </c>
      <c r="E759" s="10">
        <v>45872</v>
      </c>
      <c r="F759" s="6" t="str">
        <f t="shared" si="176"/>
        <v>Valid</v>
      </c>
      <c r="G759" s="8">
        <f t="shared" si="177"/>
        <v>2</v>
      </c>
      <c r="H759" s="8" t="str">
        <f t="shared" si="178"/>
        <v>Valid</v>
      </c>
      <c r="I759" t="s">
        <v>3511</v>
      </c>
      <c r="J759" t="s">
        <v>106</v>
      </c>
      <c r="K759" t="s">
        <v>106</v>
      </c>
      <c r="L759" t="s">
        <v>40</v>
      </c>
      <c r="M759" s="3" t="str">
        <f t="shared" si="179"/>
        <v>Small Business</v>
      </c>
      <c r="N759" t="s">
        <v>61</v>
      </c>
      <c r="O759" s="3" t="str">
        <f t="shared" si="180"/>
        <v>South</v>
      </c>
      <c r="P759" t="s">
        <v>241</v>
      </c>
      <c r="Q759" t="s">
        <v>242</v>
      </c>
      <c r="R759" t="s">
        <v>44</v>
      </c>
      <c r="S759" s="3" t="str">
        <f t="shared" si="181"/>
        <v>Furniture</v>
      </c>
      <c r="T759" t="s">
        <v>203</v>
      </c>
      <c r="U759" t="s">
        <v>3512</v>
      </c>
      <c r="V759" t="s">
        <v>66</v>
      </c>
      <c r="W759" s="3" t="str">
        <f t="shared" si="182"/>
        <v>Standard Class</v>
      </c>
      <c r="X759">
        <v>3</v>
      </c>
      <c r="Y759">
        <v>1904.78</v>
      </c>
      <c r="Z759">
        <v>0.25</v>
      </c>
      <c r="AA759">
        <f t="shared" si="186"/>
        <v>0.25</v>
      </c>
      <c r="AB759">
        <f t="shared" si="187"/>
        <v>4285.7550000000001</v>
      </c>
      <c r="AC759">
        <v>4285.76</v>
      </c>
      <c r="AD759">
        <v>2386.33</v>
      </c>
      <c r="AE759">
        <v>1899.43</v>
      </c>
      <c r="AF759" t="s">
        <v>199</v>
      </c>
      <c r="AG759" t="s">
        <v>77</v>
      </c>
      <c r="AH759" t="str">
        <f t="shared" si="183"/>
        <v>Cancelled</v>
      </c>
      <c r="AI759" t="str">
        <f t="shared" si="184"/>
        <v>Valid</v>
      </c>
      <c r="AJ759">
        <f t="shared" si="185"/>
        <v>1899.4300000000003</v>
      </c>
      <c r="AK759" s="12">
        <f t="shared" si="188"/>
        <v>0.4431961229701652</v>
      </c>
      <c r="AL759">
        <f t="shared" si="189"/>
        <v>8</v>
      </c>
      <c r="AM759">
        <f t="shared" si="190"/>
        <v>2025</v>
      </c>
      <c r="AN759" t="str">
        <f t="shared" si="191"/>
        <v>Clean</v>
      </c>
    </row>
    <row r="760" spans="1:40">
      <c r="A760" t="s">
        <v>3513</v>
      </c>
      <c r="B760" s="3" t="s">
        <v>3514</v>
      </c>
      <c r="C760" s="10">
        <v>45414</v>
      </c>
      <c r="D760" s="3" t="s">
        <v>2703</v>
      </c>
      <c r="E760" s="10">
        <v>45422</v>
      </c>
      <c r="F760" s="6" t="str">
        <f t="shared" si="176"/>
        <v>Valid</v>
      </c>
      <c r="G760" s="8">
        <f t="shared" si="177"/>
        <v>8</v>
      </c>
      <c r="H760" s="8" t="str">
        <f t="shared" si="178"/>
        <v>Valid</v>
      </c>
      <c r="I760" t="s">
        <v>3515</v>
      </c>
      <c r="J760" t="s">
        <v>161</v>
      </c>
      <c r="K760" t="s">
        <v>161</v>
      </c>
      <c r="L760" t="s">
        <v>40</v>
      </c>
      <c r="M760" s="3" t="str">
        <f t="shared" si="179"/>
        <v>Small Business</v>
      </c>
      <c r="N760" t="s">
        <v>61</v>
      </c>
      <c r="O760" s="3" t="str">
        <f t="shared" si="180"/>
        <v>South</v>
      </c>
      <c r="P760" t="s">
        <v>228</v>
      </c>
      <c r="Q760" t="s">
        <v>229</v>
      </c>
      <c r="R760" t="s">
        <v>44</v>
      </c>
      <c r="S760" s="3" t="str">
        <f t="shared" si="181"/>
        <v>Furniture</v>
      </c>
      <c r="T760" t="s">
        <v>75</v>
      </c>
      <c r="U760" t="s">
        <v>3516</v>
      </c>
      <c r="V760" t="s">
        <v>66</v>
      </c>
      <c r="W760" s="3" t="str">
        <f t="shared" si="182"/>
        <v>Standard Class</v>
      </c>
      <c r="X760">
        <v>1</v>
      </c>
      <c r="Y760">
        <v>4166.91</v>
      </c>
      <c r="Z760">
        <v>0</v>
      </c>
      <c r="AA760">
        <f t="shared" si="186"/>
        <v>0</v>
      </c>
      <c r="AB760">
        <f t="shared" si="187"/>
        <v>4166.91</v>
      </c>
      <c r="AC760">
        <v>4166.91</v>
      </c>
      <c r="AD760">
        <v>3412.63</v>
      </c>
      <c r="AE760">
        <v>754.28</v>
      </c>
      <c r="AF760" t="s">
        <v>33</v>
      </c>
      <c r="AG760" t="s">
        <v>34</v>
      </c>
      <c r="AH760" t="str">
        <f t="shared" si="183"/>
        <v>Completed</v>
      </c>
      <c r="AI760" t="str">
        <f t="shared" si="184"/>
        <v>Valid</v>
      </c>
      <c r="AJ760">
        <f t="shared" si="185"/>
        <v>754.27999999999975</v>
      </c>
      <c r="AK760" s="12">
        <f t="shared" si="188"/>
        <v>0.18101662862888801</v>
      </c>
      <c r="AL760">
        <f t="shared" si="189"/>
        <v>5</v>
      </c>
      <c r="AM760">
        <f t="shared" si="190"/>
        <v>2024</v>
      </c>
      <c r="AN760" t="str">
        <f t="shared" si="191"/>
        <v>Clean</v>
      </c>
    </row>
    <row r="761" spans="1:40">
      <c r="A761" t="s">
        <v>3517</v>
      </c>
      <c r="B761" s="3" t="s">
        <v>405</v>
      </c>
      <c r="C761" s="10">
        <v>45492</v>
      </c>
      <c r="D761" s="3" t="s">
        <v>3518</v>
      </c>
      <c r="E761" s="10">
        <v>45499</v>
      </c>
      <c r="F761" s="6" t="str">
        <f t="shared" si="176"/>
        <v>Valid</v>
      </c>
      <c r="G761" s="8">
        <f t="shared" si="177"/>
        <v>7</v>
      </c>
      <c r="H761" s="8" t="str">
        <f t="shared" si="178"/>
        <v>Valid</v>
      </c>
      <c r="I761" t="s">
        <v>3519</v>
      </c>
      <c r="J761" t="s">
        <v>60</v>
      </c>
      <c r="K761" t="s">
        <v>60</v>
      </c>
      <c r="L761" t="s">
        <v>114</v>
      </c>
      <c r="M761" s="3" t="str">
        <f t="shared" si="179"/>
        <v>Home Office</v>
      </c>
      <c r="N761" t="s">
        <v>61</v>
      </c>
      <c r="O761" s="3" t="str">
        <f t="shared" si="180"/>
        <v>South</v>
      </c>
      <c r="P761" t="s">
        <v>228</v>
      </c>
      <c r="Q761" t="s">
        <v>229</v>
      </c>
      <c r="R761" t="s">
        <v>44</v>
      </c>
      <c r="S761" s="3" t="str">
        <f t="shared" si="181"/>
        <v>Furniture</v>
      </c>
      <c r="T761" t="s">
        <v>45</v>
      </c>
      <c r="U761" t="s">
        <v>3520</v>
      </c>
      <c r="V761" t="s">
        <v>32</v>
      </c>
      <c r="W761" s="3" t="str">
        <f t="shared" si="182"/>
        <v>Second Class</v>
      </c>
      <c r="X761">
        <v>5</v>
      </c>
      <c r="Y761">
        <v>3986.01</v>
      </c>
      <c r="Z761">
        <v>0.25</v>
      </c>
      <c r="AA761">
        <f t="shared" si="186"/>
        <v>0.25</v>
      </c>
      <c r="AB761">
        <f t="shared" si="187"/>
        <v>14947.537500000002</v>
      </c>
      <c r="AC761">
        <v>14947.54</v>
      </c>
      <c r="AD761">
        <v>9438.4599999999991</v>
      </c>
      <c r="AE761">
        <v>5509.08</v>
      </c>
      <c r="AF761" t="s">
        <v>33</v>
      </c>
      <c r="AG761" t="s">
        <v>34</v>
      </c>
      <c r="AH761" t="str">
        <f t="shared" si="183"/>
        <v>Completed</v>
      </c>
      <c r="AI761" t="str">
        <f t="shared" si="184"/>
        <v>Valid</v>
      </c>
      <c r="AJ761">
        <f t="shared" si="185"/>
        <v>5509.0800000000017</v>
      </c>
      <c r="AK761" s="12">
        <f t="shared" si="188"/>
        <v>0.36856104224525282</v>
      </c>
      <c r="AL761">
        <f t="shared" si="189"/>
        <v>7</v>
      </c>
      <c r="AM761">
        <f t="shared" si="190"/>
        <v>2024</v>
      </c>
      <c r="AN761" t="str">
        <f t="shared" si="191"/>
        <v>Clean</v>
      </c>
    </row>
    <row r="762" spans="1:40">
      <c r="A762" t="s">
        <v>3521</v>
      </c>
      <c r="B762" s="3" t="s">
        <v>3522</v>
      </c>
      <c r="C762" s="10">
        <v>45532</v>
      </c>
      <c r="D762" s="3" t="s">
        <v>1194</v>
      </c>
      <c r="E762" s="10">
        <v>45537</v>
      </c>
      <c r="F762" s="6" t="str">
        <f t="shared" si="176"/>
        <v>Valid</v>
      </c>
      <c r="G762" s="8">
        <f t="shared" si="177"/>
        <v>5</v>
      </c>
      <c r="H762" s="8" t="str">
        <f t="shared" si="178"/>
        <v>Valid</v>
      </c>
      <c r="I762" t="s">
        <v>3523</v>
      </c>
      <c r="J762" t="s">
        <v>106</v>
      </c>
      <c r="K762" t="s">
        <v>106</v>
      </c>
      <c r="L762" t="s">
        <v>114</v>
      </c>
      <c r="M762" s="3" t="str">
        <f t="shared" si="179"/>
        <v>Home Office</v>
      </c>
      <c r="N762" t="s">
        <v>41</v>
      </c>
      <c r="O762" s="3" t="str">
        <f t="shared" si="180"/>
        <v>East</v>
      </c>
      <c r="P762" t="s">
        <v>215</v>
      </c>
      <c r="Q762" t="s">
        <v>216</v>
      </c>
      <c r="R762" t="s">
        <v>29</v>
      </c>
      <c r="S762" s="3" t="str">
        <f t="shared" si="181"/>
        <v>Office Supplies</v>
      </c>
      <c r="T762" t="s">
        <v>53</v>
      </c>
      <c r="U762" t="s">
        <v>3524</v>
      </c>
      <c r="V762" t="s">
        <v>32</v>
      </c>
      <c r="W762" s="3" t="str">
        <f t="shared" si="182"/>
        <v>Second Class</v>
      </c>
      <c r="X762">
        <v>4</v>
      </c>
      <c r="Y762">
        <v>3365.53</v>
      </c>
      <c r="Z762">
        <v>0</v>
      </c>
      <c r="AA762">
        <f t="shared" si="186"/>
        <v>0</v>
      </c>
      <c r="AB762">
        <f t="shared" si="187"/>
        <v>13462.12</v>
      </c>
      <c r="AC762">
        <v>13462.12</v>
      </c>
      <c r="AD762">
        <v>7600.63</v>
      </c>
      <c r="AE762">
        <v>5861.49</v>
      </c>
      <c r="AF762" t="s">
        <v>136</v>
      </c>
      <c r="AG762" t="s">
        <v>124</v>
      </c>
      <c r="AH762" t="str">
        <f t="shared" si="183"/>
        <v>Returned</v>
      </c>
      <c r="AI762" t="str">
        <f t="shared" si="184"/>
        <v>Valid</v>
      </c>
      <c r="AJ762">
        <f t="shared" si="185"/>
        <v>5861.4900000000007</v>
      </c>
      <c r="AK762" s="12">
        <f t="shared" si="188"/>
        <v>0.43540616188237813</v>
      </c>
      <c r="AL762">
        <f t="shared" si="189"/>
        <v>8</v>
      </c>
      <c r="AM762">
        <f t="shared" si="190"/>
        <v>2024</v>
      </c>
      <c r="AN762" t="str">
        <f t="shared" si="191"/>
        <v>Clean</v>
      </c>
    </row>
    <row r="763" spans="1:40">
      <c r="A763" t="s">
        <v>3525</v>
      </c>
      <c r="B763" s="3" t="s">
        <v>454</v>
      </c>
      <c r="C763" s="10">
        <v>45896</v>
      </c>
      <c r="D763" s="3" t="s">
        <v>3526</v>
      </c>
      <c r="E763" s="10">
        <v>45900</v>
      </c>
      <c r="F763" s="6" t="str">
        <f t="shared" si="176"/>
        <v>Valid</v>
      </c>
      <c r="G763" s="8">
        <f t="shared" si="177"/>
        <v>4</v>
      </c>
      <c r="H763" s="8" t="str">
        <f t="shared" si="178"/>
        <v>Valid</v>
      </c>
      <c r="I763" t="s">
        <v>3527</v>
      </c>
      <c r="J763" t="s">
        <v>52</v>
      </c>
      <c r="K763" t="s">
        <v>52</v>
      </c>
      <c r="L763" t="s">
        <v>25</v>
      </c>
      <c r="M763" s="3" t="str">
        <f t="shared" si="179"/>
        <v>Consumer</v>
      </c>
      <c r="N763" t="s">
        <v>61</v>
      </c>
      <c r="O763" s="3" t="str">
        <f t="shared" si="180"/>
        <v>South</v>
      </c>
      <c r="P763" t="s">
        <v>228</v>
      </c>
      <c r="Q763" t="s">
        <v>229</v>
      </c>
      <c r="R763" t="s">
        <v>85</v>
      </c>
      <c r="S763" s="3" t="str">
        <f t="shared" si="181"/>
        <v>Technology</v>
      </c>
      <c r="T763" t="s">
        <v>381</v>
      </c>
      <c r="U763" t="s">
        <v>3528</v>
      </c>
      <c r="V763" t="s">
        <v>55</v>
      </c>
      <c r="W763" s="3" t="str">
        <f t="shared" si="182"/>
        <v>First Class</v>
      </c>
      <c r="X763">
        <v>3</v>
      </c>
      <c r="Y763">
        <v>2489.12</v>
      </c>
      <c r="Z763">
        <v>0</v>
      </c>
      <c r="AA763">
        <f t="shared" si="186"/>
        <v>0</v>
      </c>
      <c r="AB763">
        <f t="shared" si="187"/>
        <v>7467.36</v>
      </c>
      <c r="AC763">
        <v>7467.36</v>
      </c>
      <c r="AD763">
        <v>5010.6099999999997</v>
      </c>
      <c r="AE763">
        <v>2456.75</v>
      </c>
      <c r="AF763" t="s">
        <v>33</v>
      </c>
      <c r="AG763" t="s">
        <v>34</v>
      </c>
      <c r="AH763" t="str">
        <f t="shared" si="183"/>
        <v>Completed</v>
      </c>
      <c r="AI763" t="str">
        <f t="shared" si="184"/>
        <v>Valid</v>
      </c>
      <c r="AJ763">
        <f t="shared" si="185"/>
        <v>2456.75</v>
      </c>
      <c r="AK763" s="12">
        <f t="shared" si="188"/>
        <v>0.32899846799940008</v>
      </c>
      <c r="AL763">
        <f t="shared" si="189"/>
        <v>8</v>
      </c>
      <c r="AM763">
        <f t="shared" si="190"/>
        <v>2025</v>
      </c>
      <c r="AN763" t="str">
        <f t="shared" si="191"/>
        <v>Clean</v>
      </c>
    </row>
    <row r="764" spans="1:40">
      <c r="A764" t="s">
        <v>3529</v>
      </c>
      <c r="B764" s="3" t="s">
        <v>3530</v>
      </c>
      <c r="C764" s="10">
        <v>45292</v>
      </c>
      <c r="D764" s="3" t="s">
        <v>3531</v>
      </c>
      <c r="E764" s="10">
        <v>45296</v>
      </c>
      <c r="F764" s="6" t="str">
        <f t="shared" si="176"/>
        <v>Valid</v>
      </c>
      <c r="G764" s="8">
        <f t="shared" si="177"/>
        <v>4</v>
      </c>
      <c r="H764" s="8" t="str">
        <f t="shared" si="178"/>
        <v>Valid</v>
      </c>
      <c r="I764" t="s">
        <v>3532</v>
      </c>
      <c r="J764" t="s">
        <v>209</v>
      </c>
      <c r="K764" t="s">
        <v>209</v>
      </c>
      <c r="L764" t="s">
        <v>107</v>
      </c>
      <c r="M764" s="3" t="str">
        <f t="shared" si="179"/>
        <v>Corporate</v>
      </c>
      <c r="N764" t="s">
        <v>72</v>
      </c>
      <c r="O764" s="3" t="str">
        <f t="shared" si="180"/>
        <v>West</v>
      </c>
      <c r="P764" t="s">
        <v>83</v>
      </c>
      <c r="Q764" t="s">
        <v>84</v>
      </c>
      <c r="R764" t="s">
        <v>85</v>
      </c>
      <c r="S764" s="3" t="str">
        <f t="shared" si="181"/>
        <v>Technology</v>
      </c>
      <c r="T764" t="s">
        <v>381</v>
      </c>
      <c r="U764" t="s">
        <v>3533</v>
      </c>
      <c r="V764" t="s">
        <v>32</v>
      </c>
      <c r="W764" s="3" t="str">
        <f t="shared" si="182"/>
        <v>Second Class</v>
      </c>
      <c r="X764">
        <v>2</v>
      </c>
      <c r="Y764">
        <v>3694.12</v>
      </c>
      <c r="Z764">
        <v>0.2</v>
      </c>
      <c r="AA764">
        <f t="shared" si="186"/>
        <v>0.2</v>
      </c>
      <c r="AB764">
        <f t="shared" si="187"/>
        <v>5910.5920000000006</v>
      </c>
      <c r="AC764">
        <v>5910.59</v>
      </c>
      <c r="AD764">
        <v>4775.4399999999996</v>
      </c>
      <c r="AE764">
        <v>1135.1500000000001</v>
      </c>
      <c r="AF764" t="s">
        <v>123</v>
      </c>
      <c r="AG764" t="s">
        <v>124</v>
      </c>
      <c r="AH764" t="str">
        <f t="shared" si="183"/>
        <v>Returned</v>
      </c>
      <c r="AI764" t="str">
        <f t="shared" si="184"/>
        <v>Valid</v>
      </c>
      <c r="AJ764">
        <f t="shared" si="185"/>
        <v>1135.1500000000005</v>
      </c>
      <c r="AK764" s="12">
        <f t="shared" si="188"/>
        <v>0.19205352018884073</v>
      </c>
      <c r="AL764">
        <f t="shared" si="189"/>
        <v>1</v>
      </c>
      <c r="AM764">
        <f t="shared" si="190"/>
        <v>2024</v>
      </c>
      <c r="AN764" t="str">
        <f t="shared" si="191"/>
        <v>Clean</v>
      </c>
    </row>
    <row r="765" spans="1:40">
      <c r="A765" t="s">
        <v>3534</v>
      </c>
      <c r="B765" s="3" t="s">
        <v>3535</v>
      </c>
      <c r="C765" s="10">
        <v>45892</v>
      </c>
      <c r="D765" s="3" t="s">
        <v>3536</v>
      </c>
      <c r="E765" s="10">
        <v>45894</v>
      </c>
      <c r="F765" s="6" t="str">
        <f t="shared" si="176"/>
        <v>Valid</v>
      </c>
      <c r="G765" s="8">
        <f t="shared" si="177"/>
        <v>2</v>
      </c>
      <c r="H765" s="8" t="str">
        <f t="shared" si="178"/>
        <v>Valid</v>
      </c>
      <c r="I765" t="s">
        <v>3537</v>
      </c>
      <c r="J765" t="s">
        <v>209</v>
      </c>
      <c r="K765" t="s">
        <v>209</v>
      </c>
      <c r="L765" t="s">
        <v>25</v>
      </c>
      <c r="M765" s="3" t="str">
        <f t="shared" si="179"/>
        <v>Consumer</v>
      </c>
      <c r="N765" t="s">
        <v>26</v>
      </c>
      <c r="O765" s="3" t="str">
        <f t="shared" si="180"/>
        <v>North</v>
      </c>
      <c r="P765" t="s">
        <v>27</v>
      </c>
      <c r="Q765" t="s">
        <v>28</v>
      </c>
      <c r="R765" t="s">
        <v>44</v>
      </c>
      <c r="S765" s="3" t="str">
        <f t="shared" si="181"/>
        <v>Furniture</v>
      </c>
      <c r="T765" t="s">
        <v>64</v>
      </c>
      <c r="U765" t="s">
        <v>3538</v>
      </c>
      <c r="V765" t="s">
        <v>47</v>
      </c>
      <c r="W765" s="3" t="str">
        <f t="shared" si="182"/>
        <v>Same Day</v>
      </c>
      <c r="X765">
        <v>6</v>
      </c>
      <c r="Y765">
        <v>2742.48</v>
      </c>
      <c r="Z765">
        <v>0</v>
      </c>
      <c r="AA765">
        <f t="shared" si="186"/>
        <v>0</v>
      </c>
      <c r="AB765">
        <f t="shared" si="187"/>
        <v>16454.88</v>
      </c>
      <c r="AC765">
        <v>16454.88</v>
      </c>
      <c r="AD765">
        <v>12081.54</v>
      </c>
      <c r="AE765">
        <v>4373.34</v>
      </c>
      <c r="AF765" t="s">
        <v>33</v>
      </c>
      <c r="AG765" t="s">
        <v>34</v>
      </c>
      <c r="AH765" t="str">
        <f t="shared" si="183"/>
        <v>Completed</v>
      </c>
      <c r="AI765" t="str">
        <f t="shared" si="184"/>
        <v>Valid</v>
      </c>
      <c r="AJ765">
        <f t="shared" si="185"/>
        <v>4373.34</v>
      </c>
      <c r="AK765" s="12">
        <f t="shared" si="188"/>
        <v>0.26577769026574488</v>
      </c>
      <c r="AL765">
        <f t="shared" si="189"/>
        <v>8</v>
      </c>
      <c r="AM765">
        <f t="shared" si="190"/>
        <v>2025</v>
      </c>
      <c r="AN765" t="str">
        <f t="shared" si="191"/>
        <v>Clean</v>
      </c>
    </row>
    <row r="766" spans="1:40">
      <c r="A766" t="s">
        <v>3539</v>
      </c>
      <c r="B766" s="3" t="s">
        <v>1861</v>
      </c>
      <c r="C766" s="10">
        <v>45760</v>
      </c>
      <c r="D766" s="3" t="s">
        <v>2912</v>
      </c>
      <c r="E766" s="10">
        <v>45760</v>
      </c>
      <c r="F766" s="6" t="str">
        <f t="shared" si="176"/>
        <v>Valid</v>
      </c>
      <c r="G766" s="8">
        <f t="shared" si="177"/>
        <v>0</v>
      </c>
      <c r="H766" s="8" t="str">
        <f t="shared" si="178"/>
        <v>Valid</v>
      </c>
      <c r="I766" t="s">
        <v>1353</v>
      </c>
      <c r="J766" t="s">
        <v>141</v>
      </c>
      <c r="K766" t="s">
        <v>141</v>
      </c>
      <c r="L766" t="s">
        <v>107</v>
      </c>
      <c r="M766" s="3" t="str">
        <f t="shared" si="179"/>
        <v>Corporate</v>
      </c>
      <c r="N766" t="s">
        <v>61</v>
      </c>
      <c r="O766" s="3" t="str">
        <f t="shared" si="180"/>
        <v>South</v>
      </c>
      <c r="P766" t="s">
        <v>241</v>
      </c>
      <c r="Q766" t="s">
        <v>242</v>
      </c>
      <c r="R766" t="s">
        <v>44</v>
      </c>
      <c r="S766" s="3" t="str">
        <f t="shared" si="181"/>
        <v>Furniture</v>
      </c>
      <c r="T766" t="s">
        <v>203</v>
      </c>
      <c r="U766" t="s">
        <v>3540</v>
      </c>
      <c r="V766" t="s">
        <v>55</v>
      </c>
      <c r="W766" s="3" t="str">
        <f t="shared" si="182"/>
        <v>First Class</v>
      </c>
      <c r="X766">
        <v>6</v>
      </c>
      <c r="Y766">
        <v>4414</v>
      </c>
      <c r="Z766">
        <v>0.05</v>
      </c>
      <c r="AA766">
        <f t="shared" si="186"/>
        <v>0.05</v>
      </c>
      <c r="AB766">
        <f t="shared" si="187"/>
        <v>25159.8</v>
      </c>
      <c r="AC766">
        <v>25159.8</v>
      </c>
      <c r="AD766">
        <v>21606.83</v>
      </c>
      <c r="AE766">
        <v>3552.97</v>
      </c>
      <c r="AF766" t="s">
        <v>33</v>
      </c>
      <c r="AG766" t="s">
        <v>34</v>
      </c>
      <c r="AH766" t="str">
        <f t="shared" si="183"/>
        <v>Completed</v>
      </c>
      <c r="AI766" t="str">
        <f t="shared" si="184"/>
        <v>Valid</v>
      </c>
      <c r="AJ766">
        <f t="shared" si="185"/>
        <v>3552.9699999999975</v>
      </c>
      <c r="AK766" s="12">
        <f t="shared" si="188"/>
        <v>0.14121614639226057</v>
      </c>
      <c r="AL766">
        <f t="shared" si="189"/>
        <v>4</v>
      </c>
      <c r="AM766">
        <f t="shared" si="190"/>
        <v>2025</v>
      </c>
      <c r="AN766" t="str">
        <f t="shared" si="191"/>
        <v>Clean</v>
      </c>
    </row>
    <row r="767" spans="1:40">
      <c r="A767" t="s">
        <v>3541</v>
      </c>
      <c r="B767" s="3" t="s">
        <v>3542</v>
      </c>
      <c r="C767" s="10">
        <v>45837</v>
      </c>
      <c r="D767" s="3" t="s">
        <v>3543</v>
      </c>
      <c r="E767" s="10">
        <v>45841</v>
      </c>
      <c r="F767" s="6" t="str">
        <f t="shared" si="176"/>
        <v>Valid</v>
      </c>
      <c r="G767" s="8">
        <f t="shared" si="177"/>
        <v>4</v>
      </c>
      <c r="H767" s="8" t="str">
        <f t="shared" si="178"/>
        <v>Valid</v>
      </c>
      <c r="I767" t="s">
        <v>3544</v>
      </c>
      <c r="J767" t="s">
        <v>82</v>
      </c>
      <c r="K767" t="s">
        <v>82</v>
      </c>
      <c r="L767" t="s">
        <v>107</v>
      </c>
      <c r="M767" s="3" t="str">
        <f t="shared" si="179"/>
        <v>Corporate</v>
      </c>
      <c r="N767" t="s">
        <v>41</v>
      </c>
      <c r="O767" s="3" t="str">
        <f t="shared" si="180"/>
        <v>East</v>
      </c>
      <c r="P767" t="s">
        <v>310</v>
      </c>
      <c r="Q767" t="s">
        <v>311</v>
      </c>
      <c r="R767" t="s">
        <v>29</v>
      </c>
      <c r="S767" s="3" t="str">
        <f t="shared" si="181"/>
        <v>Office Supplies</v>
      </c>
      <c r="T767" t="s">
        <v>108</v>
      </c>
      <c r="U767" t="s">
        <v>3545</v>
      </c>
      <c r="V767" t="s">
        <v>55</v>
      </c>
      <c r="W767" s="3" t="str">
        <f t="shared" si="182"/>
        <v>First Class</v>
      </c>
      <c r="X767">
        <v>3</v>
      </c>
      <c r="Y767">
        <v>608.14</v>
      </c>
      <c r="Z767">
        <v>0</v>
      </c>
      <c r="AA767">
        <f t="shared" si="186"/>
        <v>0</v>
      </c>
      <c r="AB767">
        <f t="shared" si="187"/>
        <v>1824.42</v>
      </c>
      <c r="AC767">
        <v>1824.42</v>
      </c>
      <c r="AD767">
        <v>1214.8699999999999</v>
      </c>
      <c r="AE767">
        <v>609.54999999999995</v>
      </c>
      <c r="AF767" t="s">
        <v>33</v>
      </c>
      <c r="AG767" t="s">
        <v>34</v>
      </c>
      <c r="AH767" t="str">
        <f t="shared" si="183"/>
        <v>Completed</v>
      </c>
      <c r="AI767" t="str">
        <f t="shared" si="184"/>
        <v>Valid</v>
      </c>
      <c r="AJ767">
        <f t="shared" si="185"/>
        <v>609.55000000000018</v>
      </c>
      <c r="AK767" s="12">
        <f t="shared" si="188"/>
        <v>0.33410618169061956</v>
      </c>
      <c r="AL767">
        <f t="shared" si="189"/>
        <v>6</v>
      </c>
      <c r="AM767">
        <f t="shared" si="190"/>
        <v>2025</v>
      </c>
      <c r="AN767" t="str">
        <f t="shared" si="191"/>
        <v>Clean</v>
      </c>
    </row>
    <row r="768" spans="1:40">
      <c r="A768" t="s">
        <v>3546</v>
      </c>
      <c r="B768" s="3" t="s">
        <v>3547</v>
      </c>
      <c r="C768" s="10">
        <v>45552</v>
      </c>
      <c r="D768" s="3" t="s">
        <v>2008</v>
      </c>
      <c r="E768" s="10">
        <v>45559</v>
      </c>
      <c r="F768" s="6" t="str">
        <f t="shared" si="176"/>
        <v>Valid</v>
      </c>
      <c r="G768" s="8">
        <f t="shared" si="177"/>
        <v>7</v>
      </c>
      <c r="H768" s="8" t="str">
        <f t="shared" si="178"/>
        <v>Valid</v>
      </c>
      <c r="I768" t="s">
        <v>3548</v>
      </c>
      <c r="J768" t="s">
        <v>39</v>
      </c>
      <c r="K768" t="s">
        <v>39</v>
      </c>
      <c r="L768" t="s">
        <v>107</v>
      </c>
      <c r="M768" s="3" t="str">
        <f t="shared" si="179"/>
        <v>Corporate</v>
      </c>
      <c r="N768" t="s">
        <v>72</v>
      </c>
      <c r="O768" s="3" t="str">
        <f t="shared" si="180"/>
        <v>West</v>
      </c>
      <c r="P768" t="s">
        <v>234</v>
      </c>
      <c r="Q768" t="s">
        <v>235</v>
      </c>
      <c r="R768" t="s">
        <v>29</v>
      </c>
      <c r="S768" s="3" t="str">
        <f t="shared" si="181"/>
        <v>Office Supplies</v>
      </c>
      <c r="T768" t="s">
        <v>53</v>
      </c>
      <c r="U768" t="s">
        <v>3549</v>
      </c>
      <c r="V768" t="s">
        <v>32</v>
      </c>
      <c r="W768" s="3" t="str">
        <f t="shared" si="182"/>
        <v>Second Class</v>
      </c>
      <c r="X768">
        <v>9</v>
      </c>
      <c r="Y768">
        <v>2307.96</v>
      </c>
      <c r="Z768">
        <v>0.2</v>
      </c>
      <c r="AA768">
        <f t="shared" si="186"/>
        <v>0.2</v>
      </c>
      <c r="AB768">
        <f t="shared" si="187"/>
        <v>16617.312000000002</v>
      </c>
      <c r="AC768">
        <v>16617.310000000001</v>
      </c>
      <c r="AD768">
        <v>9195.73</v>
      </c>
      <c r="AE768">
        <v>7421.58</v>
      </c>
      <c r="AF768" t="s">
        <v>33</v>
      </c>
      <c r="AG768" t="s">
        <v>77</v>
      </c>
      <c r="AH768" t="str">
        <f t="shared" si="183"/>
        <v>Cancelled</v>
      </c>
      <c r="AI768" t="str">
        <f t="shared" si="184"/>
        <v>Valid</v>
      </c>
      <c r="AJ768">
        <f t="shared" si="185"/>
        <v>7421.5800000000017</v>
      </c>
      <c r="AK768" s="12">
        <f t="shared" si="188"/>
        <v>0.44661735905301658</v>
      </c>
      <c r="AL768">
        <f t="shared" si="189"/>
        <v>9</v>
      </c>
      <c r="AM768">
        <f t="shared" si="190"/>
        <v>2024</v>
      </c>
      <c r="AN768" t="str">
        <f t="shared" si="191"/>
        <v>Clean</v>
      </c>
    </row>
    <row r="769" spans="1:40">
      <c r="A769" t="s">
        <v>3550</v>
      </c>
      <c r="B769" s="3" t="s">
        <v>3551</v>
      </c>
      <c r="C769" s="10">
        <v>45415</v>
      </c>
      <c r="D769" s="3" t="s">
        <v>2707</v>
      </c>
      <c r="E769" s="10">
        <v>45418</v>
      </c>
      <c r="F769" s="6" t="str">
        <f t="shared" si="176"/>
        <v>Valid</v>
      </c>
      <c r="G769" s="8">
        <f t="shared" si="177"/>
        <v>3</v>
      </c>
      <c r="H769" s="8" t="str">
        <f t="shared" si="178"/>
        <v>Valid</v>
      </c>
      <c r="I769" t="s">
        <v>3552</v>
      </c>
      <c r="J769" t="s">
        <v>71</v>
      </c>
      <c r="K769" t="s">
        <v>71</v>
      </c>
      <c r="L769" t="s">
        <v>114</v>
      </c>
      <c r="M769" s="3" t="str">
        <f t="shared" si="179"/>
        <v>Home Office</v>
      </c>
      <c r="N769" t="s">
        <v>26</v>
      </c>
      <c r="O769" s="3" t="str">
        <f t="shared" si="180"/>
        <v>North</v>
      </c>
      <c r="P769" t="s">
        <v>173</v>
      </c>
      <c r="Q769" t="s">
        <v>174</v>
      </c>
      <c r="R769" t="s">
        <v>917</v>
      </c>
      <c r="S769" s="3" t="str">
        <f t="shared" si="181"/>
        <v>Office Supplies</v>
      </c>
      <c r="T769" t="s">
        <v>197</v>
      </c>
      <c r="U769" t="s">
        <v>3553</v>
      </c>
      <c r="V769" t="s">
        <v>66</v>
      </c>
      <c r="W769" s="3" t="str">
        <f t="shared" si="182"/>
        <v>Standard Class</v>
      </c>
      <c r="X769">
        <v>1</v>
      </c>
      <c r="Y769">
        <v>1244.58</v>
      </c>
      <c r="Z769">
        <v>0.25</v>
      </c>
      <c r="AA769">
        <f t="shared" si="186"/>
        <v>0.25</v>
      </c>
      <c r="AB769">
        <f t="shared" si="187"/>
        <v>933.43499999999995</v>
      </c>
      <c r="AC769">
        <v>933.43</v>
      </c>
      <c r="AD769">
        <v>583.09</v>
      </c>
      <c r="AE769">
        <v>350.34</v>
      </c>
      <c r="AF769" t="s">
        <v>33</v>
      </c>
      <c r="AG769" t="s">
        <v>34</v>
      </c>
      <c r="AH769" t="str">
        <f t="shared" si="183"/>
        <v>Completed</v>
      </c>
      <c r="AI769" t="str">
        <f t="shared" si="184"/>
        <v>Valid</v>
      </c>
      <c r="AJ769">
        <f t="shared" si="185"/>
        <v>350.33999999999992</v>
      </c>
      <c r="AK769" s="12">
        <f t="shared" si="188"/>
        <v>0.37532340227225242</v>
      </c>
      <c r="AL769">
        <f t="shared" si="189"/>
        <v>5</v>
      </c>
      <c r="AM769">
        <f t="shared" si="190"/>
        <v>2024</v>
      </c>
      <c r="AN769" t="str">
        <f t="shared" si="191"/>
        <v>Clean</v>
      </c>
    </row>
    <row r="770" spans="1:40">
      <c r="A770" t="s">
        <v>3554</v>
      </c>
      <c r="B770" s="3" t="s">
        <v>1811</v>
      </c>
      <c r="C770" s="10">
        <v>45749</v>
      </c>
      <c r="D770" s="3" t="s">
        <v>3555</v>
      </c>
      <c r="E770" s="10">
        <v>45751</v>
      </c>
      <c r="F770" s="6" t="str">
        <f t="shared" ref="F770:F833" si="192">IF(E770&lt;C770,"Invalid Shipping Record","Valid")</f>
        <v>Valid</v>
      </c>
      <c r="G770" s="8">
        <f t="shared" ref="G770:G833" si="193">E770-C770</f>
        <v>2</v>
      </c>
      <c r="H770" s="8" t="str">
        <f t="shared" ref="H770:H833" si="194">IF(OR(C770="",E770=""),"Missing Date",IF(OR(NOT(ISNUMBER(C770)),NOT(ISNUMBER(E770))),"Invalid Date",IF(E770&lt;C770,"Invalid Shipping Record","Valid")))</f>
        <v>Valid</v>
      </c>
      <c r="I770" t="s">
        <v>3556</v>
      </c>
      <c r="J770" t="s">
        <v>167</v>
      </c>
      <c r="K770" t="s">
        <v>167</v>
      </c>
      <c r="L770" t="s">
        <v>114</v>
      </c>
      <c r="M770" s="3" t="str">
        <f t="shared" ref="M770:M833" si="195">PROPER(TRIM(L770))</f>
        <v>Home Office</v>
      </c>
      <c r="N770" t="s">
        <v>41</v>
      </c>
      <c r="O770" s="3" t="str">
        <f t="shared" ref="O770:O833" si="196">IF(TRIM(N770)="","Unknown",PROPER(TRIM(N770)))</f>
        <v>East</v>
      </c>
      <c r="P770" t="s">
        <v>310</v>
      </c>
      <c r="Q770" t="s">
        <v>311</v>
      </c>
      <c r="R770" t="s">
        <v>29</v>
      </c>
      <c r="S770" s="3" t="str">
        <f t="shared" ref="S770:S833" si="197">PROPER(TRIM(R770))</f>
        <v>Office Supplies</v>
      </c>
      <c r="T770" t="s">
        <v>30</v>
      </c>
      <c r="U770" t="s">
        <v>3557</v>
      </c>
      <c r="V770" t="s">
        <v>47</v>
      </c>
      <c r="W770" s="3" t="str">
        <f t="shared" ref="W770:W833" si="198">IF(TRIM(V770)="","Unknown",PROPER(TRIM(V770)))</f>
        <v>Same Day</v>
      </c>
      <c r="X770">
        <v>5</v>
      </c>
      <c r="Y770">
        <v>3234.24</v>
      </c>
      <c r="Z770">
        <v>0.1</v>
      </c>
      <c r="AA770">
        <f t="shared" si="186"/>
        <v>0.1</v>
      </c>
      <c r="AB770">
        <f t="shared" si="187"/>
        <v>14554.08</v>
      </c>
      <c r="AC770">
        <v>14554.08</v>
      </c>
      <c r="AD770">
        <v>11166.84</v>
      </c>
      <c r="AE770">
        <v>3387.24</v>
      </c>
      <c r="AF770" t="s">
        <v>33</v>
      </c>
      <c r="AG770" t="s">
        <v>34</v>
      </c>
      <c r="AH770" t="str">
        <f t="shared" ref="AH770:AH833" si="199">PROPER(TRIM(AG770))</f>
        <v>Completed</v>
      </c>
      <c r="AI770" t="str">
        <f t="shared" ref="AI770:AI833" si="200">IF(Z770&lt;0,"Invalid - Negative Discount",IF(Z770&gt;1,"Invalid - Discount Above Range","Valid"))</f>
        <v>Valid</v>
      </c>
      <c r="AJ770">
        <f t="shared" ref="AJ770:AJ833" si="201">AC770-AD770</f>
        <v>3387.24</v>
      </c>
      <c r="AK770" s="12">
        <f t="shared" si="188"/>
        <v>0.23273473830018798</v>
      </c>
      <c r="AL770">
        <f t="shared" si="189"/>
        <v>4</v>
      </c>
      <c r="AM770">
        <f t="shared" si="190"/>
        <v>2025</v>
      </c>
      <c r="AN770" t="str">
        <f t="shared" si="191"/>
        <v>Clean</v>
      </c>
    </row>
    <row r="771" spans="1:40">
      <c r="A771" t="s">
        <v>3558</v>
      </c>
      <c r="B771" s="3" t="s">
        <v>3559</v>
      </c>
      <c r="C771" s="10">
        <v>45423</v>
      </c>
      <c r="D771" s="3" t="s">
        <v>2017</v>
      </c>
      <c r="E771" s="10">
        <v>45425</v>
      </c>
      <c r="F771" s="6" t="str">
        <f t="shared" si="192"/>
        <v>Valid</v>
      </c>
      <c r="G771" s="8">
        <f t="shared" si="193"/>
        <v>2</v>
      </c>
      <c r="H771" s="8" t="str">
        <f t="shared" si="194"/>
        <v>Valid</v>
      </c>
      <c r="I771" t="s">
        <v>3560</v>
      </c>
      <c r="J771" t="s">
        <v>141</v>
      </c>
      <c r="K771" t="s">
        <v>141</v>
      </c>
      <c r="L771" t="s">
        <v>114</v>
      </c>
      <c r="M771" s="3" t="str">
        <f t="shared" si="195"/>
        <v>Home Office</v>
      </c>
      <c r="N771" t="s">
        <v>72</v>
      </c>
      <c r="O771" s="3" t="str">
        <f t="shared" si="196"/>
        <v>West</v>
      </c>
      <c r="P771" t="s">
        <v>248</v>
      </c>
      <c r="Q771" t="s">
        <v>249</v>
      </c>
      <c r="R771" t="s">
        <v>44</v>
      </c>
      <c r="S771" s="3" t="str">
        <f t="shared" si="197"/>
        <v>Furniture</v>
      </c>
      <c r="T771" t="s">
        <v>203</v>
      </c>
      <c r="U771" t="s">
        <v>3561</v>
      </c>
      <c r="V771" t="s">
        <v>47</v>
      </c>
      <c r="W771" s="3" t="str">
        <f t="shared" si="198"/>
        <v>Same Day</v>
      </c>
      <c r="X771">
        <v>3</v>
      </c>
      <c r="Y771">
        <v>3612.75</v>
      </c>
      <c r="Z771">
        <v>0.25</v>
      </c>
      <c r="AA771">
        <f t="shared" ref="AA771:AA834" si="202">IF(Z771="",0,Z771)</f>
        <v>0.25</v>
      </c>
      <c r="AB771">
        <f t="shared" ref="AB771:AB834" si="203">X771*Y771*(1-Z771)</f>
        <v>8128.6875</v>
      </c>
      <c r="AC771">
        <v>8128.69</v>
      </c>
      <c r="AD771">
        <v>5071.66</v>
      </c>
      <c r="AE771">
        <v>3057.03</v>
      </c>
      <c r="AF771" t="s">
        <v>33</v>
      </c>
      <c r="AG771" t="s">
        <v>34</v>
      </c>
      <c r="AH771" t="str">
        <f t="shared" si="199"/>
        <v>Completed</v>
      </c>
      <c r="AI771" t="str">
        <f t="shared" si="200"/>
        <v>Valid</v>
      </c>
      <c r="AJ771">
        <f t="shared" si="201"/>
        <v>3057.0299999999997</v>
      </c>
      <c r="AK771" s="12">
        <f t="shared" ref="AK771:AK834" si="204">IF(AB771=0,"",AJ771/AB771)</f>
        <v>0.37607916407169051</v>
      </c>
      <c r="AL771">
        <f t="shared" ref="AL771:AL834" si="205">MONTH(C771)</f>
        <v>5</v>
      </c>
      <c r="AM771">
        <f t="shared" ref="AM771:AM834" si="206">YEAR(C771)</f>
        <v>2024</v>
      </c>
      <c r="AN771" t="str">
        <f t="shared" ref="AN771:AN834" si="207">IF(H771="Invalid Shipping Record","Invalid","Clean")</f>
        <v>Clean</v>
      </c>
    </row>
    <row r="772" spans="1:40">
      <c r="A772" t="s">
        <v>3562</v>
      </c>
      <c r="B772" s="3" t="s">
        <v>2306</v>
      </c>
      <c r="C772" s="10">
        <v>45337</v>
      </c>
      <c r="D772" s="3" t="s">
        <v>2761</v>
      </c>
      <c r="E772" s="10">
        <v>45339</v>
      </c>
      <c r="F772" s="6" t="str">
        <f t="shared" si="192"/>
        <v>Valid</v>
      </c>
      <c r="G772" s="8">
        <f t="shared" si="193"/>
        <v>2</v>
      </c>
      <c r="H772" s="8" t="str">
        <f t="shared" si="194"/>
        <v>Valid</v>
      </c>
      <c r="I772" t="s">
        <v>3563</v>
      </c>
      <c r="J772" t="s">
        <v>92</v>
      </c>
      <c r="K772" t="s">
        <v>92</v>
      </c>
      <c r="L772" t="s">
        <v>25</v>
      </c>
      <c r="M772" s="3" t="str">
        <f t="shared" si="195"/>
        <v>Consumer</v>
      </c>
      <c r="N772" t="s">
        <v>26</v>
      </c>
      <c r="O772" s="3" t="str">
        <f t="shared" si="196"/>
        <v>North</v>
      </c>
      <c r="P772" t="s">
        <v>173</v>
      </c>
      <c r="Q772" t="s">
        <v>174</v>
      </c>
      <c r="R772" t="s">
        <v>85</v>
      </c>
      <c r="S772" s="3" t="str">
        <f t="shared" si="197"/>
        <v>Technology</v>
      </c>
      <c r="T772" t="s">
        <v>93</v>
      </c>
      <c r="U772" t="s">
        <v>3564</v>
      </c>
      <c r="V772" t="s">
        <v>55</v>
      </c>
      <c r="W772" s="3" t="str">
        <f t="shared" si="198"/>
        <v>First Class</v>
      </c>
      <c r="X772">
        <v>4</v>
      </c>
      <c r="Y772">
        <v>863</v>
      </c>
      <c r="AA772">
        <f t="shared" si="202"/>
        <v>0</v>
      </c>
      <c r="AB772">
        <f t="shared" si="203"/>
        <v>3452</v>
      </c>
      <c r="AC772">
        <v>3106.8</v>
      </c>
      <c r="AD772">
        <v>2376.62</v>
      </c>
      <c r="AE772">
        <v>730.18</v>
      </c>
      <c r="AF772" t="s">
        <v>33</v>
      </c>
      <c r="AG772" t="s">
        <v>34</v>
      </c>
      <c r="AH772" t="str">
        <f t="shared" si="199"/>
        <v>Completed</v>
      </c>
      <c r="AI772" t="str">
        <f t="shared" si="200"/>
        <v>Valid</v>
      </c>
      <c r="AJ772">
        <f t="shared" si="201"/>
        <v>730.18000000000029</v>
      </c>
      <c r="AK772" s="12">
        <f t="shared" si="204"/>
        <v>0.21152375434530715</v>
      </c>
      <c r="AL772">
        <f t="shared" si="205"/>
        <v>2</v>
      </c>
      <c r="AM772">
        <f t="shared" si="206"/>
        <v>2024</v>
      </c>
      <c r="AN772" t="str">
        <f t="shared" si="207"/>
        <v>Clean</v>
      </c>
    </row>
    <row r="773" spans="1:40">
      <c r="A773" t="s">
        <v>3565</v>
      </c>
      <c r="B773" s="3" t="s">
        <v>3566</v>
      </c>
      <c r="C773" s="10">
        <v>45485</v>
      </c>
      <c r="D773" s="3" t="s">
        <v>2622</v>
      </c>
      <c r="E773" s="10">
        <v>45487</v>
      </c>
      <c r="F773" s="6" t="str">
        <f t="shared" si="192"/>
        <v>Valid</v>
      </c>
      <c r="G773" s="8">
        <f t="shared" si="193"/>
        <v>2</v>
      </c>
      <c r="H773" s="8" t="str">
        <f t="shared" si="194"/>
        <v>Valid</v>
      </c>
      <c r="I773" t="s">
        <v>690</v>
      </c>
      <c r="J773" t="s">
        <v>71</v>
      </c>
      <c r="K773" t="s">
        <v>71</v>
      </c>
      <c r="L773" t="s">
        <v>25</v>
      </c>
      <c r="M773" s="3" t="str">
        <f t="shared" si="195"/>
        <v>Consumer</v>
      </c>
      <c r="N773" t="s">
        <v>26</v>
      </c>
      <c r="O773" s="3" t="str">
        <f t="shared" si="196"/>
        <v>North</v>
      </c>
      <c r="P773" t="s">
        <v>322</v>
      </c>
      <c r="Q773" t="s">
        <v>323</v>
      </c>
      <c r="R773" t="s">
        <v>85</v>
      </c>
      <c r="S773" s="3" t="str">
        <f t="shared" si="197"/>
        <v>Technology</v>
      </c>
      <c r="T773" t="s">
        <v>381</v>
      </c>
      <c r="U773" t="s">
        <v>3567</v>
      </c>
      <c r="V773" t="s">
        <v>32</v>
      </c>
      <c r="W773" s="3" t="str">
        <f t="shared" si="198"/>
        <v>Second Class</v>
      </c>
      <c r="X773">
        <v>4</v>
      </c>
      <c r="Y773">
        <v>2131.41</v>
      </c>
      <c r="AA773">
        <f t="shared" si="202"/>
        <v>0</v>
      </c>
      <c r="AB773">
        <f t="shared" si="203"/>
        <v>8525.64</v>
      </c>
      <c r="AC773">
        <v>6394.23</v>
      </c>
      <c r="AD773">
        <v>3520.69</v>
      </c>
      <c r="AE773">
        <v>2873.54</v>
      </c>
      <c r="AF773" t="s">
        <v>33</v>
      </c>
      <c r="AG773" t="s">
        <v>34</v>
      </c>
      <c r="AH773" t="str">
        <f t="shared" si="199"/>
        <v>Completed</v>
      </c>
      <c r="AI773" t="str">
        <f t="shared" si="200"/>
        <v>Valid</v>
      </c>
      <c r="AJ773">
        <f t="shared" si="201"/>
        <v>2873.5399999999995</v>
      </c>
      <c r="AK773" s="12">
        <f t="shared" si="204"/>
        <v>0.33704683753946912</v>
      </c>
      <c r="AL773">
        <f t="shared" si="205"/>
        <v>7</v>
      </c>
      <c r="AM773">
        <f t="shared" si="206"/>
        <v>2024</v>
      </c>
      <c r="AN773" t="str">
        <f t="shared" si="207"/>
        <v>Clean</v>
      </c>
    </row>
    <row r="774" spans="1:40">
      <c r="A774" t="s">
        <v>3568</v>
      </c>
      <c r="B774" s="3" t="s">
        <v>170</v>
      </c>
      <c r="C774" s="10">
        <v>45853</v>
      </c>
      <c r="D774" s="3" t="s">
        <v>1570</v>
      </c>
      <c r="E774" s="10">
        <v>45857</v>
      </c>
      <c r="F774" s="6" t="str">
        <f t="shared" si="192"/>
        <v>Valid</v>
      </c>
      <c r="G774" s="8">
        <f t="shared" si="193"/>
        <v>4</v>
      </c>
      <c r="H774" s="8" t="str">
        <f t="shared" si="194"/>
        <v>Valid</v>
      </c>
      <c r="I774" t="s">
        <v>3569</v>
      </c>
      <c r="J774" t="s">
        <v>209</v>
      </c>
      <c r="K774" t="s">
        <v>209</v>
      </c>
      <c r="L774" t="s">
        <v>25</v>
      </c>
      <c r="M774" s="3" t="str">
        <f t="shared" si="195"/>
        <v>Consumer</v>
      </c>
      <c r="N774" t="s">
        <v>61</v>
      </c>
      <c r="O774" s="3" t="str">
        <f t="shared" si="196"/>
        <v>South</v>
      </c>
      <c r="P774" t="s">
        <v>338</v>
      </c>
      <c r="Q774" t="s">
        <v>339</v>
      </c>
      <c r="R774" t="s">
        <v>44</v>
      </c>
      <c r="S774" s="3" t="str">
        <f t="shared" si="197"/>
        <v>Furniture</v>
      </c>
      <c r="T774" t="s">
        <v>75</v>
      </c>
      <c r="U774" t="s">
        <v>3570</v>
      </c>
      <c r="V774" t="s">
        <v>47</v>
      </c>
      <c r="W774" s="3" t="str">
        <f t="shared" si="198"/>
        <v>Same Day</v>
      </c>
      <c r="X774">
        <v>1</v>
      </c>
      <c r="Y774">
        <v>3903.22</v>
      </c>
      <c r="Z774">
        <v>0.05</v>
      </c>
      <c r="AA774">
        <f t="shared" si="202"/>
        <v>0.05</v>
      </c>
      <c r="AB774">
        <f t="shared" si="203"/>
        <v>3708.0589999999997</v>
      </c>
      <c r="AC774">
        <v>3708.06</v>
      </c>
      <c r="AD774">
        <v>2760.29</v>
      </c>
      <c r="AE774">
        <v>947.77</v>
      </c>
      <c r="AF774" t="s">
        <v>136</v>
      </c>
      <c r="AG774" t="s">
        <v>77</v>
      </c>
      <c r="AH774" t="str">
        <f t="shared" si="199"/>
        <v>Cancelled</v>
      </c>
      <c r="AI774" t="str">
        <f t="shared" si="200"/>
        <v>Valid</v>
      </c>
      <c r="AJ774">
        <f t="shared" si="201"/>
        <v>947.77</v>
      </c>
      <c r="AK774" s="12">
        <f t="shared" si="204"/>
        <v>0.25559733542535329</v>
      </c>
      <c r="AL774">
        <f t="shared" si="205"/>
        <v>7</v>
      </c>
      <c r="AM774">
        <f t="shared" si="206"/>
        <v>2025</v>
      </c>
      <c r="AN774" t="str">
        <f t="shared" si="207"/>
        <v>Clean</v>
      </c>
    </row>
    <row r="775" spans="1:40">
      <c r="A775" t="s">
        <v>3571</v>
      </c>
      <c r="B775" s="3" t="s">
        <v>3572</v>
      </c>
      <c r="C775" s="10">
        <v>45709</v>
      </c>
      <c r="D775" s="3" t="s">
        <v>3573</v>
      </c>
      <c r="E775" s="10">
        <v>45709</v>
      </c>
      <c r="F775" s="6" t="str">
        <f t="shared" si="192"/>
        <v>Valid</v>
      </c>
      <c r="G775" s="8">
        <f t="shared" si="193"/>
        <v>0</v>
      </c>
      <c r="H775" s="8" t="str">
        <f t="shared" si="194"/>
        <v>Valid</v>
      </c>
      <c r="I775" t="s">
        <v>3574</v>
      </c>
      <c r="J775" t="s">
        <v>24</v>
      </c>
      <c r="K775" t="s">
        <v>24</v>
      </c>
      <c r="L775" t="s">
        <v>114</v>
      </c>
      <c r="M775" s="3" t="str">
        <f t="shared" si="195"/>
        <v>Home Office</v>
      </c>
      <c r="N775" t="s">
        <v>72</v>
      </c>
      <c r="O775" s="3" t="str">
        <f t="shared" si="196"/>
        <v>West</v>
      </c>
      <c r="P775" t="s">
        <v>234</v>
      </c>
      <c r="Q775" t="s">
        <v>235</v>
      </c>
      <c r="R775" t="s">
        <v>85</v>
      </c>
      <c r="S775" s="3" t="str">
        <f t="shared" si="197"/>
        <v>Technology</v>
      </c>
      <c r="T775" t="s">
        <v>222</v>
      </c>
      <c r="U775" t="s">
        <v>3575</v>
      </c>
      <c r="W775" s="3" t="str">
        <f t="shared" si="198"/>
        <v>Unknown</v>
      </c>
      <c r="X775">
        <v>4</v>
      </c>
      <c r="Y775">
        <v>2945.07</v>
      </c>
      <c r="Z775">
        <v>0.2</v>
      </c>
      <c r="AA775">
        <f t="shared" si="202"/>
        <v>0.2</v>
      </c>
      <c r="AB775">
        <f t="shared" si="203"/>
        <v>9424.2240000000002</v>
      </c>
      <c r="AC775">
        <v>9424.2199999999993</v>
      </c>
      <c r="AD775">
        <v>6178.92</v>
      </c>
      <c r="AE775">
        <v>3245.3</v>
      </c>
      <c r="AF775" t="s">
        <v>33</v>
      </c>
      <c r="AG775" t="s">
        <v>34</v>
      </c>
      <c r="AH775" t="str">
        <f t="shared" si="199"/>
        <v>Completed</v>
      </c>
      <c r="AI775" t="str">
        <f t="shared" si="200"/>
        <v>Valid</v>
      </c>
      <c r="AJ775">
        <f t="shared" si="201"/>
        <v>3245.2999999999993</v>
      </c>
      <c r="AK775" s="12">
        <f t="shared" si="204"/>
        <v>0.34435726485278778</v>
      </c>
      <c r="AL775">
        <f t="shared" si="205"/>
        <v>2</v>
      </c>
      <c r="AM775">
        <f t="shared" si="206"/>
        <v>2025</v>
      </c>
      <c r="AN775" t="str">
        <f t="shared" si="207"/>
        <v>Clean</v>
      </c>
    </row>
    <row r="776" spans="1:40">
      <c r="A776" t="s">
        <v>3576</v>
      </c>
      <c r="B776" s="3" t="s">
        <v>3577</v>
      </c>
      <c r="C776" s="10">
        <v>45876</v>
      </c>
      <c r="D776" s="3" t="s">
        <v>1798</v>
      </c>
      <c r="E776" s="10">
        <v>45876</v>
      </c>
      <c r="F776" s="6" t="str">
        <f t="shared" si="192"/>
        <v>Valid</v>
      </c>
      <c r="G776" s="8">
        <f t="shared" si="193"/>
        <v>0</v>
      </c>
      <c r="H776" s="8" t="str">
        <f t="shared" si="194"/>
        <v>Valid</v>
      </c>
      <c r="I776" t="s">
        <v>3578</v>
      </c>
      <c r="J776" t="s">
        <v>365</v>
      </c>
      <c r="K776" t="s">
        <v>365</v>
      </c>
      <c r="L776" t="s">
        <v>25</v>
      </c>
      <c r="M776" s="3" t="str">
        <f t="shared" si="195"/>
        <v>Consumer</v>
      </c>
      <c r="N776" t="s">
        <v>72</v>
      </c>
      <c r="O776" s="3" t="str">
        <f t="shared" si="196"/>
        <v>West</v>
      </c>
      <c r="P776" t="s">
        <v>27</v>
      </c>
      <c r="Q776" t="s">
        <v>134</v>
      </c>
      <c r="R776" t="s">
        <v>85</v>
      </c>
      <c r="S776" s="3" t="str">
        <f t="shared" si="197"/>
        <v>Technology</v>
      </c>
      <c r="T776" t="s">
        <v>381</v>
      </c>
      <c r="U776" t="s">
        <v>3579</v>
      </c>
      <c r="W776" s="3" t="str">
        <f t="shared" si="198"/>
        <v>Unknown</v>
      </c>
      <c r="X776">
        <v>9</v>
      </c>
      <c r="Y776">
        <v>1076.75</v>
      </c>
      <c r="Z776">
        <v>0.2</v>
      </c>
      <c r="AA776">
        <f t="shared" si="202"/>
        <v>0.2</v>
      </c>
      <c r="AB776">
        <f t="shared" si="203"/>
        <v>7752.6</v>
      </c>
      <c r="AC776">
        <v>7752.6</v>
      </c>
      <c r="AD776">
        <v>4689.3</v>
      </c>
      <c r="AE776">
        <v>3063.3</v>
      </c>
      <c r="AF776" t="s">
        <v>33</v>
      </c>
      <c r="AG776" t="s">
        <v>34</v>
      </c>
      <c r="AH776" t="str">
        <f t="shared" si="199"/>
        <v>Completed</v>
      </c>
      <c r="AI776" t="str">
        <f t="shared" si="200"/>
        <v>Valid</v>
      </c>
      <c r="AJ776">
        <f t="shared" si="201"/>
        <v>3063.3</v>
      </c>
      <c r="AK776" s="12">
        <f t="shared" si="204"/>
        <v>0.39513195573098059</v>
      </c>
      <c r="AL776">
        <f t="shared" si="205"/>
        <v>8</v>
      </c>
      <c r="AM776">
        <f t="shared" si="206"/>
        <v>2025</v>
      </c>
      <c r="AN776" t="str">
        <f t="shared" si="207"/>
        <v>Clean</v>
      </c>
    </row>
    <row r="777" spans="1:40">
      <c r="A777" t="s">
        <v>3580</v>
      </c>
      <c r="B777" s="3" t="s">
        <v>3581</v>
      </c>
      <c r="C777" s="10">
        <v>45396</v>
      </c>
      <c r="D777" s="3" t="s">
        <v>3582</v>
      </c>
      <c r="E777" s="10">
        <v>45404</v>
      </c>
      <c r="F777" s="6" t="str">
        <f t="shared" si="192"/>
        <v>Valid</v>
      </c>
      <c r="G777" s="8">
        <f t="shared" si="193"/>
        <v>8</v>
      </c>
      <c r="H777" s="8" t="str">
        <f t="shared" si="194"/>
        <v>Valid</v>
      </c>
      <c r="I777" t="s">
        <v>3583</v>
      </c>
      <c r="J777" t="s">
        <v>60</v>
      </c>
      <c r="K777" t="s">
        <v>60</v>
      </c>
      <c r="L777" t="s">
        <v>25</v>
      </c>
      <c r="M777" s="3" t="str">
        <f t="shared" si="195"/>
        <v>Consumer</v>
      </c>
      <c r="N777" t="s">
        <v>26</v>
      </c>
      <c r="O777" s="3" t="str">
        <f t="shared" si="196"/>
        <v>North</v>
      </c>
      <c r="P777" t="s">
        <v>322</v>
      </c>
      <c r="Q777" t="s">
        <v>323</v>
      </c>
      <c r="R777" t="s">
        <v>85</v>
      </c>
      <c r="S777" s="3" t="str">
        <f t="shared" si="197"/>
        <v>Technology</v>
      </c>
      <c r="T777" t="s">
        <v>86</v>
      </c>
      <c r="U777" t="s">
        <v>3584</v>
      </c>
      <c r="V777" t="s">
        <v>66</v>
      </c>
      <c r="W777" s="3" t="str">
        <f t="shared" si="198"/>
        <v>Standard Class</v>
      </c>
      <c r="X777">
        <v>8</v>
      </c>
      <c r="Y777">
        <v>3956.12</v>
      </c>
      <c r="Z777">
        <v>0.25</v>
      </c>
      <c r="AA777">
        <f t="shared" si="202"/>
        <v>0.25</v>
      </c>
      <c r="AB777">
        <f t="shared" si="203"/>
        <v>23736.720000000001</v>
      </c>
      <c r="AC777">
        <v>23736.720000000001</v>
      </c>
      <c r="AD777">
        <v>13890.9</v>
      </c>
      <c r="AE777">
        <v>9845.82</v>
      </c>
      <c r="AF777" t="s">
        <v>33</v>
      </c>
      <c r="AG777" t="s">
        <v>34</v>
      </c>
      <c r="AH777" t="str">
        <f t="shared" si="199"/>
        <v>Completed</v>
      </c>
      <c r="AI777" t="str">
        <f t="shared" si="200"/>
        <v>Valid</v>
      </c>
      <c r="AJ777">
        <f t="shared" si="201"/>
        <v>9845.8200000000015</v>
      </c>
      <c r="AK777" s="12">
        <f t="shared" si="204"/>
        <v>0.41479277676106896</v>
      </c>
      <c r="AL777">
        <f t="shared" si="205"/>
        <v>4</v>
      </c>
      <c r="AM777">
        <f t="shared" si="206"/>
        <v>2024</v>
      </c>
      <c r="AN777" t="str">
        <f t="shared" si="207"/>
        <v>Clean</v>
      </c>
    </row>
    <row r="778" spans="1:40">
      <c r="A778" t="s">
        <v>3585</v>
      </c>
      <c r="B778" s="3" t="s">
        <v>3586</v>
      </c>
      <c r="C778" s="10">
        <v>45816</v>
      </c>
      <c r="D778" s="3" t="s">
        <v>2350</v>
      </c>
      <c r="E778" s="10">
        <v>45821</v>
      </c>
      <c r="F778" s="6" t="str">
        <f t="shared" si="192"/>
        <v>Valid</v>
      </c>
      <c r="G778" s="8">
        <f t="shared" si="193"/>
        <v>5</v>
      </c>
      <c r="H778" s="8" t="str">
        <f t="shared" si="194"/>
        <v>Valid</v>
      </c>
      <c r="I778" t="s">
        <v>3587</v>
      </c>
      <c r="J778" t="s">
        <v>106</v>
      </c>
      <c r="K778" t="s">
        <v>106</v>
      </c>
      <c r="L778" t="s">
        <v>40</v>
      </c>
      <c r="M778" s="3" t="str">
        <f t="shared" si="195"/>
        <v>Small Business</v>
      </c>
      <c r="N778" t="s">
        <v>26</v>
      </c>
      <c r="O778" s="3" t="str">
        <f t="shared" si="196"/>
        <v>North</v>
      </c>
      <c r="P778" t="s">
        <v>27</v>
      </c>
      <c r="Q778" t="s">
        <v>28</v>
      </c>
      <c r="R778" t="s">
        <v>85</v>
      </c>
      <c r="S778" s="3" t="str">
        <f t="shared" si="197"/>
        <v>Technology</v>
      </c>
      <c r="T778" t="s">
        <v>93</v>
      </c>
      <c r="U778" t="s">
        <v>3588</v>
      </c>
      <c r="V778" t="s">
        <v>32</v>
      </c>
      <c r="W778" s="3" t="str">
        <f t="shared" si="198"/>
        <v>Second Class</v>
      </c>
      <c r="X778">
        <v>7</v>
      </c>
      <c r="Y778">
        <v>3857.13</v>
      </c>
      <c r="Z778">
        <v>0</v>
      </c>
      <c r="AA778">
        <f t="shared" si="202"/>
        <v>0</v>
      </c>
      <c r="AB778">
        <f t="shared" si="203"/>
        <v>26999.91</v>
      </c>
      <c r="AC778">
        <v>26999.91</v>
      </c>
      <c r="AD778">
        <v>17815.98</v>
      </c>
      <c r="AE778">
        <v>9183.93</v>
      </c>
      <c r="AF778" t="s">
        <v>33</v>
      </c>
      <c r="AG778" t="s">
        <v>34</v>
      </c>
      <c r="AH778" t="str">
        <f t="shared" si="199"/>
        <v>Completed</v>
      </c>
      <c r="AI778" t="str">
        <f t="shared" si="200"/>
        <v>Valid</v>
      </c>
      <c r="AJ778">
        <f t="shared" si="201"/>
        <v>9183.93</v>
      </c>
      <c r="AK778" s="12">
        <f t="shared" si="204"/>
        <v>0.34014668937785347</v>
      </c>
      <c r="AL778">
        <f t="shared" si="205"/>
        <v>6</v>
      </c>
      <c r="AM778">
        <f t="shared" si="206"/>
        <v>2025</v>
      </c>
      <c r="AN778" t="str">
        <f t="shared" si="207"/>
        <v>Clean</v>
      </c>
    </row>
    <row r="779" spans="1:40">
      <c r="A779" t="s">
        <v>3589</v>
      </c>
      <c r="B779" s="3" t="s">
        <v>3590</v>
      </c>
      <c r="C779" s="10">
        <v>45326</v>
      </c>
      <c r="D779" s="3" t="s">
        <v>2279</v>
      </c>
      <c r="E779" s="10">
        <v>45328</v>
      </c>
      <c r="F779" s="6" t="str">
        <f t="shared" si="192"/>
        <v>Valid</v>
      </c>
      <c r="G779" s="8">
        <f t="shared" si="193"/>
        <v>2</v>
      </c>
      <c r="H779" s="8" t="str">
        <f t="shared" si="194"/>
        <v>Valid</v>
      </c>
      <c r="I779" t="s">
        <v>3591</v>
      </c>
      <c r="J779" t="s">
        <v>365</v>
      </c>
      <c r="K779" t="s">
        <v>365</v>
      </c>
      <c r="L779" t="s">
        <v>40</v>
      </c>
      <c r="M779" s="3" t="str">
        <f t="shared" si="195"/>
        <v>Small Business</v>
      </c>
      <c r="N779" t="s">
        <v>72</v>
      </c>
      <c r="O779" s="3" t="str">
        <f t="shared" si="196"/>
        <v>West</v>
      </c>
      <c r="P779" t="s">
        <v>83</v>
      </c>
      <c r="Q779" t="s">
        <v>84</v>
      </c>
      <c r="R779" t="s">
        <v>85</v>
      </c>
      <c r="S779" s="3" t="str">
        <f t="shared" si="197"/>
        <v>Technology</v>
      </c>
      <c r="T779" t="s">
        <v>86</v>
      </c>
      <c r="U779" t="s">
        <v>3592</v>
      </c>
      <c r="V779" t="s">
        <v>32</v>
      </c>
      <c r="W779" s="3" t="str">
        <f t="shared" si="198"/>
        <v>Second Class</v>
      </c>
      <c r="X779">
        <v>4</v>
      </c>
      <c r="Y779">
        <v>1489.74</v>
      </c>
      <c r="Z779">
        <v>0.15</v>
      </c>
      <c r="AA779">
        <f t="shared" si="202"/>
        <v>0.15</v>
      </c>
      <c r="AB779">
        <f t="shared" si="203"/>
        <v>5065.116</v>
      </c>
      <c r="AC779">
        <v>5065.12</v>
      </c>
      <c r="AD779">
        <v>3530.12</v>
      </c>
      <c r="AE779">
        <v>1535</v>
      </c>
      <c r="AF779" t="s">
        <v>199</v>
      </c>
      <c r="AG779" t="s">
        <v>77</v>
      </c>
      <c r="AH779" t="str">
        <f t="shared" si="199"/>
        <v>Cancelled</v>
      </c>
      <c r="AI779" t="str">
        <f t="shared" si="200"/>
        <v>Valid</v>
      </c>
      <c r="AJ779">
        <f t="shared" si="201"/>
        <v>1535</v>
      </c>
      <c r="AK779" s="12">
        <f t="shared" si="204"/>
        <v>0.30305327656859193</v>
      </c>
      <c r="AL779">
        <f t="shared" si="205"/>
        <v>2</v>
      </c>
      <c r="AM779">
        <f t="shared" si="206"/>
        <v>2024</v>
      </c>
      <c r="AN779" t="str">
        <f t="shared" si="207"/>
        <v>Clean</v>
      </c>
    </row>
    <row r="780" spans="1:40">
      <c r="A780" t="s">
        <v>3593</v>
      </c>
      <c r="B780" s="3" t="s">
        <v>714</v>
      </c>
      <c r="C780" s="10">
        <v>45497</v>
      </c>
      <c r="D780" s="3" t="s">
        <v>3594</v>
      </c>
      <c r="E780" s="10">
        <v>45497</v>
      </c>
      <c r="F780" s="6" t="str">
        <f t="shared" si="192"/>
        <v>Valid</v>
      </c>
      <c r="G780" s="8">
        <f t="shared" si="193"/>
        <v>0</v>
      </c>
      <c r="H780" s="8" t="str">
        <f t="shared" si="194"/>
        <v>Valid</v>
      </c>
      <c r="I780" t="s">
        <v>3595</v>
      </c>
      <c r="J780" t="s">
        <v>24</v>
      </c>
      <c r="K780" t="s">
        <v>24</v>
      </c>
      <c r="L780" t="s">
        <v>40</v>
      </c>
      <c r="M780" s="3" t="str">
        <f t="shared" si="195"/>
        <v>Small Business</v>
      </c>
      <c r="N780" t="s">
        <v>26</v>
      </c>
      <c r="O780" s="3" t="str">
        <f t="shared" si="196"/>
        <v>North</v>
      </c>
      <c r="P780" t="s">
        <v>322</v>
      </c>
      <c r="Q780" t="s">
        <v>323</v>
      </c>
      <c r="R780" t="s">
        <v>85</v>
      </c>
      <c r="S780" s="3" t="str">
        <f t="shared" si="197"/>
        <v>Technology</v>
      </c>
      <c r="T780" t="s">
        <v>93</v>
      </c>
      <c r="U780" t="s">
        <v>3596</v>
      </c>
      <c r="V780" t="s">
        <v>32</v>
      </c>
      <c r="W780" s="3" t="str">
        <f t="shared" si="198"/>
        <v>Second Class</v>
      </c>
      <c r="X780">
        <v>4</v>
      </c>
      <c r="Y780">
        <v>1676.88</v>
      </c>
      <c r="Z780">
        <v>0</v>
      </c>
      <c r="AA780">
        <f t="shared" si="202"/>
        <v>0</v>
      </c>
      <c r="AB780">
        <f t="shared" si="203"/>
        <v>6707.52</v>
      </c>
      <c r="AC780">
        <v>6707.52</v>
      </c>
      <c r="AD780">
        <v>5672.57</v>
      </c>
      <c r="AE780">
        <v>1034.95</v>
      </c>
      <c r="AF780" t="s">
        <v>33</v>
      </c>
      <c r="AG780" t="s">
        <v>34</v>
      </c>
      <c r="AH780" t="str">
        <f t="shared" si="199"/>
        <v>Completed</v>
      </c>
      <c r="AI780" t="str">
        <f t="shared" si="200"/>
        <v>Valid</v>
      </c>
      <c r="AJ780">
        <f t="shared" si="201"/>
        <v>1034.9500000000007</v>
      </c>
      <c r="AK780" s="12">
        <f t="shared" si="204"/>
        <v>0.15429696817899918</v>
      </c>
      <c r="AL780">
        <f t="shared" si="205"/>
        <v>7</v>
      </c>
      <c r="AM780">
        <f t="shared" si="206"/>
        <v>2024</v>
      </c>
      <c r="AN780" t="str">
        <f t="shared" si="207"/>
        <v>Clean</v>
      </c>
    </row>
    <row r="781" spans="1:40">
      <c r="A781" t="s">
        <v>3597</v>
      </c>
      <c r="B781" s="3" t="s">
        <v>2204</v>
      </c>
      <c r="C781" s="10">
        <v>45306</v>
      </c>
      <c r="D781" s="3" t="s">
        <v>3598</v>
      </c>
      <c r="E781" s="10">
        <v>45311</v>
      </c>
      <c r="F781" s="6" t="str">
        <f t="shared" si="192"/>
        <v>Valid</v>
      </c>
      <c r="G781" s="8">
        <f t="shared" si="193"/>
        <v>5</v>
      </c>
      <c r="H781" s="8" t="str">
        <f t="shared" si="194"/>
        <v>Valid</v>
      </c>
      <c r="I781" t="s">
        <v>3599</v>
      </c>
      <c r="J781" t="s">
        <v>141</v>
      </c>
      <c r="K781" t="s">
        <v>141</v>
      </c>
      <c r="L781" t="s">
        <v>40</v>
      </c>
      <c r="M781" s="3" t="str">
        <f t="shared" si="195"/>
        <v>Small Business</v>
      </c>
      <c r="N781" t="s">
        <v>61</v>
      </c>
      <c r="O781" s="3" t="str">
        <f t="shared" si="196"/>
        <v>South</v>
      </c>
      <c r="P781" t="s">
        <v>99</v>
      </c>
      <c r="Q781" t="s">
        <v>100</v>
      </c>
      <c r="R781" t="s">
        <v>44</v>
      </c>
      <c r="S781" s="3" t="str">
        <f t="shared" si="197"/>
        <v>Furniture</v>
      </c>
      <c r="T781" t="s">
        <v>75</v>
      </c>
      <c r="U781" t="s">
        <v>3600</v>
      </c>
      <c r="V781" t="s">
        <v>66</v>
      </c>
      <c r="W781" s="3" t="str">
        <f t="shared" si="198"/>
        <v>Standard Class</v>
      </c>
      <c r="X781">
        <v>4</v>
      </c>
      <c r="Y781">
        <v>3153.54</v>
      </c>
      <c r="Z781">
        <v>0.05</v>
      </c>
      <c r="AA781">
        <f t="shared" si="202"/>
        <v>0.05</v>
      </c>
      <c r="AB781">
        <f t="shared" si="203"/>
        <v>11983.451999999999</v>
      </c>
      <c r="AC781">
        <v>11983.45</v>
      </c>
      <c r="AD781">
        <v>8572.9</v>
      </c>
      <c r="AE781">
        <v>3410.55</v>
      </c>
      <c r="AF781" t="s">
        <v>33</v>
      </c>
      <c r="AG781" t="s">
        <v>34</v>
      </c>
      <c r="AH781" t="str">
        <f t="shared" si="199"/>
        <v>Completed</v>
      </c>
      <c r="AI781" t="str">
        <f t="shared" si="200"/>
        <v>Valid</v>
      </c>
      <c r="AJ781">
        <f t="shared" si="201"/>
        <v>3410.5500000000011</v>
      </c>
      <c r="AK781" s="12">
        <f t="shared" si="204"/>
        <v>0.28460497025398035</v>
      </c>
      <c r="AL781">
        <f t="shared" si="205"/>
        <v>1</v>
      </c>
      <c r="AM781">
        <f t="shared" si="206"/>
        <v>2024</v>
      </c>
      <c r="AN781" t="str">
        <f t="shared" si="207"/>
        <v>Clean</v>
      </c>
    </row>
    <row r="782" spans="1:40">
      <c r="A782" t="s">
        <v>3601</v>
      </c>
      <c r="B782" s="3" t="s">
        <v>3602</v>
      </c>
      <c r="C782" s="10">
        <v>45508</v>
      </c>
      <c r="D782" s="3" t="s">
        <v>2653</v>
      </c>
      <c r="E782" s="10">
        <v>45514</v>
      </c>
      <c r="F782" s="6" t="str">
        <f t="shared" si="192"/>
        <v>Valid</v>
      </c>
      <c r="G782" s="8">
        <f t="shared" si="193"/>
        <v>6</v>
      </c>
      <c r="H782" s="8" t="str">
        <f t="shared" si="194"/>
        <v>Valid</v>
      </c>
      <c r="I782" t="s">
        <v>3603</v>
      </c>
      <c r="J782" t="s">
        <v>209</v>
      </c>
      <c r="K782" t="s">
        <v>209</v>
      </c>
      <c r="L782" t="s">
        <v>40</v>
      </c>
      <c r="M782" s="3" t="str">
        <f t="shared" si="195"/>
        <v>Small Business</v>
      </c>
      <c r="N782" t="s">
        <v>72</v>
      </c>
      <c r="O782" s="3" t="str">
        <f t="shared" si="196"/>
        <v>West</v>
      </c>
      <c r="P782" t="s">
        <v>27</v>
      </c>
      <c r="Q782" t="s">
        <v>134</v>
      </c>
      <c r="R782" t="s">
        <v>44</v>
      </c>
      <c r="S782" s="3" t="str">
        <f t="shared" si="197"/>
        <v>Furniture</v>
      </c>
      <c r="T782" t="s">
        <v>75</v>
      </c>
      <c r="U782" t="s">
        <v>3604</v>
      </c>
      <c r="V782" t="s">
        <v>47</v>
      </c>
      <c r="W782" s="3" t="str">
        <f t="shared" si="198"/>
        <v>Same Day</v>
      </c>
      <c r="X782">
        <v>4</v>
      </c>
      <c r="Y782">
        <v>426.43</v>
      </c>
      <c r="Z782">
        <v>0.2</v>
      </c>
      <c r="AA782">
        <f t="shared" si="202"/>
        <v>0.2</v>
      </c>
      <c r="AB782">
        <f t="shared" si="203"/>
        <v>1364.576</v>
      </c>
      <c r="AC782">
        <v>1364.58</v>
      </c>
      <c r="AD782">
        <v>978.16</v>
      </c>
      <c r="AE782">
        <v>386.42</v>
      </c>
      <c r="AF782" t="s">
        <v>33</v>
      </c>
      <c r="AG782" t="s">
        <v>34</v>
      </c>
      <c r="AH782" t="str">
        <f t="shared" si="199"/>
        <v>Completed</v>
      </c>
      <c r="AI782" t="str">
        <f t="shared" si="200"/>
        <v>Valid</v>
      </c>
      <c r="AJ782">
        <f t="shared" si="201"/>
        <v>386.41999999999996</v>
      </c>
      <c r="AK782" s="12">
        <f t="shared" si="204"/>
        <v>0.28317953708697791</v>
      </c>
      <c r="AL782">
        <f t="shared" si="205"/>
        <v>8</v>
      </c>
      <c r="AM782">
        <f t="shared" si="206"/>
        <v>2024</v>
      </c>
      <c r="AN782" t="str">
        <f t="shared" si="207"/>
        <v>Clean</v>
      </c>
    </row>
    <row r="783" spans="1:40">
      <c r="A783" t="s">
        <v>3605</v>
      </c>
      <c r="B783" s="3" t="s">
        <v>3606</v>
      </c>
      <c r="C783" s="10">
        <v>45324</v>
      </c>
      <c r="D783" s="3" t="s">
        <v>2128</v>
      </c>
      <c r="E783" s="10">
        <v>45332</v>
      </c>
      <c r="F783" s="6" t="str">
        <f t="shared" si="192"/>
        <v>Valid</v>
      </c>
      <c r="G783" s="8">
        <f t="shared" si="193"/>
        <v>8</v>
      </c>
      <c r="H783" s="8" t="str">
        <f t="shared" si="194"/>
        <v>Valid</v>
      </c>
      <c r="I783" t="s">
        <v>3607</v>
      </c>
      <c r="J783" t="s">
        <v>24</v>
      </c>
      <c r="K783" t="s">
        <v>24</v>
      </c>
      <c r="L783" t="s">
        <v>114</v>
      </c>
      <c r="M783" s="3" t="str">
        <f t="shared" si="195"/>
        <v>Home Office</v>
      </c>
      <c r="N783" t="s">
        <v>72</v>
      </c>
      <c r="O783" s="3" t="str">
        <f t="shared" si="196"/>
        <v>West</v>
      </c>
      <c r="P783" t="s">
        <v>27</v>
      </c>
      <c r="Q783" t="s">
        <v>134</v>
      </c>
      <c r="R783" t="s">
        <v>29</v>
      </c>
      <c r="S783" s="3" t="str">
        <f t="shared" si="197"/>
        <v>Office Supplies</v>
      </c>
      <c r="T783" t="s">
        <v>108</v>
      </c>
      <c r="U783" t="s">
        <v>3608</v>
      </c>
      <c r="V783" t="s">
        <v>55</v>
      </c>
      <c r="W783" s="3" t="str">
        <f t="shared" si="198"/>
        <v>First Class</v>
      </c>
      <c r="X783">
        <v>3</v>
      </c>
      <c r="Y783">
        <v>383.4</v>
      </c>
      <c r="Z783">
        <v>0.25</v>
      </c>
      <c r="AA783">
        <f t="shared" si="202"/>
        <v>0.25</v>
      </c>
      <c r="AB783">
        <f t="shared" si="203"/>
        <v>862.64999999999986</v>
      </c>
      <c r="AC783">
        <v>862.65</v>
      </c>
      <c r="AD783">
        <v>603.73</v>
      </c>
      <c r="AE783">
        <v>258.92</v>
      </c>
      <c r="AF783" t="s">
        <v>136</v>
      </c>
      <c r="AG783" t="s">
        <v>124</v>
      </c>
      <c r="AH783" t="str">
        <f t="shared" si="199"/>
        <v>Returned</v>
      </c>
      <c r="AI783" t="str">
        <f t="shared" si="200"/>
        <v>Valid</v>
      </c>
      <c r="AJ783">
        <f t="shared" si="201"/>
        <v>258.91999999999996</v>
      </c>
      <c r="AK783" s="12">
        <f t="shared" si="204"/>
        <v>0.30014490233582564</v>
      </c>
      <c r="AL783">
        <f t="shared" si="205"/>
        <v>2</v>
      </c>
      <c r="AM783">
        <f t="shared" si="206"/>
        <v>2024</v>
      </c>
      <c r="AN783" t="str">
        <f t="shared" si="207"/>
        <v>Clean</v>
      </c>
    </row>
    <row r="784" spans="1:40">
      <c r="A784" t="s">
        <v>3609</v>
      </c>
      <c r="B784" s="3" t="s">
        <v>1434</v>
      </c>
      <c r="C784" s="10">
        <v>45730</v>
      </c>
      <c r="D784" s="3" t="s">
        <v>3610</v>
      </c>
      <c r="E784" s="10">
        <v>45738</v>
      </c>
      <c r="F784" s="6" t="str">
        <f t="shared" si="192"/>
        <v>Valid</v>
      </c>
      <c r="G784" s="8">
        <f t="shared" si="193"/>
        <v>8</v>
      </c>
      <c r="H784" s="8" t="str">
        <f t="shared" si="194"/>
        <v>Valid</v>
      </c>
      <c r="I784" t="s">
        <v>3611</v>
      </c>
      <c r="J784" t="s">
        <v>39</v>
      </c>
      <c r="K784" t="s">
        <v>39</v>
      </c>
      <c r="L784" t="s">
        <v>107</v>
      </c>
      <c r="M784" s="3" t="str">
        <f t="shared" si="195"/>
        <v>Corporate</v>
      </c>
      <c r="N784" t="s">
        <v>41</v>
      </c>
      <c r="O784" s="3" t="str">
        <f t="shared" si="196"/>
        <v>East</v>
      </c>
      <c r="P784" t="s">
        <v>120</v>
      </c>
      <c r="Q784" t="s">
        <v>121</v>
      </c>
      <c r="R784" t="s">
        <v>85</v>
      </c>
      <c r="S784" s="3" t="str">
        <f t="shared" si="197"/>
        <v>Technology</v>
      </c>
      <c r="T784" t="s">
        <v>93</v>
      </c>
      <c r="U784" t="s">
        <v>3612</v>
      </c>
      <c r="V784" t="s">
        <v>66</v>
      </c>
      <c r="W784" s="3" t="str">
        <f t="shared" si="198"/>
        <v>Standard Class</v>
      </c>
      <c r="X784">
        <v>2</v>
      </c>
      <c r="Y784">
        <v>669.63</v>
      </c>
      <c r="Z784">
        <v>0.15</v>
      </c>
      <c r="AA784">
        <f t="shared" si="202"/>
        <v>0.15</v>
      </c>
      <c r="AB784">
        <f t="shared" si="203"/>
        <v>1138.3709999999999</v>
      </c>
      <c r="AC784">
        <v>1138.3699999999999</v>
      </c>
      <c r="AD784">
        <v>797.34</v>
      </c>
      <c r="AE784">
        <v>341.03</v>
      </c>
      <c r="AF784" t="s">
        <v>33</v>
      </c>
      <c r="AG784" t="s">
        <v>34</v>
      </c>
      <c r="AH784" t="str">
        <f t="shared" si="199"/>
        <v>Completed</v>
      </c>
      <c r="AI784" t="str">
        <f t="shared" si="200"/>
        <v>Valid</v>
      </c>
      <c r="AJ784">
        <f t="shared" si="201"/>
        <v>341.02999999999986</v>
      </c>
      <c r="AK784" s="12">
        <f t="shared" si="204"/>
        <v>0.29957720286268702</v>
      </c>
      <c r="AL784">
        <f t="shared" si="205"/>
        <v>3</v>
      </c>
      <c r="AM784">
        <f t="shared" si="206"/>
        <v>2025</v>
      </c>
      <c r="AN784" t="str">
        <f t="shared" si="207"/>
        <v>Clean</v>
      </c>
    </row>
    <row r="785" spans="1:40">
      <c r="A785" t="s">
        <v>3613</v>
      </c>
      <c r="B785" s="3" t="s">
        <v>3614</v>
      </c>
      <c r="C785" s="10">
        <v>45450</v>
      </c>
      <c r="D785" s="3" t="s">
        <v>3615</v>
      </c>
      <c r="E785" s="10">
        <v>45450</v>
      </c>
      <c r="F785" s="6" t="str">
        <f t="shared" si="192"/>
        <v>Valid</v>
      </c>
      <c r="G785" s="8">
        <f t="shared" si="193"/>
        <v>0</v>
      </c>
      <c r="H785" s="8" t="str">
        <f t="shared" si="194"/>
        <v>Valid</v>
      </c>
      <c r="I785" t="s">
        <v>3616</v>
      </c>
      <c r="J785" t="s">
        <v>161</v>
      </c>
      <c r="K785" t="s">
        <v>161</v>
      </c>
      <c r="L785" t="s">
        <v>40</v>
      </c>
      <c r="M785" s="3" t="str">
        <f t="shared" si="195"/>
        <v>Small Business</v>
      </c>
      <c r="N785" t="s">
        <v>41</v>
      </c>
      <c r="O785" s="3" t="str">
        <f t="shared" si="196"/>
        <v>East</v>
      </c>
      <c r="P785" t="s">
        <v>185</v>
      </c>
      <c r="Q785" t="s">
        <v>186</v>
      </c>
      <c r="R785" t="s">
        <v>29</v>
      </c>
      <c r="S785" s="3" t="str">
        <f t="shared" si="197"/>
        <v>Office Supplies</v>
      </c>
      <c r="T785" t="s">
        <v>53</v>
      </c>
      <c r="U785" t="s">
        <v>3617</v>
      </c>
      <c r="V785" t="s">
        <v>32</v>
      </c>
      <c r="W785" s="3" t="str">
        <f t="shared" si="198"/>
        <v>Second Class</v>
      </c>
      <c r="X785">
        <v>1</v>
      </c>
      <c r="Y785">
        <v>2581.9299999999998</v>
      </c>
      <c r="Z785">
        <v>0.05</v>
      </c>
      <c r="AA785">
        <f t="shared" si="202"/>
        <v>0.05</v>
      </c>
      <c r="AB785">
        <f t="shared" si="203"/>
        <v>2452.8334999999997</v>
      </c>
      <c r="AC785">
        <v>2452.83</v>
      </c>
      <c r="AD785">
        <v>1906.7</v>
      </c>
      <c r="AE785">
        <v>546.13</v>
      </c>
      <c r="AF785" t="s">
        <v>33</v>
      </c>
      <c r="AG785" t="s">
        <v>34</v>
      </c>
      <c r="AH785" t="str">
        <f t="shared" si="199"/>
        <v>Completed</v>
      </c>
      <c r="AI785" t="str">
        <f t="shared" si="200"/>
        <v>Valid</v>
      </c>
      <c r="AJ785">
        <f t="shared" si="201"/>
        <v>546.12999999999988</v>
      </c>
      <c r="AK785" s="12">
        <f t="shared" si="204"/>
        <v>0.22265269941885577</v>
      </c>
      <c r="AL785">
        <f t="shared" si="205"/>
        <v>6</v>
      </c>
      <c r="AM785">
        <f t="shared" si="206"/>
        <v>2024</v>
      </c>
      <c r="AN785" t="str">
        <f t="shared" si="207"/>
        <v>Clean</v>
      </c>
    </row>
    <row r="786" spans="1:40">
      <c r="A786" t="s">
        <v>3618</v>
      </c>
      <c r="B786" s="3" t="s">
        <v>3619</v>
      </c>
      <c r="C786" s="10">
        <v>45934</v>
      </c>
      <c r="D786" s="3" t="s">
        <v>2552</v>
      </c>
      <c r="E786" s="10">
        <v>45935</v>
      </c>
      <c r="F786" s="6" t="str">
        <f t="shared" si="192"/>
        <v>Valid</v>
      </c>
      <c r="G786" s="8">
        <f t="shared" si="193"/>
        <v>1</v>
      </c>
      <c r="H786" s="8" t="str">
        <f t="shared" si="194"/>
        <v>Valid</v>
      </c>
      <c r="I786" t="s">
        <v>3620</v>
      </c>
      <c r="J786" t="s">
        <v>141</v>
      </c>
      <c r="K786" t="s">
        <v>141</v>
      </c>
      <c r="L786" t="s">
        <v>107</v>
      </c>
      <c r="M786" s="3" t="str">
        <f t="shared" si="195"/>
        <v>Corporate</v>
      </c>
      <c r="N786" t="s">
        <v>3621</v>
      </c>
      <c r="O786" s="3" t="str">
        <f t="shared" si="196"/>
        <v>North</v>
      </c>
      <c r="P786" t="s">
        <v>153</v>
      </c>
      <c r="Q786" t="s">
        <v>154</v>
      </c>
      <c r="R786" t="s">
        <v>85</v>
      </c>
      <c r="S786" s="3" t="str">
        <f t="shared" si="197"/>
        <v>Technology</v>
      </c>
      <c r="T786" t="s">
        <v>93</v>
      </c>
      <c r="U786" t="s">
        <v>3622</v>
      </c>
      <c r="V786" t="s">
        <v>55</v>
      </c>
      <c r="W786" s="3" t="str">
        <f t="shared" si="198"/>
        <v>First Class</v>
      </c>
      <c r="X786">
        <v>4</v>
      </c>
      <c r="Y786">
        <v>418.18</v>
      </c>
      <c r="Z786">
        <v>0.05</v>
      </c>
      <c r="AA786">
        <f t="shared" si="202"/>
        <v>0.05</v>
      </c>
      <c r="AB786">
        <f t="shared" si="203"/>
        <v>1589.0840000000001</v>
      </c>
      <c r="AC786">
        <v>1589.08</v>
      </c>
      <c r="AD786">
        <v>1084.6600000000001</v>
      </c>
      <c r="AE786">
        <v>504.42</v>
      </c>
      <c r="AF786" t="s">
        <v>33</v>
      </c>
      <c r="AG786" t="s">
        <v>34</v>
      </c>
      <c r="AH786" t="str">
        <f t="shared" si="199"/>
        <v>Completed</v>
      </c>
      <c r="AI786" t="str">
        <f t="shared" si="200"/>
        <v>Valid</v>
      </c>
      <c r="AJ786">
        <f t="shared" si="201"/>
        <v>504.41999999999985</v>
      </c>
      <c r="AK786" s="12">
        <f t="shared" si="204"/>
        <v>0.31742815357778431</v>
      </c>
      <c r="AL786">
        <f t="shared" si="205"/>
        <v>10</v>
      </c>
      <c r="AM786">
        <f t="shared" si="206"/>
        <v>2025</v>
      </c>
      <c r="AN786" t="str">
        <f t="shared" si="207"/>
        <v>Clean</v>
      </c>
    </row>
    <row r="787" spans="1:40">
      <c r="A787" t="s">
        <v>3623</v>
      </c>
      <c r="B787" s="3" t="s">
        <v>3624</v>
      </c>
      <c r="C787" s="10">
        <v>45435</v>
      </c>
      <c r="D787" s="3" t="s">
        <v>272</v>
      </c>
      <c r="E787" s="10">
        <v>45441</v>
      </c>
      <c r="F787" s="6" t="str">
        <f t="shared" si="192"/>
        <v>Valid</v>
      </c>
      <c r="G787" s="8">
        <f t="shared" si="193"/>
        <v>6</v>
      </c>
      <c r="H787" s="8" t="str">
        <f t="shared" si="194"/>
        <v>Valid</v>
      </c>
      <c r="I787" t="s">
        <v>3625</v>
      </c>
      <c r="J787" t="s">
        <v>209</v>
      </c>
      <c r="K787" t="s">
        <v>209</v>
      </c>
      <c r="L787" t="s">
        <v>40</v>
      </c>
      <c r="M787" s="3" t="str">
        <f t="shared" si="195"/>
        <v>Small Business</v>
      </c>
      <c r="N787" t="s">
        <v>26</v>
      </c>
      <c r="O787" s="3" t="str">
        <f t="shared" si="196"/>
        <v>North</v>
      </c>
      <c r="P787" t="s">
        <v>322</v>
      </c>
      <c r="Q787" t="s">
        <v>323</v>
      </c>
      <c r="R787" t="s">
        <v>29</v>
      </c>
      <c r="S787" s="3" t="str">
        <f t="shared" si="197"/>
        <v>Office Supplies</v>
      </c>
      <c r="T787" t="s">
        <v>155</v>
      </c>
      <c r="U787" t="s">
        <v>3626</v>
      </c>
      <c r="V787" t="s">
        <v>47</v>
      </c>
      <c r="W787" s="3" t="str">
        <f t="shared" si="198"/>
        <v>Same Day</v>
      </c>
      <c r="X787">
        <v>2</v>
      </c>
      <c r="Y787">
        <v>3012.94</v>
      </c>
      <c r="Z787">
        <v>0.25</v>
      </c>
      <c r="AA787">
        <f t="shared" si="202"/>
        <v>0.25</v>
      </c>
      <c r="AB787">
        <f t="shared" si="203"/>
        <v>4519.41</v>
      </c>
      <c r="AC787">
        <v>4519.41</v>
      </c>
      <c r="AD787">
        <v>3504.16</v>
      </c>
      <c r="AE787">
        <v>1275.55</v>
      </c>
      <c r="AF787" t="s">
        <v>199</v>
      </c>
      <c r="AG787" t="s">
        <v>77</v>
      </c>
      <c r="AH787" t="str">
        <f t="shared" si="199"/>
        <v>Cancelled</v>
      </c>
      <c r="AI787" t="str">
        <f t="shared" si="200"/>
        <v>Valid</v>
      </c>
      <c r="AJ787">
        <f t="shared" si="201"/>
        <v>1015.25</v>
      </c>
      <c r="AK787" s="12">
        <f t="shared" si="204"/>
        <v>0.22464215461752751</v>
      </c>
      <c r="AL787">
        <f t="shared" si="205"/>
        <v>5</v>
      </c>
      <c r="AM787">
        <f t="shared" si="206"/>
        <v>2024</v>
      </c>
      <c r="AN787" t="str">
        <f t="shared" si="207"/>
        <v>Clean</v>
      </c>
    </row>
    <row r="788" spans="1:40">
      <c r="A788" t="s">
        <v>3627</v>
      </c>
      <c r="B788" s="3" t="s">
        <v>1270</v>
      </c>
      <c r="C788" s="10">
        <v>45844</v>
      </c>
      <c r="D788" s="3" t="s">
        <v>2852</v>
      </c>
      <c r="E788" s="10">
        <v>45846</v>
      </c>
      <c r="F788" s="6" t="str">
        <f t="shared" si="192"/>
        <v>Valid</v>
      </c>
      <c r="G788" s="8">
        <f t="shared" si="193"/>
        <v>2</v>
      </c>
      <c r="H788" s="8" t="str">
        <f t="shared" si="194"/>
        <v>Valid</v>
      </c>
      <c r="I788" t="s">
        <v>3628</v>
      </c>
      <c r="J788" t="s">
        <v>71</v>
      </c>
      <c r="K788" t="s">
        <v>71</v>
      </c>
      <c r="L788" t="s">
        <v>107</v>
      </c>
      <c r="M788" s="3" t="str">
        <f t="shared" si="195"/>
        <v>Corporate</v>
      </c>
      <c r="N788" t="s">
        <v>26</v>
      </c>
      <c r="O788" s="3" t="str">
        <f t="shared" si="196"/>
        <v>North</v>
      </c>
      <c r="P788" t="s">
        <v>27</v>
      </c>
      <c r="Q788" t="s">
        <v>28</v>
      </c>
      <c r="R788" t="s">
        <v>44</v>
      </c>
      <c r="S788" s="3" t="str">
        <f t="shared" si="197"/>
        <v>Furniture</v>
      </c>
      <c r="T788" t="s">
        <v>64</v>
      </c>
      <c r="U788" t="s">
        <v>3629</v>
      </c>
      <c r="W788" s="3" t="str">
        <f t="shared" si="198"/>
        <v>Unknown</v>
      </c>
      <c r="X788">
        <v>4</v>
      </c>
      <c r="Y788">
        <v>715.45</v>
      </c>
      <c r="Z788">
        <v>0.05</v>
      </c>
      <c r="AA788">
        <f t="shared" si="202"/>
        <v>0.05</v>
      </c>
      <c r="AB788">
        <f t="shared" si="203"/>
        <v>2718.71</v>
      </c>
      <c r="AC788">
        <v>2718.71</v>
      </c>
      <c r="AD788">
        <v>2065.0500000000002</v>
      </c>
      <c r="AE788">
        <v>653.66</v>
      </c>
      <c r="AF788" t="s">
        <v>123</v>
      </c>
      <c r="AG788" t="s">
        <v>124</v>
      </c>
      <c r="AH788" t="str">
        <f t="shared" si="199"/>
        <v>Returned</v>
      </c>
      <c r="AI788" t="str">
        <f t="shared" si="200"/>
        <v>Valid</v>
      </c>
      <c r="AJ788">
        <f t="shared" si="201"/>
        <v>653.65999999999985</v>
      </c>
      <c r="AK788" s="12">
        <f t="shared" si="204"/>
        <v>0.24043020403058799</v>
      </c>
      <c r="AL788">
        <f t="shared" si="205"/>
        <v>7</v>
      </c>
      <c r="AM788">
        <f t="shared" si="206"/>
        <v>2025</v>
      </c>
      <c r="AN788" t="str">
        <f t="shared" si="207"/>
        <v>Clean</v>
      </c>
    </row>
    <row r="789" spans="1:40">
      <c r="A789" t="s">
        <v>3630</v>
      </c>
      <c r="B789" s="3" t="s">
        <v>1323</v>
      </c>
      <c r="C789" s="10">
        <v>45547</v>
      </c>
      <c r="D789" s="3" t="s">
        <v>3631</v>
      </c>
      <c r="E789" s="10">
        <v>45553</v>
      </c>
      <c r="F789" s="6" t="str">
        <f t="shared" si="192"/>
        <v>Valid</v>
      </c>
      <c r="G789" s="8">
        <f t="shared" si="193"/>
        <v>6</v>
      </c>
      <c r="H789" s="8" t="str">
        <f t="shared" si="194"/>
        <v>Valid</v>
      </c>
      <c r="I789" t="s">
        <v>3632</v>
      </c>
      <c r="J789" t="s">
        <v>71</v>
      </c>
      <c r="K789" t="s">
        <v>71</v>
      </c>
      <c r="L789" t="s">
        <v>114</v>
      </c>
      <c r="M789" s="3" t="str">
        <f t="shared" si="195"/>
        <v>Home Office</v>
      </c>
      <c r="N789" t="s">
        <v>41</v>
      </c>
      <c r="O789" s="3" t="str">
        <f t="shared" si="196"/>
        <v>East</v>
      </c>
      <c r="P789" t="s">
        <v>185</v>
      </c>
      <c r="Q789" t="s">
        <v>186</v>
      </c>
      <c r="R789" t="s">
        <v>29</v>
      </c>
      <c r="S789" s="3" t="str">
        <f t="shared" si="197"/>
        <v>Office Supplies</v>
      </c>
      <c r="T789" t="s">
        <v>30</v>
      </c>
      <c r="U789" t="s">
        <v>3633</v>
      </c>
      <c r="V789" t="s">
        <v>32</v>
      </c>
      <c r="W789" s="3" t="str">
        <f t="shared" si="198"/>
        <v>Second Class</v>
      </c>
      <c r="X789">
        <v>2</v>
      </c>
      <c r="Y789">
        <v>3718.77</v>
      </c>
      <c r="Z789">
        <v>0.05</v>
      </c>
      <c r="AA789">
        <f t="shared" si="202"/>
        <v>0.05</v>
      </c>
      <c r="AB789">
        <f t="shared" si="203"/>
        <v>7065.6629999999996</v>
      </c>
      <c r="AC789">
        <v>7065.66</v>
      </c>
      <c r="AD789">
        <v>4915.2700000000004</v>
      </c>
      <c r="AE789">
        <v>2150.39</v>
      </c>
      <c r="AF789" t="s">
        <v>33</v>
      </c>
      <c r="AG789" t="s">
        <v>34</v>
      </c>
      <c r="AH789" t="str">
        <f t="shared" si="199"/>
        <v>Completed</v>
      </c>
      <c r="AI789" t="str">
        <f t="shared" si="200"/>
        <v>Valid</v>
      </c>
      <c r="AJ789">
        <f t="shared" si="201"/>
        <v>2150.3899999999994</v>
      </c>
      <c r="AK789" s="12">
        <f t="shared" si="204"/>
        <v>0.30434369711660458</v>
      </c>
      <c r="AL789">
        <f t="shared" si="205"/>
        <v>9</v>
      </c>
      <c r="AM789">
        <f t="shared" si="206"/>
        <v>2024</v>
      </c>
      <c r="AN789" t="str">
        <f t="shared" si="207"/>
        <v>Clean</v>
      </c>
    </row>
    <row r="790" spans="1:40">
      <c r="A790" t="s">
        <v>3634</v>
      </c>
      <c r="B790" s="3" t="s">
        <v>1298</v>
      </c>
      <c r="C790" s="10">
        <v>45505</v>
      </c>
      <c r="D790" s="3" t="s">
        <v>537</v>
      </c>
      <c r="E790" s="10">
        <v>45506</v>
      </c>
      <c r="F790" s="6" t="str">
        <f t="shared" si="192"/>
        <v>Valid</v>
      </c>
      <c r="G790" s="8">
        <f t="shared" si="193"/>
        <v>1</v>
      </c>
      <c r="H790" s="8" t="str">
        <f t="shared" si="194"/>
        <v>Valid</v>
      </c>
      <c r="I790" t="s">
        <v>3635</v>
      </c>
      <c r="J790" t="s">
        <v>52</v>
      </c>
      <c r="K790" t="s">
        <v>52</v>
      </c>
      <c r="L790" t="s">
        <v>107</v>
      </c>
      <c r="M790" s="3" t="str">
        <f t="shared" si="195"/>
        <v>Corporate</v>
      </c>
      <c r="N790" t="s">
        <v>26</v>
      </c>
      <c r="O790" s="3" t="str">
        <f t="shared" si="196"/>
        <v>North</v>
      </c>
      <c r="P790" t="s">
        <v>173</v>
      </c>
      <c r="Q790" t="s">
        <v>174</v>
      </c>
      <c r="R790" t="s">
        <v>44</v>
      </c>
      <c r="S790" s="3" t="str">
        <f t="shared" si="197"/>
        <v>Furniture</v>
      </c>
      <c r="T790" t="s">
        <v>75</v>
      </c>
      <c r="U790" t="s">
        <v>3636</v>
      </c>
      <c r="V790" t="s">
        <v>66</v>
      </c>
      <c r="W790" s="3" t="str">
        <f t="shared" si="198"/>
        <v>Standard Class</v>
      </c>
      <c r="X790">
        <v>8</v>
      </c>
      <c r="Y790">
        <v>2487.64</v>
      </c>
      <c r="Z790">
        <v>0.1</v>
      </c>
      <c r="AA790">
        <f t="shared" si="202"/>
        <v>0.1</v>
      </c>
      <c r="AB790">
        <f t="shared" si="203"/>
        <v>17911.007999999998</v>
      </c>
      <c r="AC790">
        <v>17911.009999999998</v>
      </c>
      <c r="AD790">
        <v>11546.05</v>
      </c>
      <c r="AE790">
        <v>6364.96</v>
      </c>
      <c r="AF790" t="s">
        <v>199</v>
      </c>
      <c r="AG790" t="s">
        <v>124</v>
      </c>
      <c r="AH790" t="str">
        <f t="shared" si="199"/>
        <v>Returned</v>
      </c>
      <c r="AI790" t="str">
        <f t="shared" si="200"/>
        <v>Valid</v>
      </c>
      <c r="AJ790">
        <f t="shared" si="201"/>
        <v>6364.9599999999991</v>
      </c>
      <c r="AK790" s="12">
        <f t="shared" si="204"/>
        <v>0.35536581749056223</v>
      </c>
      <c r="AL790">
        <f t="shared" si="205"/>
        <v>8</v>
      </c>
      <c r="AM790">
        <f t="shared" si="206"/>
        <v>2024</v>
      </c>
      <c r="AN790" t="str">
        <f t="shared" si="207"/>
        <v>Clean</v>
      </c>
    </row>
    <row r="791" spans="1:40">
      <c r="A791" t="s">
        <v>3637</v>
      </c>
      <c r="B791" s="3" t="s">
        <v>3638</v>
      </c>
      <c r="C791" s="10">
        <v>45723</v>
      </c>
      <c r="D791" s="3" t="s">
        <v>2323</v>
      </c>
      <c r="E791" s="10">
        <v>45724</v>
      </c>
      <c r="F791" s="6" t="str">
        <f t="shared" si="192"/>
        <v>Valid</v>
      </c>
      <c r="G791" s="8">
        <f t="shared" si="193"/>
        <v>1</v>
      </c>
      <c r="H791" s="8" t="str">
        <f t="shared" si="194"/>
        <v>Valid</v>
      </c>
      <c r="I791" t="s">
        <v>3639</v>
      </c>
      <c r="J791" t="s">
        <v>141</v>
      </c>
      <c r="K791" t="s">
        <v>141</v>
      </c>
      <c r="L791" t="s">
        <v>114</v>
      </c>
      <c r="M791" s="3" t="str">
        <f t="shared" si="195"/>
        <v>Home Office</v>
      </c>
      <c r="O791" s="3" t="str">
        <f t="shared" si="196"/>
        <v>Unknown</v>
      </c>
      <c r="P791" t="s">
        <v>27</v>
      </c>
      <c r="Q791" t="s">
        <v>134</v>
      </c>
      <c r="R791" t="s">
        <v>85</v>
      </c>
      <c r="S791" s="3" t="str">
        <f t="shared" si="197"/>
        <v>Technology</v>
      </c>
      <c r="T791" t="s">
        <v>93</v>
      </c>
      <c r="U791" t="s">
        <v>3640</v>
      </c>
      <c r="V791" t="s">
        <v>47</v>
      </c>
      <c r="W791" s="3" t="str">
        <f t="shared" si="198"/>
        <v>Same Day</v>
      </c>
      <c r="X791">
        <v>4</v>
      </c>
      <c r="Y791">
        <v>3537.48</v>
      </c>
      <c r="Z791">
        <v>0</v>
      </c>
      <c r="AA791">
        <f t="shared" si="202"/>
        <v>0</v>
      </c>
      <c r="AB791">
        <f t="shared" si="203"/>
        <v>14149.92</v>
      </c>
      <c r="AC791">
        <v>14149.92</v>
      </c>
      <c r="AD791">
        <v>9466.51</v>
      </c>
      <c r="AE791">
        <v>4683.41</v>
      </c>
      <c r="AF791" t="s">
        <v>33</v>
      </c>
      <c r="AG791" t="s">
        <v>34</v>
      </c>
      <c r="AH791" t="str">
        <f t="shared" si="199"/>
        <v>Completed</v>
      </c>
      <c r="AI791" t="str">
        <f t="shared" si="200"/>
        <v>Valid</v>
      </c>
      <c r="AJ791">
        <f t="shared" si="201"/>
        <v>4683.41</v>
      </c>
      <c r="AK791" s="12">
        <f t="shared" si="204"/>
        <v>0.33098491016203624</v>
      </c>
      <c r="AL791">
        <f t="shared" si="205"/>
        <v>3</v>
      </c>
      <c r="AM791">
        <f t="shared" si="206"/>
        <v>2025</v>
      </c>
      <c r="AN791" t="str">
        <f t="shared" si="207"/>
        <v>Clean</v>
      </c>
    </row>
    <row r="792" spans="1:40">
      <c r="A792" t="s">
        <v>3641</v>
      </c>
      <c r="B792" s="3" t="s">
        <v>3642</v>
      </c>
      <c r="C792" s="10">
        <v>45443</v>
      </c>
      <c r="D792" s="3" t="s">
        <v>3643</v>
      </c>
      <c r="E792" s="10">
        <v>45445</v>
      </c>
      <c r="F792" s="6" t="str">
        <f t="shared" si="192"/>
        <v>Valid</v>
      </c>
      <c r="G792" s="8">
        <f t="shared" si="193"/>
        <v>2</v>
      </c>
      <c r="H792" s="8" t="str">
        <f t="shared" si="194"/>
        <v>Valid</v>
      </c>
      <c r="I792" t="s">
        <v>3644</v>
      </c>
      <c r="J792" t="s">
        <v>147</v>
      </c>
      <c r="K792" t="s">
        <v>147</v>
      </c>
      <c r="L792" t="s">
        <v>107</v>
      </c>
      <c r="M792" s="3" t="str">
        <f t="shared" si="195"/>
        <v>Corporate</v>
      </c>
      <c r="N792" t="s">
        <v>61</v>
      </c>
      <c r="O792" s="3" t="str">
        <f t="shared" si="196"/>
        <v>South</v>
      </c>
      <c r="P792" t="s">
        <v>99</v>
      </c>
      <c r="Q792" t="s">
        <v>100</v>
      </c>
      <c r="R792" t="s">
        <v>29</v>
      </c>
      <c r="S792" s="3" t="str">
        <f t="shared" si="197"/>
        <v>Office Supplies</v>
      </c>
      <c r="T792" t="s">
        <v>53</v>
      </c>
      <c r="U792" t="s">
        <v>3645</v>
      </c>
      <c r="V792" t="s">
        <v>66</v>
      </c>
      <c r="W792" s="3" t="str">
        <f t="shared" si="198"/>
        <v>Standard Class</v>
      </c>
      <c r="X792">
        <v>8</v>
      </c>
      <c r="Y792">
        <v>667.59</v>
      </c>
      <c r="Z792">
        <v>0.2</v>
      </c>
      <c r="AA792">
        <f t="shared" si="202"/>
        <v>0.2</v>
      </c>
      <c r="AB792">
        <f t="shared" si="203"/>
        <v>4272.576</v>
      </c>
      <c r="AC792">
        <v>4272.58</v>
      </c>
      <c r="AD792">
        <v>3328.92</v>
      </c>
      <c r="AE792">
        <v>943.66</v>
      </c>
      <c r="AF792" t="s">
        <v>33</v>
      </c>
      <c r="AG792" t="s">
        <v>34</v>
      </c>
      <c r="AH792" t="str">
        <f t="shared" si="199"/>
        <v>Completed</v>
      </c>
      <c r="AI792" t="str">
        <f t="shared" si="200"/>
        <v>Valid</v>
      </c>
      <c r="AJ792">
        <f t="shared" si="201"/>
        <v>943.65999999999985</v>
      </c>
      <c r="AK792" s="12">
        <f t="shared" si="204"/>
        <v>0.22086441528483047</v>
      </c>
      <c r="AL792">
        <f t="shared" si="205"/>
        <v>5</v>
      </c>
      <c r="AM792">
        <f t="shared" si="206"/>
        <v>2024</v>
      </c>
      <c r="AN792" t="str">
        <f t="shared" si="207"/>
        <v>Clean</v>
      </c>
    </row>
    <row r="793" spans="1:40">
      <c r="A793" t="s">
        <v>3646</v>
      </c>
      <c r="B793" s="3" t="s">
        <v>3012</v>
      </c>
      <c r="C793" s="10">
        <v>45567</v>
      </c>
      <c r="D793" s="3" t="s">
        <v>3647</v>
      </c>
      <c r="E793" s="10">
        <v>45571</v>
      </c>
      <c r="F793" s="6" t="str">
        <f t="shared" si="192"/>
        <v>Valid</v>
      </c>
      <c r="G793" s="8">
        <f t="shared" si="193"/>
        <v>4</v>
      </c>
      <c r="H793" s="8" t="str">
        <f t="shared" si="194"/>
        <v>Valid</v>
      </c>
      <c r="I793" t="s">
        <v>3648</v>
      </c>
      <c r="J793" t="s">
        <v>147</v>
      </c>
      <c r="K793" t="s">
        <v>147</v>
      </c>
      <c r="L793" t="s">
        <v>114</v>
      </c>
      <c r="M793" s="3" t="str">
        <f t="shared" si="195"/>
        <v>Home Office</v>
      </c>
      <c r="N793" t="s">
        <v>61</v>
      </c>
      <c r="O793" s="3" t="str">
        <f t="shared" si="196"/>
        <v>South</v>
      </c>
      <c r="P793" t="s">
        <v>228</v>
      </c>
      <c r="Q793" t="s">
        <v>229</v>
      </c>
      <c r="R793" t="s">
        <v>44</v>
      </c>
      <c r="S793" s="3" t="str">
        <f t="shared" si="197"/>
        <v>Furniture</v>
      </c>
      <c r="T793" t="s">
        <v>203</v>
      </c>
      <c r="U793" t="s">
        <v>3649</v>
      </c>
      <c r="V793" t="s">
        <v>47</v>
      </c>
      <c r="W793" s="3" t="str">
        <f t="shared" si="198"/>
        <v>Same Day</v>
      </c>
      <c r="X793">
        <v>8</v>
      </c>
      <c r="Y793">
        <v>1558.77</v>
      </c>
      <c r="Z793">
        <v>0.25</v>
      </c>
      <c r="AA793">
        <f t="shared" si="202"/>
        <v>0.25</v>
      </c>
      <c r="AB793">
        <f t="shared" si="203"/>
        <v>9352.619999999999</v>
      </c>
      <c r="AC793">
        <v>9352.6200000000008</v>
      </c>
      <c r="AD793">
        <v>5269.41</v>
      </c>
      <c r="AE793">
        <v>4083.21</v>
      </c>
      <c r="AF793" t="s">
        <v>33</v>
      </c>
      <c r="AG793" t="s">
        <v>34</v>
      </c>
      <c r="AH793" t="str">
        <f t="shared" si="199"/>
        <v>Completed</v>
      </c>
      <c r="AI793" t="str">
        <f t="shared" si="200"/>
        <v>Valid</v>
      </c>
      <c r="AJ793">
        <f t="shared" si="201"/>
        <v>4083.2100000000009</v>
      </c>
      <c r="AK793" s="12">
        <f t="shared" si="204"/>
        <v>0.43658461479243266</v>
      </c>
      <c r="AL793">
        <f t="shared" si="205"/>
        <v>10</v>
      </c>
      <c r="AM793">
        <f t="shared" si="206"/>
        <v>2024</v>
      </c>
      <c r="AN793" t="str">
        <f t="shared" si="207"/>
        <v>Clean</v>
      </c>
    </row>
    <row r="794" spans="1:40">
      <c r="A794" t="s">
        <v>3650</v>
      </c>
      <c r="B794" s="3" t="s">
        <v>1229</v>
      </c>
      <c r="C794" s="10">
        <v>45812</v>
      </c>
      <c r="D794" s="3" t="s">
        <v>3651</v>
      </c>
      <c r="E794" s="10">
        <v>45816</v>
      </c>
      <c r="F794" s="6" t="str">
        <f t="shared" si="192"/>
        <v>Valid</v>
      </c>
      <c r="G794" s="8">
        <f t="shared" si="193"/>
        <v>4</v>
      </c>
      <c r="H794" s="8" t="str">
        <f t="shared" si="194"/>
        <v>Valid</v>
      </c>
      <c r="I794" t="s">
        <v>3652</v>
      </c>
      <c r="J794" t="s">
        <v>60</v>
      </c>
      <c r="K794" t="s">
        <v>60</v>
      </c>
      <c r="L794" t="s">
        <v>40</v>
      </c>
      <c r="M794" s="3" t="str">
        <f t="shared" si="195"/>
        <v>Small Business</v>
      </c>
      <c r="N794" t="s">
        <v>41</v>
      </c>
      <c r="O794" s="3" t="str">
        <f t="shared" si="196"/>
        <v>East</v>
      </c>
      <c r="P794" t="s">
        <v>215</v>
      </c>
      <c r="Q794" t="s">
        <v>216</v>
      </c>
      <c r="R794" t="s">
        <v>44</v>
      </c>
      <c r="S794" s="3" t="str">
        <f t="shared" si="197"/>
        <v>Furniture</v>
      </c>
      <c r="T794" t="s">
        <v>64</v>
      </c>
      <c r="U794" t="s">
        <v>3653</v>
      </c>
      <c r="V794" t="s">
        <v>32</v>
      </c>
      <c r="W794" s="3" t="str">
        <f t="shared" si="198"/>
        <v>Second Class</v>
      </c>
      <c r="X794">
        <v>1</v>
      </c>
      <c r="Y794">
        <v>3501.12</v>
      </c>
      <c r="Z794">
        <v>0.2</v>
      </c>
      <c r="AA794">
        <f t="shared" si="202"/>
        <v>0.2</v>
      </c>
      <c r="AB794">
        <f t="shared" si="203"/>
        <v>2800.8960000000002</v>
      </c>
      <c r="AC794">
        <v>2800.9</v>
      </c>
      <c r="AD794">
        <v>1735.98</v>
      </c>
      <c r="AE794">
        <v>1064.92</v>
      </c>
      <c r="AF794" t="s">
        <v>33</v>
      </c>
      <c r="AG794" t="s">
        <v>124</v>
      </c>
      <c r="AH794" t="str">
        <f t="shared" si="199"/>
        <v>Returned</v>
      </c>
      <c r="AI794" t="str">
        <f t="shared" si="200"/>
        <v>Valid</v>
      </c>
      <c r="AJ794">
        <f t="shared" si="201"/>
        <v>1064.92</v>
      </c>
      <c r="AK794" s="12">
        <f t="shared" si="204"/>
        <v>0.38020690521890138</v>
      </c>
      <c r="AL794">
        <f t="shared" si="205"/>
        <v>6</v>
      </c>
      <c r="AM794">
        <f t="shared" si="206"/>
        <v>2025</v>
      </c>
      <c r="AN794" t="str">
        <f t="shared" si="207"/>
        <v>Clean</v>
      </c>
    </row>
    <row r="795" spans="1:40">
      <c r="A795" t="s">
        <v>3654</v>
      </c>
      <c r="B795" s="3" t="s">
        <v>80</v>
      </c>
      <c r="C795" s="10">
        <v>45440</v>
      </c>
      <c r="D795" s="3" t="s">
        <v>3655</v>
      </c>
      <c r="E795" s="10">
        <v>45446</v>
      </c>
      <c r="F795" s="6" t="str">
        <f t="shared" si="192"/>
        <v>Valid</v>
      </c>
      <c r="G795" s="8">
        <f t="shared" si="193"/>
        <v>6</v>
      </c>
      <c r="H795" s="8" t="str">
        <f t="shared" si="194"/>
        <v>Valid</v>
      </c>
      <c r="I795" t="s">
        <v>3656</v>
      </c>
      <c r="J795" t="s">
        <v>82</v>
      </c>
      <c r="K795" t="s">
        <v>82</v>
      </c>
      <c r="L795" t="s">
        <v>107</v>
      </c>
      <c r="M795" s="3" t="str">
        <f t="shared" si="195"/>
        <v>Corporate</v>
      </c>
      <c r="N795" t="s">
        <v>26</v>
      </c>
      <c r="O795" s="3" t="str">
        <f t="shared" si="196"/>
        <v>North</v>
      </c>
      <c r="P795" t="s">
        <v>27</v>
      </c>
      <c r="Q795" t="s">
        <v>28</v>
      </c>
      <c r="R795" t="s">
        <v>85</v>
      </c>
      <c r="S795" s="3" t="str">
        <f t="shared" si="197"/>
        <v>Technology</v>
      </c>
      <c r="T795" t="s">
        <v>93</v>
      </c>
      <c r="U795" t="s">
        <v>3657</v>
      </c>
      <c r="V795" t="s">
        <v>32</v>
      </c>
      <c r="W795" s="3" t="str">
        <f t="shared" si="198"/>
        <v>Second Class</v>
      </c>
      <c r="X795">
        <v>5</v>
      </c>
      <c r="Y795">
        <v>4302.32</v>
      </c>
      <c r="Z795">
        <v>0</v>
      </c>
      <c r="AA795">
        <f t="shared" si="202"/>
        <v>0</v>
      </c>
      <c r="AB795">
        <f t="shared" si="203"/>
        <v>21511.599999999999</v>
      </c>
      <c r="AC795">
        <v>21511.599999999999</v>
      </c>
      <c r="AD795">
        <v>15408.47</v>
      </c>
      <c r="AE795">
        <v>6103.13</v>
      </c>
      <c r="AF795" t="s">
        <v>33</v>
      </c>
      <c r="AG795" t="s">
        <v>34</v>
      </c>
      <c r="AH795" t="str">
        <f t="shared" si="199"/>
        <v>Completed</v>
      </c>
      <c r="AI795" t="str">
        <f t="shared" si="200"/>
        <v>Valid</v>
      </c>
      <c r="AJ795">
        <f t="shared" si="201"/>
        <v>6103.1299999999992</v>
      </c>
      <c r="AK795" s="12">
        <f t="shared" si="204"/>
        <v>0.28371343833094703</v>
      </c>
      <c r="AL795">
        <f t="shared" si="205"/>
        <v>5</v>
      </c>
      <c r="AM795">
        <f t="shared" si="206"/>
        <v>2024</v>
      </c>
      <c r="AN795" t="str">
        <f t="shared" si="207"/>
        <v>Clean</v>
      </c>
    </row>
    <row r="796" spans="1:40">
      <c r="A796" t="s">
        <v>3658</v>
      </c>
      <c r="B796" s="3" t="s">
        <v>3659</v>
      </c>
      <c r="C796" s="10">
        <v>45830</v>
      </c>
      <c r="D796" s="3" t="s">
        <v>995</v>
      </c>
      <c r="E796" s="10">
        <v>45832</v>
      </c>
      <c r="F796" s="6" t="str">
        <f t="shared" si="192"/>
        <v>Valid</v>
      </c>
      <c r="G796" s="8">
        <f t="shared" si="193"/>
        <v>2</v>
      </c>
      <c r="H796" s="8" t="str">
        <f t="shared" si="194"/>
        <v>Valid</v>
      </c>
      <c r="I796" t="s">
        <v>3660</v>
      </c>
      <c r="J796" t="s">
        <v>167</v>
      </c>
      <c r="K796" t="s">
        <v>167</v>
      </c>
      <c r="L796" t="s">
        <v>107</v>
      </c>
      <c r="M796" s="3" t="str">
        <f t="shared" si="195"/>
        <v>Corporate</v>
      </c>
      <c r="N796" t="s">
        <v>41</v>
      </c>
      <c r="O796" s="3" t="str">
        <f t="shared" si="196"/>
        <v>East</v>
      </c>
      <c r="P796" t="s">
        <v>215</v>
      </c>
      <c r="Q796" t="s">
        <v>216</v>
      </c>
      <c r="R796" t="s">
        <v>29</v>
      </c>
      <c r="S796" s="3" t="str">
        <f t="shared" si="197"/>
        <v>Office Supplies</v>
      </c>
      <c r="T796" t="s">
        <v>30</v>
      </c>
      <c r="U796" t="s">
        <v>3661</v>
      </c>
      <c r="V796" t="s">
        <v>66</v>
      </c>
      <c r="W796" s="3" t="str">
        <f t="shared" si="198"/>
        <v>Standard Class</v>
      </c>
      <c r="X796">
        <v>9</v>
      </c>
      <c r="Y796">
        <v>951.55</v>
      </c>
      <c r="Z796">
        <v>0.15</v>
      </c>
      <c r="AA796">
        <f t="shared" si="202"/>
        <v>0.15</v>
      </c>
      <c r="AB796">
        <f t="shared" si="203"/>
        <v>7279.3574999999992</v>
      </c>
      <c r="AC796">
        <v>7279.36</v>
      </c>
      <c r="AD796">
        <v>4870.3900000000003</v>
      </c>
      <c r="AE796">
        <v>2408.9699999999998</v>
      </c>
      <c r="AF796" t="s">
        <v>33</v>
      </c>
      <c r="AG796" t="s">
        <v>34</v>
      </c>
      <c r="AH796" t="str">
        <f t="shared" si="199"/>
        <v>Completed</v>
      </c>
      <c r="AI796" t="str">
        <f t="shared" si="200"/>
        <v>Valid</v>
      </c>
      <c r="AJ796">
        <f t="shared" si="201"/>
        <v>2408.9699999999993</v>
      </c>
      <c r="AK796" s="12">
        <f t="shared" si="204"/>
        <v>0.33093167906645604</v>
      </c>
      <c r="AL796">
        <f t="shared" si="205"/>
        <v>6</v>
      </c>
      <c r="AM796">
        <f t="shared" si="206"/>
        <v>2025</v>
      </c>
      <c r="AN796" t="str">
        <f t="shared" si="207"/>
        <v>Clean</v>
      </c>
    </row>
    <row r="797" spans="1:40">
      <c r="A797" t="s">
        <v>3662</v>
      </c>
      <c r="B797" s="3" t="s">
        <v>3663</v>
      </c>
      <c r="C797" s="10">
        <v>45503</v>
      </c>
      <c r="D797" s="3" t="s">
        <v>528</v>
      </c>
      <c r="E797" s="10">
        <v>45503</v>
      </c>
      <c r="F797" s="6" t="str">
        <f t="shared" si="192"/>
        <v>Valid</v>
      </c>
      <c r="G797" s="8">
        <f t="shared" si="193"/>
        <v>0</v>
      </c>
      <c r="H797" s="8" t="str">
        <f t="shared" si="194"/>
        <v>Valid</v>
      </c>
      <c r="I797" t="s">
        <v>3664</v>
      </c>
      <c r="J797" t="s">
        <v>209</v>
      </c>
      <c r="K797" t="s">
        <v>209</v>
      </c>
      <c r="L797" t="s">
        <v>114</v>
      </c>
      <c r="M797" s="3" t="str">
        <f t="shared" si="195"/>
        <v>Home Office</v>
      </c>
      <c r="N797" t="s">
        <v>41</v>
      </c>
      <c r="O797" s="3" t="str">
        <f t="shared" si="196"/>
        <v>East</v>
      </c>
      <c r="P797" t="s">
        <v>42</v>
      </c>
      <c r="Q797" t="s">
        <v>43</v>
      </c>
      <c r="R797" t="s">
        <v>85</v>
      </c>
      <c r="S797" s="3" t="str">
        <f t="shared" si="197"/>
        <v>Technology</v>
      </c>
      <c r="T797" t="s">
        <v>93</v>
      </c>
      <c r="U797" t="s">
        <v>3665</v>
      </c>
      <c r="V797" t="s">
        <v>47</v>
      </c>
      <c r="W797" s="3" t="str">
        <f t="shared" si="198"/>
        <v>Same Day</v>
      </c>
      <c r="X797">
        <v>9</v>
      </c>
      <c r="Y797">
        <v>2894.66</v>
      </c>
      <c r="Z797">
        <v>0</v>
      </c>
      <c r="AA797">
        <f t="shared" si="202"/>
        <v>0</v>
      </c>
      <c r="AB797">
        <f t="shared" si="203"/>
        <v>26051.94</v>
      </c>
      <c r="AC797">
        <v>26051.94</v>
      </c>
      <c r="AD797">
        <v>16883.59</v>
      </c>
      <c r="AE797">
        <v>9168.35</v>
      </c>
      <c r="AF797" t="s">
        <v>123</v>
      </c>
      <c r="AG797" t="s">
        <v>77</v>
      </c>
      <c r="AH797" t="str">
        <f t="shared" si="199"/>
        <v>Cancelled</v>
      </c>
      <c r="AI797" t="str">
        <f t="shared" si="200"/>
        <v>Valid</v>
      </c>
      <c r="AJ797">
        <f t="shared" si="201"/>
        <v>9168.3499999999985</v>
      </c>
      <c r="AK797" s="12">
        <f t="shared" si="204"/>
        <v>0.3519258066769691</v>
      </c>
      <c r="AL797">
        <f t="shared" si="205"/>
        <v>7</v>
      </c>
      <c r="AM797">
        <f t="shared" si="206"/>
        <v>2024</v>
      </c>
      <c r="AN797" t="str">
        <f t="shared" si="207"/>
        <v>Clean</v>
      </c>
    </row>
    <row r="798" spans="1:40">
      <c r="A798" t="s">
        <v>3666</v>
      </c>
      <c r="B798" s="3" t="s">
        <v>795</v>
      </c>
      <c r="C798" s="10">
        <v>45374</v>
      </c>
      <c r="D798" s="3" t="s">
        <v>3667</v>
      </c>
      <c r="E798" s="10">
        <v>45381</v>
      </c>
      <c r="F798" s="6" t="str">
        <f t="shared" si="192"/>
        <v>Valid</v>
      </c>
      <c r="G798" s="8">
        <f t="shared" si="193"/>
        <v>7</v>
      </c>
      <c r="H798" s="8" t="str">
        <f t="shared" si="194"/>
        <v>Valid</v>
      </c>
      <c r="I798" t="s">
        <v>3668</v>
      </c>
      <c r="J798" t="s">
        <v>179</v>
      </c>
      <c r="K798" t="s">
        <v>179</v>
      </c>
      <c r="L798" t="s">
        <v>40</v>
      </c>
      <c r="M798" s="3" t="str">
        <f t="shared" si="195"/>
        <v>Small Business</v>
      </c>
      <c r="N798" t="s">
        <v>61</v>
      </c>
      <c r="O798" s="3" t="str">
        <f t="shared" si="196"/>
        <v>South</v>
      </c>
      <c r="P798" t="s">
        <v>99</v>
      </c>
      <c r="Q798" t="s">
        <v>100</v>
      </c>
      <c r="R798" t="s">
        <v>85</v>
      </c>
      <c r="S798" s="3" t="str">
        <f t="shared" si="197"/>
        <v>Technology</v>
      </c>
      <c r="T798" t="s">
        <v>381</v>
      </c>
      <c r="U798" t="s">
        <v>3669</v>
      </c>
      <c r="V798" t="s">
        <v>55</v>
      </c>
      <c r="W798" s="3" t="str">
        <f t="shared" si="198"/>
        <v>First Class</v>
      </c>
      <c r="X798">
        <v>6</v>
      </c>
      <c r="Y798">
        <v>1894.44</v>
      </c>
      <c r="Z798">
        <v>0.15</v>
      </c>
      <c r="AA798">
        <f t="shared" si="202"/>
        <v>0.15</v>
      </c>
      <c r="AB798">
        <f t="shared" si="203"/>
        <v>9661.6439999999984</v>
      </c>
      <c r="AC798">
        <v>9661.64</v>
      </c>
      <c r="AD798">
        <v>6303.77</v>
      </c>
      <c r="AE798">
        <v>3357.87</v>
      </c>
      <c r="AF798" t="s">
        <v>33</v>
      </c>
      <c r="AG798" t="s">
        <v>34</v>
      </c>
      <c r="AH798" t="str">
        <f t="shared" si="199"/>
        <v>Completed</v>
      </c>
      <c r="AI798" t="str">
        <f t="shared" si="200"/>
        <v>Valid</v>
      </c>
      <c r="AJ798">
        <f t="shared" si="201"/>
        <v>3357.869999999999</v>
      </c>
      <c r="AK798" s="12">
        <f t="shared" si="204"/>
        <v>0.34754644240669597</v>
      </c>
      <c r="AL798">
        <f t="shared" si="205"/>
        <v>3</v>
      </c>
      <c r="AM798">
        <f t="shared" si="206"/>
        <v>2024</v>
      </c>
      <c r="AN798" t="str">
        <f t="shared" si="207"/>
        <v>Clean</v>
      </c>
    </row>
    <row r="799" spans="1:40">
      <c r="A799" t="s">
        <v>3670</v>
      </c>
      <c r="B799" s="3" t="s">
        <v>3671</v>
      </c>
      <c r="C799" s="10">
        <v>45400</v>
      </c>
      <c r="D799" s="3" t="s">
        <v>3582</v>
      </c>
      <c r="E799" s="10">
        <v>45404</v>
      </c>
      <c r="F799" s="6" t="str">
        <f t="shared" si="192"/>
        <v>Valid</v>
      </c>
      <c r="G799" s="8">
        <f t="shared" si="193"/>
        <v>4</v>
      </c>
      <c r="H799" s="8" t="str">
        <f t="shared" si="194"/>
        <v>Valid</v>
      </c>
      <c r="I799" t="s">
        <v>3672</v>
      </c>
      <c r="J799" t="s">
        <v>161</v>
      </c>
      <c r="K799" t="s">
        <v>161</v>
      </c>
      <c r="L799" t="s">
        <v>25</v>
      </c>
      <c r="M799" s="3" t="str">
        <f t="shared" si="195"/>
        <v>Consumer</v>
      </c>
      <c r="N799" t="s">
        <v>41</v>
      </c>
      <c r="O799" s="3" t="str">
        <f t="shared" si="196"/>
        <v>East</v>
      </c>
      <c r="P799" t="s">
        <v>42</v>
      </c>
      <c r="Q799" t="s">
        <v>43</v>
      </c>
      <c r="R799" t="s">
        <v>29</v>
      </c>
      <c r="S799" s="3" t="str">
        <f t="shared" si="197"/>
        <v>Office Supplies</v>
      </c>
      <c r="T799" t="s">
        <v>197</v>
      </c>
      <c r="U799" t="s">
        <v>3673</v>
      </c>
      <c r="V799" t="s">
        <v>55</v>
      </c>
      <c r="W799" s="3" t="str">
        <f t="shared" si="198"/>
        <v>First Class</v>
      </c>
      <c r="X799">
        <v>8</v>
      </c>
      <c r="Y799">
        <v>1714.37</v>
      </c>
      <c r="Z799">
        <v>0</v>
      </c>
      <c r="AA799">
        <f t="shared" si="202"/>
        <v>0</v>
      </c>
      <c r="AB799">
        <f t="shared" si="203"/>
        <v>13714.96</v>
      </c>
      <c r="AC799">
        <v>13714.96</v>
      </c>
      <c r="AD799">
        <v>10550.47</v>
      </c>
      <c r="AE799">
        <v>3164.49</v>
      </c>
      <c r="AF799" t="s">
        <v>199</v>
      </c>
      <c r="AG799" t="s">
        <v>77</v>
      </c>
      <c r="AH799" t="str">
        <f t="shared" si="199"/>
        <v>Cancelled</v>
      </c>
      <c r="AI799" t="str">
        <f t="shared" si="200"/>
        <v>Valid</v>
      </c>
      <c r="AJ799">
        <f t="shared" si="201"/>
        <v>3164.49</v>
      </c>
      <c r="AK799" s="12">
        <f t="shared" si="204"/>
        <v>0.23073271814135804</v>
      </c>
      <c r="AL799">
        <f t="shared" si="205"/>
        <v>4</v>
      </c>
      <c r="AM799">
        <f t="shared" si="206"/>
        <v>2024</v>
      </c>
      <c r="AN799" t="str">
        <f t="shared" si="207"/>
        <v>Clean</v>
      </c>
    </row>
    <row r="800" spans="1:40">
      <c r="A800" t="s">
        <v>3674</v>
      </c>
      <c r="B800" s="3" t="s">
        <v>3675</v>
      </c>
      <c r="C800" s="10">
        <v>45849</v>
      </c>
      <c r="D800" s="3" t="s">
        <v>3676</v>
      </c>
      <c r="E800" s="10">
        <v>45847</v>
      </c>
      <c r="F800" s="6" t="str">
        <f t="shared" si="192"/>
        <v>Invalid Shipping Record</v>
      </c>
      <c r="G800" s="8">
        <f t="shared" si="193"/>
        <v>-2</v>
      </c>
      <c r="H800" s="8" t="str">
        <f t="shared" si="194"/>
        <v>Invalid Shipping Record</v>
      </c>
      <c r="I800" t="s">
        <v>3677</v>
      </c>
      <c r="J800" t="s">
        <v>106</v>
      </c>
      <c r="K800" t="s">
        <v>106</v>
      </c>
      <c r="L800" t="s">
        <v>107</v>
      </c>
      <c r="M800" s="3" t="str">
        <f t="shared" si="195"/>
        <v>Corporate</v>
      </c>
      <c r="N800" t="s">
        <v>26</v>
      </c>
      <c r="O800" s="3" t="str">
        <f t="shared" si="196"/>
        <v>North</v>
      </c>
      <c r="P800" t="s">
        <v>505</v>
      </c>
      <c r="Q800" t="s">
        <v>506</v>
      </c>
      <c r="R800" t="s">
        <v>44</v>
      </c>
      <c r="S800" s="3" t="str">
        <f t="shared" si="197"/>
        <v>Furniture</v>
      </c>
      <c r="T800" t="s">
        <v>64</v>
      </c>
      <c r="U800" t="s">
        <v>3678</v>
      </c>
      <c r="V800" t="s">
        <v>66</v>
      </c>
      <c r="W800" s="3" t="str">
        <f t="shared" si="198"/>
        <v>Standard Class</v>
      </c>
      <c r="X800">
        <v>9</v>
      </c>
      <c r="Y800">
        <v>1706.05</v>
      </c>
      <c r="Z800">
        <v>0</v>
      </c>
      <c r="AA800">
        <f t="shared" si="202"/>
        <v>0</v>
      </c>
      <c r="AB800">
        <f t="shared" si="203"/>
        <v>15354.449999999999</v>
      </c>
      <c r="AC800">
        <v>15354.45</v>
      </c>
      <c r="AD800">
        <v>9656.5</v>
      </c>
      <c r="AE800">
        <v>5697.95</v>
      </c>
      <c r="AF800" t="s">
        <v>33</v>
      </c>
      <c r="AG800" t="s">
        <v>34</v>
      </c>
      <c r="AH800" t="str">
        <f t="shared" si="199"/>
        <v>Completed</v>
      </c>
      <c r="AI800" t="str">
        <f t="shared" si="200"/>
        <v>Valid</v>
      </c>
      <c r="AJ800">
        <f t="shared" si="201"/>
        <v>5697.9500000000007</v>
      </c>
      <c r="AK800" s="12">
        <f t="shared" si="204"/>
        <v>0.37109437329243322</v>
      </c>
      <c r="AL800">
        <f t="shared" si="205"/>
        <v>7</v>
      </c>
      <c r="AM800">
        <f t="shared" si="206"/>
        <v>2025</v>
      </c>
      <c r="AN800" t="str">
        <f t="shared" si="207"/>
        <v>Invalid</v>
      </c>
    </row>
    <row r="801" spans="1:40">
      <c r="A801" t="s">
        <v>3679</v>
      </c>
      <c r="B801" s="3" t="s">
        <v>3365</v>
      </c>
      <c r="C801" s="10">
        <v>45575</v>
      </c>
      <c r="D801" s="3" t="s">
        <v>2542</v>
      </c>
      <c r="E801" s="10">
        <v>45582</v>
      </c>
      <c r="F801" s="6" t="str">
        <f t="shared" si="192"/>
        <v>Valid</v>
      </c>
      <c r="G801" s="8">
        <f t="shared" si="193"/>
        <v>7</v>
      </c>
      <c r="H801" s="8" t="str">
        <f t="shared" si="194"/>
        <v>Valid</v>
      </c>
      <c r="I801" t="s">
        <v>3680</v>
      </c>
      <c r="J801" t="s">
        <v>52</v>
      </c>
      <c r="K801" t="s">
        <v>52</v>
      </c>
      <c r="L801" t="s">
        <v>114</v>
      </c>
      <c r="M801" s="3" t="str">
        <f t="shared" si="195"/>
        <v>Home Office</v>
      </c>
      <c r="N801" t="s">
        <v>26</v>
      </c>
      <c r="O801" s="3" t="str">
        <f t="shared" si="196"/>
        <v>North</v>
      </c>
      <c r="P801" t="s">
        <v>322</v>
      </c>
      <c r="Q801" t="s">
        <v>323</v>
      </c>
      <c r="R801" t="s">
        <v>85</v>
      </c>
      <c r="S801" s="3" t="str">
        <f t="shared" si="197"/>
        <v>Technology</v>
      </c>
      <c r="T801" t="s">
        <v>86</v>
      </c>
      <c r="U801" t="s">
        <v>3681</v>
      </c>
      <c r="W801" s="3" t="str">
        <f t="shared" si="198"/>
        <v>Unknown</v>
      </c>
      <c r="X801">
        <v>5</v>
      </c>
      <c r="Y801">
        <v>967.41</v>
      </c>
      <c r="Z801">
        <v>0.05</v>
      </c>
      <c r="AA801">
        <f t="shared" si="202"/>
        <v>0.05</v>
      </c>
      <c r="AB801">
        <f t="shared" si="203"/>
        <v>4595.1975000000002</v>
      </c>
      <c r="AC801">
        <v>4595.2</v>
      </c>
      <c r="AD801">
        <v>3887.41</v>
      </c>
      <c r="AE801">
        <v>707.79</v>
      </c>
      <c r="AF801" t="s">
        <v>33</v>
      </c>
      <c r="AG801" t="s">
        <v>124</v>
      </c>
      <c r="AH801" t="str">
        <f t="shared" si="199"/>
        <v>Returned</v>
      </c>
      <c r="AI801" t="str">
        <f t="shared" si="200"/>
        <v>Valid</v>
      </c>
      <c r="AJ801">
        <f t="shared" si="201"/>
        <v>707.79</v>
      </c>
      <c r="AK801" s="12">
        <f t="shared" si="204"/>
        <v>0.15402820009368476</v>
      </c>
      <c r="AL801">
        <f t="shared" si="205"/>
        <v>10</v>
      </c>
      <c r="AM801">
        <f t="shared" si="206"/>
        <v>2024</v>
      </c>
      <c r="AN801" t="str">
        <f t="shared" si="207"/>
        <v>Clean</v>
      </c>
    </row>
    <row r="802" spans="1:40">
      <c r="A802" t="s">
        <v>3682</v>
      </c>
      <c r="B802" s="3" t="s">
        <v>3683</v>
      </c>
      <c r="C802" s="10">
        <v>45352</v>
      </c>
      <c r="D802" s="3" t="s">
        <v>3684</v>
      </c>
      <c r="E802" s="10">
        <v>45358</v>
      </c>
      <c r="F802" s="6" t="str">
        <f t="shared" si="192"/>
        <v>Valid</v>
      </c>
      <c r="G802" s="8">
        <f t="shared" si="193"/>
        <v>6</v>
      </c>
      <c r="H802" s="8" t="str">
        <f t="shared" si="194"/>
        <v>Valid</v>
      </c>
      <c r="I802" t="s">
        <v>3685</v>
      </c>
      <c r="J802" t="s">
        <v>82</v>
      </c>
      <c r="K802" t="s">
        <v>82</v>
      </c>
      <c r="L802" t="s">
        <v>40</v>
      </c>
      <c r="M802" s="3" t="str">
        <f t="shared" si="195"/>
        <v>Small Business</v>
      </c>
      <c r="N802" t="s">
        <v>72</v>
      </c>
      <c r="O802" s="3" t="str">
        <f t="shared" si="196"/>
        <v>West</v>
      </c>
      <c r="P802" t="s">
        <v>73</v>
      </c>
      <c r="Q802" t="s">
        <v>74</v>
      </c>
      <c r="R802" t="s">
        <v>29</v>
      </c>
      <c r="S802" s="3" t="str">
        <f t="shared" si="197"/>
        <v>Office Supplies</v>
      </c>
      <c r="T802" t="s">
        <v>155</v>
      </c>
      <c r="U802" t="s">
        <v>3686</v>
      </c>
      <c r="V802" t="s">
        <v>32</v>
      </c>
      <c r="W802" s="3" t="str">
        <f t="shared" si="198"/>
        <v>Second Class</v>
      </c>
      <c r="X802">
        <v>6</v>
      </c>
      <c r="Y802">
        <v>4163.72</v>
      </c>
      <c r="Z802">
        <v>0.15</v>
      </c>
      <c r="AA802">
        <f t="shared" si="202"/>
        <v>0.15</v>
      </c>
      <c r="AB802">
        <f t="shared" si="203"/>
        <v>21234.971999999998</v>
      </c>
      <c r="AC802">
        <v>21234.97</v>
      </c>
      <c r="AD802">
        <v>16736.09</v>
      </c>
      <c r="AE802">
        <v>4498.88</v>
      </c>
      <c r="AF802" t="s">
        <v>33</v>
      </c>
      <c r="AG802" t="s">
        <v>34</v>
      </c>
      <c r="AH802" t="str">
        <f t="shared" si="199"/>
        <v>Completed</v>
      </c>
      <c r="AI802" t="str">
        <f t="shared" si="200"/>
        <v>Valid</v>
      </c>
      <c r="AJ802">
        <f t="shared" si="201"/>
        <v>4498.880000000001</v>
      </c>
      <c r="AK802" s="12">
        <f t="shared" si="204"/>
        <v>0.21186182868524628</v>
      </c>
      <c r="AL802">
        <f t="shared" si="205"/>
        <v>3</v>
      </c>
      <c r="AM802">
        <f t="shared" si="206"/>
        <v>2024</v>
      </c>
      <c r="AN802" t="str">
        <f t="shared" si="207"/>
        <v>Clean</v>
      </c>
    </row>
    <row r="803" spans="1:40">
      <c r="A803" t="s">
        <v>3687</v>
      </c>
      <c r="B803" s="3" t="s">
        <v>3688</v>
      </c>
      <c r="C803" s="10">
        <v>45938</v>
      </c>
      <c r="D803" s="3" t="s">
        <v>308</v>
      </c>
      <c r="E803" s="10">
        <v>45945</v>
      </c>
      <c r="F803" s="6" t="str">
        <f t="shared" si="192"/>
        <v>Valid</v>
      </c>
      <c r="G803" s="8">
        <f t="shared" si="193"/>
        <v>7</v>
      </c>
      <c r="H803" s="8" t="str">
        <f t="shared" si="194"/>
        <v>Valid</v>
      </c>
      <c r="I803" t="s">
        <v>3689</v>
      </c>
      <c r="J803" t="s">
        <v>161</v>
      </c>
      <c r="K803" t="s">
        <v>161</v>
      </c>
      <c r="L803" t="s">
        <v>114</v>
      </c>
      <c r="M803" s="3" t="str">
        <f t="shared" si="195"/>
        <v>Home Office</v>
      </c>
      <c r="N803" t="s">
        <v>41</v>
      </c>
      <c r="O803" s="3" t="str">
        <f t="shared" si="196"/>
        <v>East</v>
      </c>
      <c r="P803" t="s">
        <v>42</v>
      </c>
      <c r="Q803" t="s">
        <v>43</v>
      </c>
      <c r="R803" t="s">
        <v>85</v>
      </c>
      <c r="S803" s="3" t="str">
        <f t="shared" si="197"/>
        <v>Technology</v>
      </c>
      <c r="T803" t="s">
        <v>86</v>
      </c>
      <c r="U803" t="s">
        <v>3690</v>
      </c>
      <c r="V803" t="s">
        <v>32</v>
      </c>
      <c r="W803" s="3" t="str">
        <f t="shared" si="198"/>
        <v>Second Class</v>
      </c>
      <c r="X803">
        <v>3</v>
      </c>
      <c r="Y803">
        <v>3372.21</v>
      </c>
      <c r="Z803">
        <v>0.2</v>
      </c>
      <c r="AA803">
        <f t="shared" si="202"/>
        <v>0.2</v>
      </c>
      <c r="AB803">
        <f t="shared" si="203"/>
        <v>8093.304000000001</v>
      </c>
      <c r="AC803">
        <v>8093.3</v>
      </c>
      <c r="AD803">
        <v>6052.43</v>
      </c>
      <c r="AE803">
        <v>2040.87</v>
      </c>
      <c r="AF803" t="s">
        <v>136</v>
      </c>
      <c r="AG803" t="s">
        <v>77</v>
      </c>
      <c r="AH803" t="str">
        <f t="shared" si="199"/>
        <v>Cancelled</v>
      </c>
      <c r="AI803" t="str">
        <f t="shared" si="200"/>
        <v>Valid</v>
      </c>
      <c r="AJ803">
        <f t="shared" si="201"/>
        <v>2040.87</v>
      </c>
      <c r="AK803" s="12">
        <f t="shared" si="204"/>
        <v>0.25216771790606157</v>
      </c>
      <c r="AL803">
        <f t="shared" si="205"/>
        <v>10</v>
      </c>
      <c r="AM803">
        <f t="shared" si="206"/>
        <v>2025</v>
      </c>
      <c r="AN803" t="str">
        <f t="shared" si="207"/>
        <v>Clean</v>
      </c>
    </row>
    <row r="804" spans="1:40">
      <c r="A804" t="s">
        <v>3691</v>
      </c>
      <c r="B804" s="3" t="s">
        <v>3171</v>
      </c>
      <c r="C804" s="10">
        <v>45704</v>
      </c>
      <c r="D804" s="3" t="s">
        <v>3692</v>
      </c>
      <c r="E804" s="10">
        <v>45704</v>
      </c>
      <c r="F804" s="6" t="str">
        <f t="shared" si="192"/>
        <v>Valid</v>
      </c>
      <c r="G804" s="8">
        <f t="shared" si="193"/>
        <v>0</v>
      </c>
      <c r="H804" s="8" t="str">
        <f t="shared" si="194"/>
        <v>Valid</v>
      </c>
      <c r="I804" t="s">
        <v>3693</v>
      </c>
      <c r="J804" t="s">
        <v>179</v>
      </c>
      <c r="K804" t="s">
        <v>179</v>
      </c>
      <c r="L804" t="s">
        <v>40</v>
      </c>
      <c r="M804" s="3" t="str">
        <f t="shared" si="195"/>
        <v>Small Business</v>
      </c>
      <c r="N804" t="s">
        <v>41</v>
      </c>
      <c r="O804" s="3" t="str">
        <f t="shared" si="196"/>
        <v>East</v>
      </c>
      <c r="P804" t="s">
        <v>215</v>
      </c>
      <c r="Q804" t="s">
        <v>216</v>
      </c>
      <c r="R804" t="s">
        <v>44</v>
      </c>
      <c r="S804" s="3" t="str">
        <f t="shared" si="197"/>
        <v>Furniture</v>
      </c>
      <c r="T804" t="s">
        <v>64</v>
      </c>
      <c r="U804" t="s">
        <v>3694</v>
      </c>
      <c r="V804" t="s">
        <v>32</v>
      </c>
      <c r="W804" s="3" t="str">
        <f t="shared" si="198"/>
        <v>Second Class</v>
      </c>
      <c r="X804">
        <v>6</v>
      </c>
      <c r="Y804">
        <v>1441.91</v>
      </c>
      <c r="Z804">
        <v>0</v>
      </c>
      <c r="AA804">
        <f t="shared" si="202"/>
        <v>0</v>
      </c>
      <c r="AB804">
        <f t="shared" si="203"/>
        <v>8651.4600000000009</v>
      </c>
      <c r="AC804">
        <v>8651.4599999999991</v>
      </c>
      <c r="AD804">
        <v>5254.62</v>
      </c>
      <c r="AE804">
        <v>3396.84</v>
      </c>
      <c r="AF804" t="s">
        <v>3695</v>
      </c>
      <c r="AG804" t="s">
        <v>124</v>
      </c>
      <c r="AH804" t="str">
        <f t="shared" si="199"/>
        <v>Returned</v>
      </c>
      <c r="AI804" t="str">
        <f t="shared" si="200"/>
        <v>Valid</v>
      </c>
      <c r="AJ804">
        <f t="shared" si="201"/>
        <v>3396.8399999999992</v>
      </c>
      <c r="AK804" s="12">
        <f t="shared" si="204"/>
        <v>0.392631995062105</v>
      </c>
      <c r="AL804">
        <f t="shared" si="205"/>
        <v>2</v>
      </c>
      <c r="AM804">
        <f t="shared" si="206"/>
        <v>2025</v>
      </c>
      <c r="AN804" t="str">
        <f t="shared" si="207"/>
        <v>Clean</v>
      </c>
    </row>
    <row r="805" spans="1:40">
      <c r="A805" t="s">
        <v>3696</v>
      </c>
      <c r="B805" s="3" t="s">
        <v>3697</v>
      </c>
      <c r="C805" s="10">
        <v>45635</v>
      </c>
      <c r="D805" s="3" t="s">
        <v>732</v>
      </c>
      <c r="E805" s="10">
        <v>45639</v>
      </c>
      <c r="F805" s="6" t="str">
        <f t="shared" si="192"/>
        <v>Valid</v>
      </c>
      <c r="G805" s="8">
        <f t="shared" si="193"/>
        <v>4</v>
      </c>
      <c r="H805" s="8" t="str">
        <f t="shared" si="194"/>
        <v>Valid</v>
      </c>
      <c r="I805" t="s">
        <v>3698</v>
      </c>
      <c r="J805" t="s">
        <v>179</v>
      </c>
      <c r="K805" t="s">
        <v>179</v>
      </c>
      <c r="L805" t="s">
        <v>25</v>
      </c>
      <c r="M805" s="3" t="str">
        <f t="shared" si="195"/>
        <v>Consumer</v>
      </c>
      <c r="O805" s="3" t="str">
        <f t="shared" si="196"/>
        <v>Unknown</v>
      </c>
      <c r="P805" t="s">
        <v>310</v>
      </c>
      <c r="Q805" t="s">
        <v>311</v>
      </c>
      <c r="R805" t="s">
        <v>29</v>
      </c>
      <c r="S805" s="3" t="str">
        <f t="shared" si="197"/>
        <v>Office Supplies</v>
      </c>
      <c r="T805" t="s">
        <v>108</v>
      </c>
      <c r="U805" t="s">
        <v>3699</v>
      </c>
      <c r="V805" t="s">
        <v>55</v>
      </c>
      <c r="W805" s="3" t="str">
        <f t="shared" si="198"/>
        <v>First Class</v>
      </c>
      <c r="X805">
        <v>1</v>
      </c>
      <c r="Y805">
        <v>4306.6499999999996</v>
      </c>
      <c r="Z805">
        <v>0</v>
      </c>
      <c r="AA805">
        <f t="shared" si="202"/>
        <v>0</v>
      </c>
      <c r="AB805">
        <f t="shared" si="203"/>
        <v>4306.6499999999996</v>
      </c>
      <c r="AC805">
        <v>4306.6499999999996</v>
      </c>
      <c r="AD805">
        <v>2568.8200000000002</v>
      </c>
      <c r="AE805">
        <v>1737.83</v>
      </c>
      <c r="AF805" t="s">
        <v>33</v>
      </c>
      <c r="AG805" t="s">
        <v>34</v>
      </c>
      <c r="AH805" t="str">
        <f t="shared" si="199"/>
        <v>Completed</v>
      </c>
      <c r="AI805" t="str">
        <f t="shared" si="200"/>
        <v>Valid</v>
      </c>
      <c r="AJ805">
        <f t="shared" si="201"/>
        <v>1737.8299999999995</v>
      </c>
      <c r="AK805" s="12">
        <f t="shared" si="204"/>
        <v>0.40352245945224235</v>
      </c>
      <c r="AL805">
        <f t="shared" si="205"/>
        <v>12</v>
      </c>
      <c r="AM805">
        <f t="shared" si="206"/>
        <v>2024</v>
      </c>
      <c r="AN805" t="str">
        <f t="shared" si="207"/>
        <v>Clean</v>
      </c>
    </row>
    <row r="806" spans="1:40">
      <c r="A806" t="s">
        <v>3700</v>
      </c>
      <c r="B806" s="3" t="s">
        <v>988</v>
      </c>
      <c r="C806" s="10">
        <v>45910</v>
      </c>
      <c r="D806" s="3" t="s">
        <v>2195</v>
      </c>
      <c r="E806" s="10">
        <v>45918</v>
      </c>
      <c r="F806" s="6" t="str">
        <f t="shared" si="192"/>
        <v>Valid</v>
      </c>
      <c r="G806" s="8">
        <f t="shared" si="193"/>
        <v>8</v>
      </c>
      <c r="H806" s="8" t="str">
        <f t="shared" si="194"/>
        <v>Valid</v>
      </c>
      <c r="I806" t="s">
        <v>3701</v>
      </c>
      <c r="J806" t="s">
        <v>147</v>
      </c>
      <c r="K806" t="s">
        <v>147</v>
      </c>
      <c r="L806" t="s">
        <v>114</v>
      </c>
      <c r="M806" s="3" t="str">
        <f t="shared" si="195"/>
        <v>Home Office</v>
      </c>
      <c r="N806" t="s">
        <v>61</v>
      </c>
      <c r="O806" s="3" t="str">
        <f t="shared" si="196"/>
        <v>South</v>
      </c>
      <c r="P806" t="s">
        <v>62</v>
      </c>
      <c r="Q806" t="s">
        <v>63</v>
      </c>
      <c r="R806" t="s">
        <v>44</v>
      </c>
      <c r="S806" s="3" t="str">
        <f t="shared" si="197"/>
        <v>Furniture</v>
      </c>
      <c r="T806" t="s">
        <v>64</v>
      </c>
      <c r="U806" t="s">
        <v>3702</v>
      </c>
      <c r="V806" t="s">
        <v>66</v>
      </c>
      <c r="W806" s="3" t="str">
        <f t="shared" si="198"/>
        <v>Standard Class</v>
      </c>
      <c r="X806">
        <v>1</v>
      </c>
      <c r="Y806">
        <v>2050.62</v>
      </c>
      <c r="Z806">
        <v>0.05</v>
      </c>
      <c r="AA806">
        <f t="shared" si="202"/>
        <v>0.05</v>
      </c>
      <c r="AB806">
        <f t="shared" si="203"/>
        <v>1948.0889999999997</v>
      </c>
      <c r="AC806">
        <v>1948.09</v>
      </c>
      <c r="AD806">
        <v>1507.08</v>
      </c>
      <c r="AE806">
        <v>441.01</v>
      </c>
      <c r="AF806" t="s">
        <v>33</v>
      </c>
      <c r="AG806" t="s">
        <v>34</v>
      </c>
      <c r="AH806" t="str">
        <f t="shared" si="199"/>
        <v>Completed</v>
      </c>
      <c r="AI806" t="str">
        <f t="shared" si="200"/>
        <v>Valid</v>
      </c>
      <c r="AJ806">
        <f t="shared" si="201"/>
        <v>441.01</v>
      </c>
      <c r="AK806" s="12">
        <f t="shared" si="204"/>
        <v>0.22638082756999298</v>
      </c>
      <c r="AL806">
        <f t="shared" si="205"/>
        <v>9</v>
      </c>
      <c r="AM806">
        <f t="shared" si="206"/>
        <v>2025</v>
      </c>
      <c r="AN806" t="str">
        <f t="shared" si="207"/>
        <v>Clean</v>
      </c>
    </row>
    <row r="807" spans="1:40">
      <c r="A807" t="s">
        <v>3703</v>
      </c>
      <c r="B807" s="3" t="s">
        <v>1315</v>
      </c>
      <c r="C807" s="10">
        <v>45753</v>
      </c>
      <c r="D807" s="3" t="s">
        <v>1062</v>
      </c>
      <c r="E807" s="10">
        <v>45754</v>
      </c>
      <c r="F807" s="6" t="str">
        <f t="shared" si="192"/>
        <v>Valid</v>
      </c>
      <c r="G807" s="8">
        <f t="shared" si="193"/>
        <v>1</v>
      </c>
      <c r="H807" s="8" t="str">
        <f t="shared" si="194"/>
        <v>Valid</v>
      </c>
      <c r="I807" t="s">
        <v>3519</v>
      </c>
      <c r="J807" t="s">
        <v>141</v>
      </c>
      <c r="K807" t="s">
        <v>141</v>
      </c>
      <c r="L807" t="s">
        <v>114</v>
      </c>
      <c r="M807" s="3" t="str">
        <f t="shared" si="195"/>
        <v>Home Office</v>
      </c>
      <c r="N807" t="s">
        <v>41</v>
      </c>
      <c r="O807" s="3" t="str">
        <f t="shared" si="196"/>
        <v>East</v>
      </c>
      <c r="P807" t="s">
        <v>215</v>
      </c>
      <c r="Q807" t="s">
        <v>216</v>
      </c>
      <c r="R807" t="s">
        <v>29</v>
      </c>
      <c r="S807" s="3" t="str">
        <f t="shared" si="197"/>
        <v>Office Supplies</v>
      </c>
      <c r="T807" t="s">
        <v>197</v>
      </c>
      <c r="U807" t="s">
        <v>3704</v>
      </c>
      <c r="V807" t="s">
        <v>32</v>
      </c>
      <c r="W807" s="3" t="str">
        <f t="shared" si="198"/>
        <v>Second Class</v>
      </c>
      <c r="X807">
        <v>2</v>
      </c>
      <c r="Y807">
        <v>2030.06</v>
      </c>
      <c r="Z807">
        <v>0.25</v>
      </c>
      <c r="AA807">
        <f t="shared" si="202"/>
        <v>0.25</v>
      </c>
      <c r="AB807">
        <f t="shared" si="203"/>
        <v>3045.09</v>
      </c>
      <c r="AC807">
        <v>3045.09</v>
      </c>
      <c r="AD807">
        <v>2601.09</v>
      </c>
      <c r="AE807">
        <v>444</v>
      </c>
      <c r="AF807" t="s">
        <v>33</v>
      </c>
      <c r="AG807" t="s">
        <v>34</v>
      </c>
      <c r="AH807" t="str">
        <f t="shared" si="199"/>
        <v>Completed</v>
      </c>
      <c r="AI807" t="str">
        <f t="shared" si="200"/>
        <v>Valid</v>
      </c>
      <c r="AJ807">
        <f t="shared" si="201"/>
        <v>444</v>
      </c>
      <c r="AK807" s="12">
        <f t="shared" si="204"/>
        <v>0.14580849827098705</v>
      </c>
      <c r="AL807">
        <f t="shared" si="205"/>
        <v>4</v>
      </c>
      <c r="AM807">
        <f t="shared" si="206"/>
        <v>2025</v>
      </c>
      <c r="AN807" t="str">
        <f t="shared" si="207"/>
        <v>Clean</v>
      </c>
    </row>
    <row r="808" spans="1:40">
      <c r="A808" t="s">
        <v>3705</v>
      </c>
      <c r="B808" s="3" t="s">
        <v>3706</v>
      </c>
      <c r="C808" s="10">
        <v>45605</v>
      </c>
      <c r="D808" s="3" t="s">
        <v>3707</v>
      </c>
      <c r="E808" s="10">
        <v>45611</v>
      </c>
      <c r="F808" s="6" t="str">
        <f t="shared" si="192"/>
        <v>Valid</v>
      </c>
      <c r="G808" s="8">
        <f t="shared" si="193"/>
        <v>6</v>
      </c>
      <c r="H808" s="8" t="str">
        <f t="shared" si="194"/>
        <v>Valid</v>
      </c>
      <c r="I808" t="s">
        <v>3708</v>
      </c>
      <c r="J808" t="s">
        <v>52</v>
      </c>
      <c r="K808" t="s">
        <v>52</v>
      </c>
      <c r="L808" t="s">
        <v>114</v>
      </c>
      <c r="M808" s="3" t="str">
        <f t="shared" si="195"/>
        <v>Home Office</v>
      </c>
      <c r="N808" t="s">
        <v>26</v>
      </c>
      <c r="O808" s="3" t="str">
        <f t="shared" si="196"/>
        <v>North</v>
      </c>
      <c r="P808" t="s">
        <v>27</v>
      </c>
      <c r="Q808" t="s">
        <v>28</v>
      </c>
      <c r="R808" t="s">
        <v>85</v>
      </c>
      <c r="S808" s="3" t="str">
        <f t="shared" si="197"/>
        <v>Technology</v>
      </c>
      <c r="T808" t="s">
        <v>93</v>
      </c>
      <c r="U808" t="s">
        <v>3709</v>
      </c>
      <c r="V808" t="s">
        <v>66</v>
      </c>
      <c r="W808" s="3" t="str">
        <f t="shared" si="198"/>
        <v>Standard Class</v>
      </c>
      <c r="X808">
        <v>1</v>
      </c>
      <c r="Y808">
        <v>3665.97</v>
      </c>
      <c r="Z808">
        <v>0.2</v>
      </c>
      <c r="AA808">
        <f t="shared" si="202"/>
        <v>0.2</v>
      </c>
      <c r="AB808">
        <f t="shared" si="203"/>
        <v>2932.7759999999998</v>
      </c>
      <c r="AC808">
        <v>2932.78</v>
      </c>
      <c r="AD808">
        <v>1900.35</v>
      </c>
      <c r="AE808">
        <v>1032.43</v>
      </c>
      <c r="AF808" t="s">
        <v>199</v>
      </c>
      <c r="AG808" t="s">
        <v>77</v>
      </c>
      <c r="AH808" t="str">
        <f t="shared" si="199"/>
        <v>Cancelled</v>
      </c>
      <c r="AI808" t="str">
        <f t="shared" si="200"/>
        <v>Valid</v>
      </c>
      <c r="AJ808">
        <f t="shared" si="201"/>
        <v>1032.4300000000003</v>
      </c>
      <c r="AK808" s="12">
        <f t="shared" si="204"/>
        <v>0.35203165874243392</v>
      </c>
      <c r="AL808">
        <f t="shared" si="205"/>
        <v>11</v>
      </c>
      <c r="AM808">
        <f t="shared" si="206"/>
        <v>2024</v>
      </c>
      <c r="AN808" t="str">
        <f t="shared" si="207"/>
        <v>Clean</v>
      </c>
    </row>
    <row r="809" spans="1:40">
      <c r="A809" t="s">
        <v>3710</v>
      </c>
      <c r="B809" s="3" t="s">
        <v>1275</v>
      </c>
      <c r="C809" s="10">
        <v>45695</v>
      </c>
      <c r="D809" s="3" t="s">
        <v>2269</v>
      </c>
      <c r="E809" s="10">
        <v>45696</v>
      </c>
      <c r="F809" s="6" t="str">
        <f t="shared" si="192"/>
        <v>Valid</v>
      </c>
      <c r="G809" s="8">
        <f t="shared" si="193"/>
        <v>1</v>
      </c>
      <c r="H809" s="8" t="str">
        <f t="shared" si="194"/>
        <v>Valid</v>
      </c>
      <c r="I809" t="s">
        <v>3711</v>
      </c>
      <c r="J809" t="s">
        <v>24</v>
      </c>
      <c r="K809" t="s">
        <v>24</v>
      </c>
      <c r="L809" t="s">
        <v>40</v>
      </c>
      <c r="M809" s="3" t="str">
        <f t="shared" si="195"/>
        <v>Small Business</v>
      </c>
      <c r="N809" t="s">
        <v>61</v>
      </c>
      <c r="O809" s="3" t="str">
        <f t="shared" si="196"/>
        <v>South</v>
      </c>
      <c r="P809" t="s">
        <v>62</v>
      </c>
      <c r="Q809" t="s">
        <v>63</v>
      </c>
      <c r="R809" t="s">
        <v>29</v>
      </c>
      <c r="S809" s="3" t="str">
        <f t="shared" si="197"/>
        <v>Office Supplies</v>
      </c>
      <c r="T809" t="s">
        <v>108</v>
      </c>
      <c r="U809" t="s">
        <v>3712</v>
      </c>
      <c r="V809" t="s">
        <v>3713</v>
      </c>
      <c r="W809" s="3" t="str">
        <f t="shared" si="198"/>
        <v>Standard Class</v>
      </c>
      <c r="X809">
        <v>2</v>
      </c>
      <c r="Y809">
        <v>2432.98</v>
      </c>
      <c r="Z809">
        <v>0.1</v>
      </c>
      <c r="AA809">
        <f t="shared" si="202"/>
        <v>0.1</v>
      </c>
      <c r="AB809">
        <f t="shared" si="203"/>
        <v>4379.3640000000005</v>
      </c>
      <c r="AC809">
        <v>4379.3599999999997</v>
      </c>
      <c r="AD809">
        <v>3723.93</v>
      </c>
      <c r="AE809">
        <v>655.43</v>
      </c>
      <c r="AF809" t="s">
        <v>33</v>
      </c>
      <c r="AG809" t="s">
        <v>34</v>
      </c>
      <c r="AH809" t="str">
        <f t="shared" si="199"/>
        <v>Completed</v>
      </c>
      <c r="AI809" t="str">
        <f t="shared" si="200"/>
        <v>Valid</v>
      </c>
      <c r="AJ809">
        <f t="shared" si="201"/>
        <v>655.42999999999984</v>
      </c>
      <c r="AK809" s="12">
        <f t="shared" si="204"/>
        <v>0.14966328444038901</v>
      </c>
      <c r="AL809">
        <f t="shared" si="205"/>
        <v>2</v>
      </c>
      <c r="AM809">
        <f t="shared" si="206"/>
        <v>2025</v>
      </c>
      <c r="AN809" t="str">
        <f t="shared" si="207"/>
        <v>Clean</v>
      </c>
    </row>
    <row r="810" spans="1:40">
      <c r="A810" t="s">
        <v>3714</v>
      </c>
      <c r="B810" s="3" t="s">
        <v>3715</v>
      </c>
      <c r="C810" s="10">
        <v>45900</v>
      </c>
      <c r="D810" s="3" t="s">
        <v>2033</v>
      </c>
      <c r="E810" s="10">
        <v>45897</v>
      </c>
      <c r="F810" s="6" t="str">
        <f t="shared" si="192"/>
        <v>Invalid Shipping Record</v>
      </c>
      <c r="G810" s="8">
        <f t="shared" si="193"/>
        <v>-3</v>
      </c>
      <c r="H810" s="8" t="str">
        <f t="shared" si="194"/>
        <v>Invalid Shipping Record</v>
      </c>
      <c r="I810" t="s">
        <v>3716</v>
      </c>
      <c r="J810" t="s">
        <v>161</v>
      </c>
      <c r="K810" t="s">
        <v>161</v>
      </c>
      <c r="L810" t="s">
        <v>40</v>
      </c>
      <c r="M810" s="3" t="str">
        <f t="shared" si="195"/>
        <v>Small Business</v>
      </c>
      <c r="N810" t="s">
        <v>61</v>
      </c>
      <c r="O810" s="3" t="str">
        <f t="shared" si="196"/>
        <v>South</v>
      </c>
      <c r="P810" t="s">
        <v>338</v>
      </c>
      <c r="Q810" t="s">
        <v>339</v>
      </c>
      <c r="R810" t="s">
        <v>44</v>
      </c>
      <c r="S810" s="3" t="str">
        <f t="shared" si="197"/>
        <v>Furniture</v>
      </c>
      <c r="T810" t="s">
        <v>64</v>
      </c>
      <c r="U810" t="s">
        <v>3717</v>
      </c>
      <c r="V810" t="s">
        <v>55</v>
      </c>
      <c r="W810" s="3" t="str">
        <f t="shared" si="198"/>
        <v>First Class</v>
      </c>
      <c r="X810">
        <v>7</v>
      </c>
      <c r="Y810">
        <v>977.28</v>
      </c>
      <c r="Z810">
        <v>0.2</v>
      </c>
      <c r="AA810">
        <f t="shared" si="202"/>
        <v>0.2</v>
      </c>
      <c r="AB810">
        <f t="shared" si="203"/>
        <v>5472.768</v>
      </c>
      <c r="AC810">
        <v>5472.77</v>
      </c>
      <c r="AD810">
        <v>4477.33</v>
      </c>
      <c r="AE810">
        <v>995.44</v>
      </c>
      <c r="AF810" t="s">
        <v>33</v>
      </c>
      <c r="AG810" t="s">
        <v>34</v>
      </c>
      <c r="AH810" t="str">
        <f t="shared" si="199"/>
        <v>Completed</v>
      </c>
      <c r="AI810" t="str">
        <f t="shared" si="200"/>
        <v>Valid</v>
      </c>
      <c r="AJ810">
        <f t="shared" si="201"/>
        <v>995.44000000000051</v>
      </c>
      <c r="AK810" s="12">
        <f t="shared" si="204"/>
        <v>0.18188967630274122</v>
      </c>
      <c r="AL810">
        <f t="shared" si="205"/>
        <v>8</v>
      </c>
      <c r="AM810">
        <f t="shared" si="206"/>
        <v>2025</v>
      </c>
      <c r="AN810" t="str">
        <f t="shared" si="207"/>
        <v>Invalid</v>
      </c>
    </row>
    <row r="811" spans="1:40">
      <c r="A811" t="s">
        <v>3718</v>
      </c>
      <c r="B811" s="3" t="s">
        <v>1515</v>
      </c>
      <c r="C811" s="10">
        <v>45833</v>
      </c>
      <c r="D811" s="3" t="s">
        <v>1515</v>
      </c>
      <c r="E811" s="10">
        <v>45833</v>
      </c>
      <c r="F811" s="6" t="str">
        <f t="shared" si="192"/>
        <v>Valid</v>
      </c>
      <c r="G811" s="8">
        <f t="shared" si="193"/>
        <v>0</v>
      </c>
      <c r="H811" s="8" t="str">
        <f t="shared" si="194"/>
        <v>Valid</v>
      </c>
      <c r="I811" t="s">
        <v>3719</v>
      </c>
      <c r="J811" t="s">
        <v>60</v>
      </c>
      <c r="K811" t="s">
        <v>60</v>
      </c>
      <c r="L811" t="s">
        <v>40</v>
      </c>
      <c r="M811" s="3" t="str">
        <f t="shared" si="195"/>
        <v>Small Business</v>
      </c>
      <c r="O811" s="3" t="str">
        <f t="shared" si="196"/>
        <v>Unknown</v>
      </c>
      <c r="P811" t="s">
        <v>153</v>
      </c>
      <c r="Q811" t="s">
        <v>154</v>
      </c>
      <c r="R811" t="s">
        <v>29</v>
      </c>
      <c r="S811" s="3" t="str">
        <f t="shared" si="197"/>
        <v>Office Supplies</v>
      </c>
      <c r="T811" t="s">
        <v>197</v>
      </c>
      <c r="U811" t="s">
        <v>3720</v>
      </c>
      <c r="V811" t="s">
        <v>32</v>
      </c>
      <c r="W811" s="3" t="str">
        <f t="shared" si="198"/>
        <v>Second Class</v>
      </c>
      <c r="X811">
        <v>6</v>
      </c>
      <c r="Y811">
        <v>1366.13</v>
      </c>
      <c r="Z811">
        <v>0.1</v>
      </c>
      <c r="AA811">
        <f t="shared" si="202"/>
        <v>0.1</v>
      </c>
      <c r="AB811">
        <f t="shared" si="203"/>
        <v>7377.1020000000008</v>
      </c>
      <c r="AC811">
        <v>7377.1</v>
      </c>
      <c r="AD811">
        <v>5085.21</v>
      </c>
      <c r="AE811">
        <v>2291.89</v>
      </c>
      <c r="AF811" t="s">
        <v>33</v>
      </c>
      <c r="AG811" t="s">
        <v>34</v>
      </c>
      <c r="AH811" t="str">
        <f t="shared" si="199"/>
        <v>Completed</v>
      </c>
      <c r="AI811" t="str">
        <f t="shared" si="200"/>
        <v>Valid</v>
      </c>
      <c r="AJ811">
        <f t="shared" si="201"/>
        <v>2291.8900000000003</v>
      </c>
      <c r="AK811" s="12">
        <f t="shared" si="204"/>
        <v>0.31067619778064615</v>
      </c>
      <c r="AL811">
        <f t="shared" si="205"/>
        <v>6</v>
      </c>
      <c r="AM811">
        <f t="shared" si="206"/>
        <v>2025</v>
      </c>
      <c r="AN811" t="str">
        <f t="shared" si="207"/>
        <v>Clean</v>
      </c>
    </row>
    <row r="812" spans="1:40">
      <c r="A812" t="s">
        <v>3721</v>
      </c>
      <c r="B812" s="3" t="s">
        <v>3722</v>
      </c>
      <c r="C812" s="10">
        <v>45385</v>
      </c>
      <c r="D812" s="3" t="s">
        <v>3723</v>
      </c>
      <c r="E812" s="10">
        <v>45390</v>
      </c>
      <c r="F812" s="6" t="str">
        <f t="shared" si="192"/>
        <v>Valid</v>
      </c>
      <c r="G812" s="8">
        <f t="shared" si="193"/>
        <v>5</v>
      </c>
      <c r="H812" s="8" t="str">
        <f t="shared" si="194"/>
        <v>Valid</v>
      </c>
      <c r="I812" t="s">
        <v>2533</v>
      </c>
      <c r="J812" t="s">
        <v>365</v>
      </c>
      <c r="K812" t="s">
        <v>365</v>
      </c>
      <c r="L812" t="s">
        <v>114</v>
      </c>
      <c r="M812" s="3" t="str">
        <f t="shared" si="195"/>
        <v>Home Office</v>
      </c>
      <c r="N812" t="s">
        <v>72</v>
      </c>
      <c r="O812" s="3" t="str">
        <f t="shared" si="196"/>
        <v>West</v>
      </c>
      <c r="P812" t="s">
        <v>234</v>
      </c>
      <c r="Q812" t="s">
        <v>235</v>
      </c>
      <c r="R812" t="s">
        <v>85</v>
      </c>
      <c r="S812" s="3" t="str">
        <f t="shared" si="197"/>
        <v>Technology</v>
      </c>
      <c r="T812" t="s">
        <v>93</v>
      </c>
      <c r="U812" t="s">
        <v>3724</v>
      </c>
      <c r="V812" t="s">
        <v>55</v>
      </c>
      <c r="W812" s="3" t="str">
        <f t="shared" si="198"/>
        <v>First Class</v>
      </c>
      <c r="X812">
        <v>1</v>
      </c>
      <c r="Y812">
        <v>3151.85</v>
      </c>
      <c r="Z812">
        <v>0.25</v>
      </c>
      <c r="AA812">
        <f t="shared" si="202"/>
        <v>0.25</v>
      </c>
      <c r="AB812">
        <f t="shared" si="203"/>
        <v>2363.8874999999998</v>
      </c>
      <c r="AC812">
        <v>2363.89</v>
      </c>
      <c r="AD812">
        <v>1471.51</v>
      </c>
      <c r="AE812">
        <v>892.38</v>
      </c>
      <c r="AF812" t="s">
        <v>33</v>
      </c>
      <c r="AG812" t="s">
        <v>34</v>
      </c>
      <c r="AH812" t="str">
        <f t="shared" si="199"/>
        <v>Completed</v>
      </c>
      <c r="AI812" t="str">
        <f t="shared" si="200"/>
        <v>Valid</v>
      </c>
      <c r="AJ812">
        <f t="shared" si="201"/>
        <v>892.37999999999988</v>
      </c>
      <c r="AK812" s="12">
        <f t="shared" si="204"/>
        <v>0.37750527467994988</v>
      </c>
      <c r="AL812">
        <f t="shared" si="205"/>
        <v>4</v>
      </c>
      <c r="AM812">
        <f t="shared" si="206"/>
        <v>2024</v>
      </c>
      <c r="AN812" t="str">
        <f t="shared" si="207"/>
        <v>Clean</v>
      </c>
    </row>
    <row r="813" spans="1:40">
      <c r="A813" t="s">
        <v>3725</v>
      </c>
      <c r="B813" s="3" t="s">
        <v>3726</v>
      </c>
      <c r="C813" s="10">
        <v>45638</v>
      </c>
      <c r="D813" s="3" t="s">
        <v>3727</v>
      </c>
      <c r="E813" s="10">
        <v>45645</v>
      </c>
      <c r="F813" s="6" t="str">
        <f t="shared" si="192"/>
        <v>Valid</v>
      </c>
      <c r="G813" s="8">
        <f t="shared" si="193"/>
        <v>7</v>
      </c>
      <c r="H813" s="8" t="str">
        <f t="shared" si="194"/>
        <v>Valid</v>
      </c>
      <c r="I813" t="s">
        <v>3728</v>
      </c>
      <c r="J813" t="s">
        <v>179</v>
      </c>
      <c r="K813" t="s">
        <v>179</v>
      </c>
      <c r="L813" t="s">
        <v>114</v>
      </c>
      <c r="M813" s="3" t="str">
        <f t="shared" si="195"/>
        <v>Home Office</v>
      </c>
      <c r="N813" t="s">
        <v>26</v>
      </c>
      <c r="O813" s="3" t="str">
        <f t="shared" si="196"/>
        <v>North</v>
      </c>
      <c r="P813" t="s">
        <v>322</v>
      </c>
      <c r="Q813" t="s">
        <v>323</v>
      </c>
      <c r="R813" t="s">
        <v>85</v>
      </c>
      <c r="S813" s="3" t="str">
        <f t="shared" si="197"/>
        <v>Technology</v>
      </c>
      <c r="T813" t="s">
        <v>86</v>
      </c>
      <c r="U813" t="s">
        <v>3729</v>
      </c>
      <c r="V813" t="s">
        <v>55</v>
      </c>
      <c r="W813" s="3" t="str">
        <f t="shared" si="198"/>
        <v>First Class</v>
      </c>
      <c r="X813">
        <v>2</v>
      </c>
      <c r="Y813">
        <v>1610.75</v>
      </c>
      <c r="Z813">
        <v>0.2</v>
      </c>
      <c r="AA813">
        <f t="shared" si="202"/>
        <v>0.2</v>
      </c>
      <c r="AB813">
        <f t="shared" si="203"/>
        <v>2577.2000000000003</v>
      </c>
      <c r="AC813">
        <v>2577.1999999999998</v>
      </c>
      <c r="AD813">
        <v>1475.87</v>
      </c>
      <c r="AE813">
        <v>1101.33</v>
      </c>
      <c r="AF813" t="s">
        <v>33</v>
      </c>
      <c r="AG813" t="s">
        <v>34</v>
      </c>
      <c r="AH813" t="str">
        <f t="shared" si="199"/>
        <v>Completed</v>
      </c>
      <c r="AI813" t="str">
        <f t="shared" si="200"/>
        <v>Valid</v>
      </c>
      <c r="AJ813">
        <f t="shared" si="201"/>
        <v>1101.33</v>
      </c>
      <c r="AK813" s="12">
        <f t="shared" si="204"/>
        <v>0.42733586838429294</v>
      </c>
      <c r="AL813">
        <f t="shared" si="205"/>
        <v>12</v>
      </c>
      <c r="AM813">
        <f t="shared" si="206"/>
        <v>2024</v>
      </c>
      <c r="AN813" t="str">
        <f t="shared" si="207"/>
        <v>Clean</v>
      </c>
    </row>
    <row r="814" spans="1:40">
      <c r="A814" t="s">
        <v>3730</v>
      </c>
      <c r="B814" s="3" t="s">
        <v>809</v>
      </c>
      <c r="C814" s="10">
        <v>45458</v>
      </c>
      <c r="D814" s="3" t="s">
        <v>3731</v>
      </c>
      <c r="E814" s="10">
        <v>45463</v>
      </c>
      <c r="F814" s="6" t="str">
        <f t="shared" si="192"/>
        <v>Valid</v>
      </c>
      <c r="G814" s="8">
        <f t="shared" si="193"/>
        <v>5</v>
      </c>
      <c r="H814" s="8" t="str">
        <f t="shared" si="194"/>
        <v>Valid</v>
      </c>
      <c r="I814" t="s">
        <v>3732</v>
      </c>
      <c r="J814" t="s">
        <v>167</v>
      </c>
      <c r="K814" t="s">
        <v>167</v>
      </c>
      <c r="L814" t="s">
        <v>40</v>
      </c>
      <c r="M814" s="3" t="str">
        <f t="shared" si="195"/>
        <v>Small Business</v>
      </c>
      <c r="N814" t="s">
        <v>41</v>
      </c>
      <c r="O814" s="3" t="str">
        <f t="shared" si="196"/>
        <v>East</v>
      </c>
      <c r="P814" t="s">
        <v>310</v>
      </c>
      <c r="Q814" t="s">
        <v>311</v>
      </c>
      <c r="R814" t="s">
        <v>44</v>
      </c>
      <c r="S814" s="3" t="str">
        <f t="shared" si="197"/>
        <v>Furniture</v>
      </c>
      <c r="T814" t="s">
        <v>45</v>
      </c>
      <c r="U814" t="s">
        <v>3733</v>
      </c>
      <c r="V814" t="s">
        <v>55</v>
      </c>
      <c r="W814" s="3" t="str">
        <f t="shared" si="198"/>
        <v>First Class</v>
      </c>
      <c r="X814">
        <v>8</v>
      </c>
      <c r="Y814">
        <v>2228.4699999999998</v>
      </c>
      <c r="Z814">
        <v>0</v>
      </c>
      <c r="AA814">
        <f t="shared" si="202"/>
        <v>0</v>
      </c>
      <c r="AB814">
        <f t="shared" si="203"/>
        <v>17827.759999999998</v>
      </c>
      <c r="AC814">
        <v>17827.759999999998</v>
      </c>
      <c r="AD814">
        <v>14122.13</v>
      </c>
      <c r="AE814">
        <v>3705.63</v>
      </c>
      <c r="AF814" t="s">
        <v>33</v>
      </c>
      <c r="AG814" t="s">
        <v>34</v>
      </c>
      <c r="AH814" t="str">
        <f t="shared" si="199"/>
        <v>Completed</v>
      </c>
      <c r="AI814" t="str">
        <f t="shared" si="200"/>
        <v>Valid</v>
      </c>
      <c r="AJ814">
        <f t="shared" si="201"/>
        <v>3705.6299999999992</v>
      </c>
      <c r="AK814" s="12">
        <f t="shared" si="204"/>
        <v>0.20785729671029896</v>
      </c>
      <c r="AL814">
        <f t="shared" si="205"/>
        <v>6</v>
      </c>
      <c r="AM814">
        <f t="shared" si="206"/>
        <v>2024</v>
      </c>
      <c r="AN814" t="str">
        <f t="shared" si="207"/>
        <v>Clean</v>
      </c>
    </row>
    <row r="815" spans="1:40">
      <c r="A815" t="s">
        <v>3734</v>
      </c>
      <c r="B815" s="3" t="s">
        <v>3735</v>
      </c>
      <c r="C815" s="10">
        <v>45753</v>
      </c>
      <c r="D815" s="3" t="s">
        <v>3736</v>
      </c>
      <c r="E815" s="10">
        <v>45757</v>
      </c>
      <c r="F815" s="6" t="str">
        <f t="shared" si="192"/>
        <v>Valid</v>
      </c>
      <c r="G815" s="8">
        <f t="shared" si="193"/>
        <v>4</v>
      </c>
      <c r="H815" s="8" t="str">
        <f t="shared" si="194"/>
        <v>Valid</v>
      </c>
      <c r="I815" t="s">
        <v>3737</v>
      </c>
      <c r="J815" t="s">
        <v>179</v>
      </c>
      <c r="K815" t="s">
        <v>179</v>
      </c>
      <c r="L815" t="s">
        <v>25</v>
      </c>
      <c r="M815" s="3" t="str">
        <f t="shared" si="195"/>
        <v>Consumer</v>
      </c>
      <c r="N815" t="s">
        <v>41</v>
      </c>
      <c r="O815" s="3" t="str">
        <f t="shared" si="196"/>
        <v>East</v>
      </c>
      <c r="P815" t="s">
        <v>42</v>
      </c>
      <c r="Q815" t="s">
        <v>43</v>
      </c>
      <c r="R815" t="s">
        <v>44</v>
      </c>
      <c r="S815" s="3" t="str">
        <f t="shared" si="197"/>
        <v>Furniture</v>
      </c>
      <c r="T815" t="s">
        <v>203</v>
      </c>
      <c r="U815" t="s">
        <v>1716</v>
      </c>
      <c r="V815" t="s">
        <v>66</v>
      </c>
      <c r="W815" s="3" t="str">
        <f t="shared" si="198"/>
        <v>Standard Class</v>
      </c>
      <c r="X815">
        <v>2</v>
      </c>
      <c r="Y815">
        <v>1337.67</v>
      </c>
      <c r="Z815">
        <v>0</v>
      </c>
      <c r="AA815">
        <f t="shared" si="202"/>
        <v>0</v>
      </c>
      <c r="AB815">
        <f t="shared" si="203"/>
        <v>2675.34</v>
      </c>
      <c r="AC815">
        <v>2675.34</v>
      </c>
      <c r="AD815">
        <v>1595.87</v>
      </c>
      <c r="AE815">
        <v>1079.47</v>
      </c>
      <c r="AF815" t="s">
        <v>33</v>
      </c>
      <c r="AG815" t="s">
        <v>34</v>
      </c>
      <c r="AH815" t="str">
        <f t="shared" si="199"/>
        <v>Completed</v>
      </c>
      <c r="AI815" t="str">
        <f t="shared" si="200"/>
        <v>Valid</v>
      </c>
      <c r="AJ815">
        <f t="shared" si="201"/>
        <v>1079.4700000000003</v>
      </c>
      <c r="AK815" s="12">
        <f t="shared" si="204"/>
        <v>0.40348890234512258</v>
      </c>
      <c r="AL815">
        <f t="shared" si="205"/>
        <v>4</v>
      </c>
      <c r="AM815">
        <f t="shared" si="206"/>
        <v>2025</v>
      </c>
      <c r="AN815" t="str">
        <f t="shared" si="207"/>
        <v>Clean</v>
      </c>
    </row>
    <row r="816" spans="1:40">
      <c r="A816" t="s">
        <v>3738</v>
      </c>
      <c r="B816" s="3" t="s">
        <v>1370</v>
      </c>
      <c r="C816" s="10">
        <v>45875</v>
      </c>
      <c r="D816" s="3" t="s">
        <v>582</v>
      </c>
      <c r="E816" s="10">
        <v>45880</v>
      </c>
      <c r="F816" s="6" t="str">
        <f t="shared" si="192"/>
        <v>Valid</v>
      </c>
      <c r="G816" s="8">
        <f t="shared" si="193"/>
        <v>5</v>
      </c>
      <c r="H816" s="8" t="str">
        <f t="shared" si="194"/>
        <v>Valid</v>
      </c>
      <c r="I816" t="s">
        <v>3739</v>
      </c>
      <c r="J816" t="s">
        <v>60</v>
      </c>
      <c r="K816" t="s">
        <v>60</v>
      </c>
      <c r="L816" t="s">
        <v>25</v>
      </c>
      <c r="M816" s="3" t="str">
        <f t="shared" si="195"/>
        <v>Consumer</v>
      </c>
      <c r="N816" t="s">
        <v>72</v>
      </c>
      <c r="O816" s="3" t="str">
        <f t="shared" si="196"/>
        <v>West</v>
      </c>
      <c r="P816" t="s">
        <v>83</v>
      </c>
      <c r="Q816" t="s">
        <v>84</v>
      </c>
      <c r="R816" t="s">
        <v>29</v>
      </c>
      <c r="S816" s="3" t="str">
        <f t="shared" si="197"/>
        <v>Office Supplies</v>
      </c>
      <c r="T816" t="s">
        <v>108</v>
      </c>
      <c r="U816" t="s">
        <v>3740</v>
      </c>
      <c r="V816" t="s">
        <v>55</v>
      </c>
      <c r="W816" s="3" t="str">
        <f t="shared" si="198"/>
        <v>First Class</v>
      </c>
      <c r="X816">
        <v>2</v>
      </c>
      <c r="Y816">
        <v>2375.94</v>
      </c>
      <c r="Z816">
        <v>0.25</v>
      </c>
      <c r="AA816">
        <f t="shared" si="202"/>
        <v>0.25</v>
      </c>
      <c r="AB816">
        <f t="shared" si="203"/>
        <v>3563.91</v>
      </c>
      <c r="AC816">
        <v>3563.91</v>
      </c>
      <c r="AD816">
        <v>2639.7</v>
      </c>
      <c r="AE816">
        <v>924.21</v>
      </c>
      <c r="AF816" t="s">
        <v>33</v>
      </c>
      <c r="AG816" t="s">
        <v>34</v>
      </c>
      <c r="AH816" t="str">
        <f t="shared" si="199"/>
        <v>Completed</v>
      </c>
      <c r="AI816" t="str">
        <f t="shared" si="200"/>
        <v>Valid</v>
      </c>
      <c r="AJ816">
        <f t="shared" si="201"/>
        <v>924.21</v>
      </c>
      <c r="AK816" s="12">
        <f t="shared" si="204"/>
        <v>0.25932473042248544</v>
      </c>
      <c r="AL816">
        <f t="shared" si="205"/>
        <v>8</v>
      </c>
      <c r="AM816">
        <f t="shared" si="206"/>
        <v>2025</v>
      </c>
      <c r="AN816" t="str">
        <f t="shared" si="207"/>
        <v>Clean</v>
      </c>
    </row>
    <row r="817" spans="1:40">
      <c r="A817" t="s">
        <v>3741</v>
      </c>
      <c r="B817" s="3" t="s">
        <v>2441</v>
      </c>
      <c r="C817" s="10">
        <v>45383</v>
      </c>
      <c r="D817" s="3" t="s">
        <v>3742</v>
      </c>
      <c r="E817" s="10">
        <v>45390</v>
      </c>
      <c r="F817" s="6" t="str">
        <f t="shared" si="192"/>
        <v>Valid</v>
      </c>
      <c r="G817" s="8">
        <f t="shared" si="193"/>
        <v>7</v>
      </c>
      <c r="H817" s="8" t="str">
        <f t="shared" si="194"/>
        <v>Valid</v>
      </c>
      <c r="I817" t="s">
        <v>3743</v>
      </c>
      <c r="J817" t="s">
        <v>209</v>
      </c>
      <c r="K817" t="s">
        <v>209</v>
      </c>
      <c r="L817" t="s">
        <v>25</v>
      </c>
      <c r="M817" s="3" t="str">
        <f t="shared" si="195"/>
        <v>Consumer</v>
      </c>
      <c r="N817" t="s">
        <v>41</v>
      </c>
      <c r="O817" s="3" t="str">
        <f t="shared" si="196"/>
        <v>East</v>
      </c>
      <c r="P817" t="s">
        <v>42</v>
      </c>
      <c r="Q817" t="s">
        <v>43</v>
      </c>
      <c r="R817" t="s">
        <v>85</v>
      </c>
      <c r="S817" s="3" t="str">
        <f t="shared" si="197"/>
        <v>Technology</v>
      </c>
      <c r="T817" t="s">
        <v>381</v>
      </c>
      <c r="U817" t="s">
        <v>3744</v>
      </c>
      <c r="V817" t="s">
        <v>66</v>
      </c>
      <c r="W817" s="3" t="str">
        <f t="shared" si="198"/>
        <v>Standard Class</v>
      </c>
      <c r="X817">
        <v>7</v>
      </c>
      <c r="Y817">
        <v>715.81</v>
      </c>
      <c r="Z817">
        <v>0.15</v>
      </c>
      <c r="AA817">
        <f t="shared" si="202"/>
        <v>0.15</v>
      </c>
      <c r="AB817">
        <f t="shared" si="203"/>
        <v>4259.0694999999996</v>
      </c>
      <c r="AC817">
        <v>4259.07</v>
      </c>
      <c r="AD817">
        <v>3130.32</v>
      </c>
      <c r="AE817">
        <v>1128.75</v>
      </c>
      <c r="AF817" t="s">
        <v>136</v>
      </c>
      <c r="AG817" t="s">
        <v>77</v>
      </c>
      <c r="AH817" t="str">
        <f t="shared" si="199"/>
        <v>Cancelled</v>
      </c>
      <c r="AI817" t="str">
        <f t="shared" si="200"/>
        <v>Valid</v>
      </c>
      <c r="AJ817">
        <f t="shared" si="201"/>
        <v>1128.7499999999995</v>
      </c>
      <c r="AK817" s="12">
        <f t="shared" si="204"/>
        <v>0.26502267690160952</v>
      </c>
      <c r="AL817">
        <f t="shared" si="205"/>
        <v>4</v>
      </c>
      <c r="AM817">
        <f t="shared" si="206"/>
        <v>2024</v>
      </c>
      <c r="AN817" t="str">
        <f t="shared" si="207"/>
        <v>Clean</v>
      </c>
    </row>
    <row r="818" spans="1:40">
      <c r="A818" t="s">
        <v>3745</v>
      </c>
      <c r="B818" s="3" t="s">
        <v>3746</v>
      </c>
      <c r="C818" s="10">
        <v>45623</v>
      </c>
      <c r="D818" s="3" t="s">
        <v>3747</v>
      </c>
      <c r="E818" s="10">
        <v>45626</v>
      </c>
      <c r="F818" s="6" t="str">
        <f t="shared" si="192"/>
        <v>Valid</v>
      </c>
      <c r="G818" s="8">
        <f t="shared" si="193"/>
        <v>3</v>
      </c>
      <c r="H818" s="8" t="str">
        <f t="shared" si="194"/>
        <v>Valid</v>
      </c>
      <c r="I818" t="s">
        <v>3748</v>
      </c>
      <c r="J818" t="s">
        <v>147</v>
      </c>
      <c r="K818" t="s">
        <v>147</v>
      </c>
      <c r="L818" t="s">
        <v>40</v>
      </c>
      <c r="M818" s="3" t="str">
        <f t="shared" si="195"/>
        <v>Small Business</v>
      </c>
      <c r="N818" t="s">
        <v>41</v>
      </c>
      <c r="O818" s="3" t="str">
        <f t="shared" si="196"/>
        <v>East</v>
      </c>
      <c r="P818" t="s">
        <v>310</v>
      </c>
      <c r="Q818" t="s">
        <v>311</v>
      </c>
      <c r="R818" t="s">
        <v>44</v>
      </c>
      <c r="S818" s="3" t="str">
        <f t="shared" si="197"/>
        <v>Furniture</v>
      </c>
      <c r="T818" t="s">
        <v>64</v>
      </c>
      <c r="U818" t="s">
        <v>3749</v>
      </c>
      <c r="V818" t="s">
        <v>55</v>
      </c>
      <c r="W818" s="3" t="str">
        <f t="shared" si="198"/>
        <v>First Class</v>
      </c>
      <c r="X818">
        <v>1</v>
      </c>
      <c r="Y818">
        <v>874.3</v>
      </c>
      <c r="Z818">
        <v>0.1</v>
      </c>
      <c r="AA818">
        <f t="shared" si="202"/>
        <v>0.1</v>
      </c>
      <c r="AB818">
        <f t="shared" si="203"/>
        <v>786.87</v>
      </c>
      <c r="AC818">
        <v>786.87</v>
      </c>
      <c r="AD818">
        <v>498.5</v>
      </c>
      <c r="AE818">
        <v>288.37</v>
      </c>
      <c r="AF818" t="s">
        <v>33</v>
      </c>
      <c r="AG818" t="s">
        <v>34</v>
      </c>
      <c r="AH818" t="str">
        <f t="shared" si="199"/>
        <v>Completed</v>
      </c>
      <c r="AI818" t="str">
        <f t="shared" si="200"/>
        <v>Valid</v>
      </c>
      <c r="AJ818">
        <f t="shared" si="201"/>
        <v>288.37</v>
      </c>
      <c r="AK818" s="12">
        <f t="shared" si="204"/>
        <v>0.36647730883119195</v>
      </c>
      <c r="AL818">
        <f t="shared" si="205"/>
        <v>11</v>
      </c>
      <c r="AM818">
        <f t="shared" si="206"/>
        <v>2024</v>
      </c>
      <c r="AN818" t="str">
        <f t="shared" si="207"/>
        <v>Clean</v>
      </c>
    </row>
    <row r="819" spans="1:40">
      <c r="A819" t="s">
        <v>3750</v>
      </c>
      <c r="B819" s="3" t="s">
        <v>3751</v>
      </c>
      <c r="C819" s="10">
        <v>45752</v>
      </c>
      <c r="D819" s="3" t="s">
        <v>3752</v>
      </c>
      <c r="E819" s="10">
        <v>45752</v>
      </c>
      <c r="F819" s="6" t="str">
        <f t="shared" si="192"/>
        <v>Valid</v>
      </c>
      <c r="G819" s="8">
        <f t="shared" si="193"/>
        <v>0</v>
      </c>
      <c r="H819" s="8" t="str">
        <f t="shared" si="194"/>
        <v>Valid</v>
      </c>
      <c r="I819" t="s">
        <v>3753</v>
      </c>
      <c r="J819" t="s">
        <v>167</v>
      </c>
      <c r="K819" t="s">
        <v>167</v>
      </c>
      <c r="L819" t="s">
        <v>25</v>
      </c>
      <c r="M819" s="3" t="str">
        <f t="shared" si="195"/>
        <v>Consumer</v>
      </c>
      <c r="N819" t="s">
        <v>41</v>
      </c>
      <c r="O819" s="3" t="str">
        <f t="shared" si="196"/>
        <v>East</v>
      </c>
      <c r="P819" t="s">
        <v>185</v>
      </c>
      <c r="Q819" t="s">
        <v>186</v>
      </c>
      <c r="R819" t="s">
        <v>29</v>
      </c>
      <c r="S819" s="3" t="str">
        <f t="shared" si="197"/>
        <v>Office Supplies</v>
      </c>
      <c r="T819" t="s">
        <v>197</v>
      </c>
      <c r="U819" t="s">
        <v>3754</v>
      </c>
      <c r="V819" t="s">
        <v>66</v>
      </c>
      <c r="W819" s="3" t="str">
        <f t="shared" si="198"/>
        <v>Standard Class</v>
      </c>
      <c r="X819">
        <v>6</v>
      </c>
      <c r="Y819">
        <v>1829.69</v>
      </c>
      <c r="Z819">
        <v>0.25</v>
      </c>
      <c r="AA819">
        <f t="shared" si="202"/>
        <v>0.25</v>
      </c>
      <c r="AB819">
        <f t="shared" si="203"/>
        <v>8233.6049999999996</v>
      </c>
      <c r="AC819">
        <v>8233.6</v>
      </c>
      <c r="AD819">
        <v>4713.79</v>
      </c>
      <c r="AE819">
        <v>3519.81</v>
      </c>
      <c r="AF819" t="s">
        <v>33</v>
      </c>
      <c r="AG819" t="s">
        <v>34</v>
      </c>
      <c r="AH819" t="str">
        <f t="shared" si="199"/>
        <v>Completed</v>
      </c>
      <c r="AI819" t="str">
        <f t="shared" si="200"/>
        <v>Valid</v>
      </c>
      <c r="AJ819">
        <f t="shared" si="201"/>
        <v>3519.8100000000004</v>
      </c>
      <c r="AK819" s="12">
        <f t="shared" si="204"/>
        <v>0.42749318190513153</v>
      </c>
      <c r="AL819">
        <f t="shared" si="205"/>
        <v>4</v>
      </c>
      <c r="AM819">
        <f t="shared" si="206"/>
        <v>2025</v>
      </c>
      <c r="AN819" t="str">
        <f t="shared" si="207"/>
        <v>Clean</v>
      </c>
    </row>
    <row r="820" spans="1:40">
      <c r="A820" t="s">
        <v>3755</v>
      </c>
      <c r="B820" s="3" t="s">
        <v>3756</v>
      </c>
      <c r="C820" s="10">
        <v>45564</v>
      </c>
      <c r="D820" s="3" t="s">
        <v>3237</v>
      </c>
      <c r="E820" s="10">
        <v>45570</v>
      </c>
      <c r="F820" s="6" t="str">
        <f t="shared" si="192"/>
        <v>Valid</v>
      </c>
      <c r="G820" s="8">
        <f t="shared" si="193"/>
        <v>6</v>
      </c>
      <c r="H820" s="8" t="str">
        <f t="shared" si="194"/>
        <v>Valid</v>
      </c>
      <c r="I820" t="s">
        <v>3757</v>
      </c>
      <c r="J820" t="s">
        <v>141</v>
      </c>
      <c r="K820" t="s">
        <v>141</v>
      </c>
      <c r="L820" t="s">
        <v>40</v>
      </c>
      <c r="M820" s="3" t="str">
        <f t="shared" si="195"/>
        <v>Small Business</v>
      </c>
      <c r="N820" t="s">
        <v>72</v>
      </c>
      <c r="O820" s="3" t="str">
        <f t="shared" si="196"/>
        <v>West</v>
      </c>
      <c r="P820" t="s">
        <v>73</v>
      </c>
      <c r="Q820" t="s">
        <v>74</v>
      </c>
      <c r="R820" t="s">
        <v>29</v>
      </c>
      <c r="S820" s="3" t="str">
        <f t="shared" si="197"/>
        <v>Office Supplies</v>
      </c>
      <c r="T820" t="s">
        <v>108</v>
      </c>
      <c r="U820" t="s">
        <v>3758</v>
      </c>
      <c r="V820" t="s">
        <v>55</v>
      </c>
      <c r="W820" s="3" t="str">
        <f t="shared" si="198"/>
        <v>First Class</v>
      </c>
      <c r="X820">
        <v>8</v>
      </c>
      <c r="Y820">
        <v>1981.04</v>
      </c>
      <c r="Z820">
        <v>-0.14000000000000001</v>
      </c>
      <c r="AA820">
        <f t="shared" si="202"/>
        <v>-0.14000000000000001</v>
      </c>
      <c r="AB820">
        <f t="shared" si="203"/>
        <v>18067.084800000001</v>
      </c>
      <c r="AC820">
        <v>12678.66</v>
      </c>
      <c r="AD820">
        <v>10088.65</v>
      </c>
      <c r="AE820">
        <v>2590.0100000000002</v>
      </c>
      <c r="AF820" t="s">
        <v>33</v>
      </c>
      <c r="AG820" t="s">
        <v>34</v>
      </c>
      <c r="AH820" t="str">
        <f t="shared" si="199"/>
        <v>Completed</v>
      </c>
      <c r="AI820" t="str">
        <f t="shared" si="200"/>
        <v>Invalid - Negative Discount</v>
      </c>
      <c r="AJ820">
        <f t="shared" si="201"/>
        <v>2590.0100000000002</v>
      </c>
      <c r="AK820" s="12">
        <f t="shared" si="204"/>
        <v>0.14335516928552858</v>
      </c>
      <c r="AL820">
        <f t="shared" si="205"/>
        <v>9</v>
      </c>
      <c r="AM820">
        <f t="shared" si="206"/>
        <v>2024</v>
      </c>
      <c r="AN820" t="str">
        <f t="shared" si="207"/>
        <v>Clean</v>
      </c>
    </row>
    <row r="821" spans="1:40">
      <c r="A821" t="s">
        <v>3759</v>
      </c>
      <c r="B821" s="3" t="s">
        <v>1593</v>
      </c>
      <c r="C821" s="10">
        <v>45504</v>
      </c>
      <c r="D821" s="3" t="s">
        <v>3760</v>
      </c>
      <c r="E821" s="10">
        <v>45504</v>
      </c>
      <c r="F821" s="6" t="str">
        <f t="shared" si="192"/>
        <v>Valid</v>
      </c>
      <c r="G821" s="8">
        <f t="shared" si="193"/>
        <v>0</v>
      </c>
      <c r="H821" s="8" t="str">
        <f t="shared" si="194"/>
        <v>Valid</v>
      </c>
      <c r="I821" t="s">
        <v>3761</v>
      </c>
      <c r="J821" t="s">
        <v>24</v>
      </c>
      <c r="K821" t="s">
        <v>24</v>
      </c>
      <c r="L821" t="s">
        <v>114</v>
      </c>
      <c r="M821" s="3" t="str">
        <f t="shared" si="195"/>
        <v>Home Office</v>
      </c>
      <c r="N821" t="s">
        <v>61</v>
      </c>
      <c r="O821" s="3" t="str">
        <f t="shared" si="196"/>
        <v>South</v>
      </c>
      <c r="P821" t="s">
        <v>241</v>
      </c>
      <c r="Q821" t="s">
        <v>242</v>
      </c>
      <c r="R821" t="s">
        <v>85</v>
      </c>
      <c r="S821" s="3" t="str">
        <f t="shared" si="197"/>
        <v>Technology</v>
      </c>
      <c r="T821" t="s">
        <v>3762</v>
      </c>
      <c r="U821" t="s">
        <v>3763</v>
      </c>
      <c r="V821" t="s">
        <v>66</v>
      </c>
      <c r="W821" s="3" t="str">
        <f t="shared" si="198"/>
        <v>Standard Class</v>
      </c>
      <c r="X821">
        <v>8</v>
      </c>
      <c r="Y821">
        <v>4246.01</v>
      </c>
      <c r="Z821">
        <v>0</v>
      </c>
      <c r="AA821">
        <f t="shared" si="202"/>
        <v>0</v>
      </c>
      <c r="AB821">
        <f t="shared" si="203"/>
        <v>33968.080000000002</v>
      </c>
      <c r="AC821">
        <v>33968.080000000002</v>
      </c>
      <c r="AD821">
        <v>26902.44</v>
      </c>
      <c r="AE821">
        <v>7065.64</v>
      </c>
      <c r="AF821" t="s">
        <v>199</v>
      </c>
      <c r="AG821" t="s">
        <v>77</v>
      </c>
      <c r="AH821" t="str">
        <f t="shared" si="199"/>
        <v>Cancelled</v>
      </c>
      <c r="AI821" t="str">
        <f t="shared" si="200"/>
        <v>Valid</v>
      </c>
      <c r="AJ821">
        <f t="shared" si="201"/>
        <v>7065.6400000000031</v>
      </c>
      <c r="AK821" s="12">
        <f t="shared" si="204"/>
        <v>0.20800822419165294</v>
      </c>
      <c r="AL821">
        <f t="shared" si="205"/>
        <v>7</v>
      </c>
      <c r="AM821">
        <f t="shared" si="206"/>
        <v>2024</v>
      </c>
      <c r="AN821" t="str">
        <f t="shared" si="207"/>
        <v>Clean</v>
      </c>
    </row>
    <row r="822" spans="1:40">
      <c r="A822" t="s">
        <v>3764</v>
      </c>
      <c r="B822" s="3" t="s">
        <v>3765</v>
      </c>
      <c r="C822" s="10">
        <v>45694</v>
      </c>
      <c r="D822" s="3" t="s">
        <v>3766</v>
      </c>
      <c r="E822" s="10">
        <v>45698</v>
      </c>
      <c r="F822" s="6" t="str">
        <f t="shared" si="192"/>
        <v>Valid</v>
      </c>
      <c r="G822" s="8">
        <f t="shared" si="193"/>
        <v>4</v>
      </c>
      <c r="H822" s="8" t="str">
        <f t="shared" si="194"/>
        <v>Valid</v>
      </c>
      <c r="I822" t="s">
        <v>3767</v>
      </c>
      <c r="J822" t="s">
        <v>71</v>
      </c>
      <c r="K822" t="s">
        <v>71</v>
      </c>
      <c r="L822" t="s">
        <v>114</v>
      </c>
      <c r="M822" s="3" t="str">
        <f t="shared" si="195"/>
        <v>Home Office</v>
      </c>
      <c r="N822" t="s">
        <v>26</v>
      </c>
      <c r="O822" s="3" t="str">
        <f t="shared" si="196"/>
        <v>North</v>
      </c>
      <c r="P822" t="s">
        <v>173</v>
      </c>
      <c r="Q822" t="s">
        <v>174</v>
      </c>
      <c r="R822" t="s">
        <v>44</v>
      </c>
      <c r="S822" s="3" t="str">
        <f t="shared" si="197"/>
        <v>Furniture</v>
      </c>
      <c r="T822" t="s">
        <v>203</v>
      </c>
      <c r="U822" t="s">
        <v>3768</v>
      </c>
      <c r="V822" t="s">
        <v>66</v>
      </c>
      <c r="W822" s="3" t="str">
        <f t="shared" si="198"/>
        <v>Standard Class</v>
      </c>
      <c r="X822">
        <v>2</v>
      </c>
      <c r="Y822">
        <v>319.57</v>
      </c>
      <c r="Z822">
        <v>0.2</v>
      </c>
      <c r="AA822">
        <f t="shared" si="202"/>
        <v>0.2</v>
      </c>
      <c r="AB822">
        <f t="shared" si="203"/>
        <v>511.31200000000001</v>
      </c>
      <c r="AC822">
        <v>511.31</v>
      </c>
      <c r="AD822">
        <v>436.43</v>
      </c>
      <c r="AE822">
        <v>74.88</v>
      </c>
      <c r="AF822" t="s">
        <v>33</v>
      </c>
      <c r="AG822" t="s">
        <v>34</v>
      </c>
      <c r="AH822" t="str">
        <f t="shared" si="199"/>
        <v>Completed</v>
      </c>
      <c r="AI822" t="str">
        <f t="shared" si="200"/>
        <v>Valid</v>
      </c>
      <c r="AJ822">
        <f t="shared" si="201"/>
        <v>74.88</v>
      </c>
      <c r="AK822" s="12">
        <f t="shared" si="204"/>
        <v>0.14644678787120191</v>
      </c>
      <c r="AL822">
        <f t="shared" si="205"/>
        <v>2</v>
      </c>
      <c r="AM822">
        <f t="shared" si="206"/>
        <v>2025</v>
      </c>
      <c r="AN822" t="str">
        <f t="shared" si="207"/>
        <v>Clean</v>
      </c>
    </row>
    <row r="823" spans="1:40">
      <c r="A823" t="s">
        <v>3769</v>
      </c>
      <c r="B823" s="3" t="s">
        <v>3770</v>
      </c>
      <c r="C823" s="10">
        <v>45476</v>
      </c>
      <c r="D823" s="3" t="s">
        <v>3771</v>
      </c>
      <c r="E823" s="10">
        <v>45479</v>
      </c>
      <c r="F823" s="6" t="str">
        <f t="shared" si="192"/>
        <v>Valid</v>
      </c>
      <c r="G823" s="8">
        <f t="shared" si="193"/>
        <v>3</v>
      </c>
      <c r="H823" s="8" t="str">
        <f t="shared" si="194"/>
        <v>Valid</v>
      </c>
      <c r="I823" t="s">
        <v>3772</v>
      </c>
      <c r="J823" t="s">
        <v>161</v>
      </c>
      <c r="K823" t="s">
        <v>161</v>
      </c>
      <c r="L823" t="s">
        <v>107</v>
      </c>
      <c r="M823" s="3" t="str">
        <f t="shared" si="195"/>
        <v>Corporate</v>
      </c>
      <c r="N823" t="s">
        <v>61</v>
      </c>
      <c r="O823" s="3" t="str">
        <f t="shared" si="196"/>
        <v>South</v>
      </c>
      <c r="P823" t="s">
        <v>228</v>
      </c>
      <c r="Q823" t="s">
        <v>229</v>
      </c>
      <c r="R823" t="s">
        <v>85</v>
      </c>
      <c r="S823" s="3" t="str">
        <f t="shared" si="197"/>
        <v>Technology</v>
      </c>
      <c r="T823" t="s">
        <v>86</v>
      </c>
      <c r="U823" t="s">
        <v>3773</v>
      </c>
      <c r="V823" t="s">
        <v>55</v>
      </c>
      <c r="W823" s="3" t="str">
        <f t="shared" si="198"/>
        <v>First Class</v>
      </c>
      <c r="X823">
        <v>7</v>
      </c>
      <c r="Y823">
        <v>1942.49</v>
      </c>
      <c r="Z823">
        <v>0.2</v>
      </c>
      <c r="AA823">
        <f t="shared" si="202"/>
        <v>0.2</v>
      </c>
      <c r="AB823">
        <f t="shared" si="203"/>
        <v>10877.944000000001</v>
      </c>
      <c r="AC823">
        <v>10877.94</v>
      </c>
      <c r="AD823">
        <v>9110.14</v>
      </c>
      <c r="AE823">
        <v>1767.8</v>
      </c>
      <c r="AF823" t="s">
        <v>33</v>
      </c>
      <c r="AG823" t="s">
        <v>34</v>
      </c>
      <c r="AH823" t="str">
        <f t="shared" si="199"/>
        <v>Completed</v>
      </c>
      <c r="AI823" t="str">
        <f t="shared" si="200"/>
        <v>Valid</v>
      </c>
      <c r="AJ823">
        <f t="shared" si="201"/>
        <v>1767.8000000000011</v>
      </c>
      <c r="AK823" s="12">
        <f t="shared" si="204"/>
        <v>0.16251232769721932</v>
      </c>
      <c r="AL823">
        <f t="shared" si="205"/>
        <v>7</v>
      </c>
      <c r="AM823">
        <f t="shared" si="206"/>
        <v>2024</v>
      </c>
      <c r="AN823" t="str">
        <f t="shared" si="207"/>
        <v>Clean</v>
      </c>
    </row>
    <row r="824" spans="1:40">
      <c r="A824" t="s">
        <v>3774</v>
      </c>
      <c r="B824" s="3" t="s">
        <v>3775</v>
      </c>
      <c r="C824" s="10">
        <v>45577</v>
      </c>
      <c r="D824" s="3" t="s">
        <v>3776</v>
      </c>
      <c r="E824" s="10">
        <v>45573</v>
      </c>
      <c r="F824" s="6" t="str">
        <f t="shared" si="192"/>
        <v>Invalid Shipping Record</v>
      </c>
      <c r="G824" s="8">
        <f t="shared" si="193"/>
        <v>-4</v>
      </c>
      <c r="H824" s="8" t="str">
        <f t="shared" si="194"/>
        <v>Invalid Shipping Record</v>
      </c>
      <c r="I824" t="s">
        <v>3777</v>
      </c>
      <c r="J824" t="s">
        <v>39</v>
      </c>
      <c r="K824" t="s">
        <v>39</v>
      </c>
      <c r="L824" t="s">
        <v>107</v>
      </c>
      <c r="M824" s="3" t="str">
        <f t="shared" si="195"/>
        <v>Corporate</v>
      </c>
      <c r="N824" t="s">
        <v>41</v>
      </c>
      <c r="O824" s="3" t="str">
        <f t="shared" si="196"/>
        <v>East</v>
      </c>
      <c r="P824" t="s">
        <v>215</v>
      </c>
      <c r="Q824" t="s">
        <v>216</v>
      </c>
      <c r="R824" t="s">
        <v>44</v>
      </c>
      <c r="S824" s="3" t="str">
        <f t="shared" si="197"/>
        <v>Furniture</v>
      </c>
      <c r="T824" t="s">
        <v>64</v>
      </c>
      <c r="U824" t="s">
        <v>3778</v>
      </c>
      <c r="V824" t="s">
        <v>32</v>
      </c>
      <c r="W824" s="3" t="str">
        <f t="shared" si="198"/>
        <v>Second Class</v>
      </c>
      <c r="X824">
        <v>4</v>
      </c>
      <c r="Y824">
        <v>3202.04</v>
      </c>
      <c r="Z824">
        <v>0.2</v>
      </c>
      <c r="AA824">
        <f t="shared" si="202"/>
        <v>0.2</v>
      </c>
      <c r="AB824">
        <f t="shared" si="203"/>
        <v>10246.528</v>
      </c>
      <c r="AC824">
        <v>10246.530000000001</v>
      </c>
      <c r="AD824">
        <v>8634.42</v>
      </c>
      <c r="AE824">
        <v>1612.11</v>
      </c>
      <c r="AF824" t="s">
        <v>136</v>
      </c>
      <c r="AG824" t="s">
        <v>124</v>
      </c>
      <c r="AH824" t="str">
        <f t="shared" si="199"/>
        <v>Returned</v>
      </c>
      <c r="AI824" t="str">
        <f t="shared" si="200"/>
        <v>Valid</v>
      </c>
      <c r="AJ824">
        <f t="shared" si="201"/>
        <v>1612.1100000000006</v>
      </c>
      <c r="AK824" s="12">
        <f t="shared" si="204"/>
        <v>0.1573323178348803</v>
      </c>
      <c r="AL824">
        <f t="shared" si="205"/>
        <v>10</v>
      </c>
      <c r="AM824">
        <f t="shared" si="206"/>
        <v>2024</v>
      </c>
      <c r="AN824" t="str">
        <f t="shared" si="207"/>
        <v>Invalid</v>
      </c>
    </row>
    <row r="825" spans="1:40">
      <c r="A825" t="s">
        <v>3779</v>
      </c>
      <c r="B825" s="3" t="s">
        <v>3780</v>
      </c>
      <c r="C825" s="10">
        <v>45663</v>
      </c>
      <c r="D825" s="3" t="s">
        <v>2177</v>
      </c>
      <c r="E825" s="10">
        <v>45669</v>
      </c>
      <c r="F825" s="6" t="str">
        <f t="shared" si="192"/>
        <v>Valid</v>
      </c>
      <c r="G825" s="8">
        <f t="shared" si="193"/>
        <v>6</v>
      </c>
      <c r="H825" s="8" t="str">
        <f t="shared" si="194"/>
        <v>Valid</v>
      </c>
      <c r="I825" t="s">
        <v>3781</v>
      </c>
      <c r="J825" t="s">
        <v>39</v>
      </c>
      <c r="K825" t="s">
        <v>39</v>
      </c>
      <c r="L825" t="s">
        <v>114</v>
      </c>
      <c r="M825" s="3" t="str">
        <f t="shared" si="195"/>
        <v>Home Office</v>
      </c>
      <c r="N825" t="s">
        <v>72</v>
      </c>
      <c r="O825" s="3" t="str">
        <f t="shared" si="196"/>
        <v>West</v>
      </c>
      <c r="P825" t="s">
        <v>248</v>
      </c>
      <c r="Q825" t="s">
        <v>249</v>
      </c>
      <c r="R825" t="s">
        <v>29</v>
      </c>
      <c r="S825" s="3" t="str">
        <f t="shared" si="197"/>
        <v>Office Supplies</v>
      </c>
      <c r="T825" t="s">
        <v>30</v>
      </c>
      <c r="U825" t="s">
        <v>3782</v>
      </c>
      <c r="V825" t="s">
        <v>47</v>
      </c>
      <c r="W825" s="3" t="str">
        <f t="shared" si="198"/>
        <v>Same Day</v>
      </c>
      <c r="X825">
        <v>3</v>
      </c>
      <c r="Y825">
        <v>668.33</v>
      </c>
      <c r="Z825">
        <v>0.15</v>
      </c>
      <c r="AA825">
        <f t="shared" si="202"/>
        <v>0.15</v>
      </c>
      <c r="AB825">
        <f t="shared" si="203"/>
        <v>1704.2415000000001</v>
      </c>
      <c r="AC825">
        <v>1704.24</v>
      </c>
      <c r="AD825">
        <v>957.55</v>
      </c>
      <c r="AE825">
        <v>746.69</v>
      </c>
      <c r="AF825" t="s">
        <v>33</v>
      </c>
      <c r="AG825" t="s">
        <v>34</v>
      </c>
      <c r="AH825" t="str">
        <f t="shared" si="199"/>
        <v>Completed</v>
      </c>
      <c r="AI825" t="str">
        <f t="shared" si="200"/>
        <v>Valid</v>
      </c>
      <c r="AJ825">
        <f t="shared" si="201"/>
        <v>746.69</v>
      </c>
      <c r="AK825" s="12">
        <f t="shared" si="204"/>
        <v>0.43813626179153603</v>
      </c>
      <c r="AL825">
        <f t="shared" si="205"/>
        <v>1</v>
      </c>
      <c r="AM825">
        <f t="shared" si="206"/>
        <v>2025</v>
      </c>
      <c r="AN825" t="str">
        <f t="shared" si="207"/>
        <v>Clean</v>
      </c>
    </row>
    <row r="826" spans="1:40">
      <c r="A826" t="s">
        <v>3783</v>
      </c>
      <c r="B826" s="3" t="s">
        <v>3784</v>
      </c>
      <c r="C826" s="10">
        <v>45737</v>
      </c>
      <c r="D826" s="3" t="s">
        <v>2114</v>
      </c>
      <c r="E826" s="10">
        <v>45738</v>
      </c>
      <c r="F826" s="6" t="str">
        <f t="shared" si="192"/>
        <v>Valid</v>
      </c>
      <c r="G826" s="8">
        <f t="shared" si="193"/>
        <v>1</v>
      </c>
      <c r="H826" s="8" t="str">
        <f t="shared" si="194"/>
        <v>Valid</v>
      </c>
      <c r="I826" t="s">
        <v>3785</v>
      </c>
      <c r="J826" t="s">
        <v>141</v>
      </c>
      <c r="K826" t="s">
        <v>141</v>
      </c>
      <c r="L826" t="s">
        <v>25</v>
      </c>
      <c r="M826" s="3" t="str">
        <f t="shared" si="195"/>
        <v>Consumer</v>
      </c>
      <c r="N826" t="s">
        <v>72</v>
      </c>
      <c r="O826" s="3" t="str">
        <f t="shared" si="196"/>
        <v>West</v>
      </c>
      <c r="P826" t="s">
        <v>248</v>
      </c>
      <c r="Q826" t="s">
        <v>249</v>
      </c>
      <c r="R826" t="s">
        <v>29</v>
      </c>
      <c r="S826" s="3" t="str">
        <f t="shared" si="197"/>
        <v>Office Supplies</v>
      </c>
      <c r="T826" t="s">
        <v>30</v>
      </c>
      <c r="U826" t="s">
        <v>3786</v>
      </c>
      <c r="V826" t="s">
        <v>55</v>
      </c>
      <c r="W826" s="3" t="str">
        <f t="shared" si="198"/>
        <v>First Class</v>
      </c>
      <c r="X826">
        <v>8</v>
      </c>
      <c r="Y826">
        <v>4436.74</v>
      </c>
      <c r="Z826">
        <v>0.05</v>
      </c>
      <c r="AA826">
        <f t="shared" si="202"/>
        <v>0.05</v>
      </c>
      <c r="AB826">
        <f t="shared" si="203"/>
        <v>33719.223999999995</v>
      </c>
      <c r="AC826">
        <v>33719.22</v>
      </c>
      <c r="AD826">
        <v>28924.43</v>
      </c>
      <c r="AE826">
        <v>4794.79</v>
      </c>
      <c r="AF826" t="s">
        <v>33</v>
      </c>
      <c r="AG826" t="s">
        <v>34</v>
      </c>
      <c r="AH826" t="str">
        <f t="shared" si="199"/>
        <v>Completed</v>
      </c>
      <c r="AI826" t="str">
        <f t="shared" si="200"/>
        <v>Valid</v>
      </c>
      <c r="AJ826">
        <f t="shared" si="201"/>
        <v>4794.7900000000009</v>
      </c>
      <c r="AK826" s="12">
        <f t="shared" si="204"/>
        <v>0.14219751913626485</v>
      </c>
      <c r="AL826">
        <f t="shared" si="205"/>
        <v>3</v>
      </c>
      <c r="AM826">
        <f t="shared" si="206"/>
        <v>2025</v>
      </c>
      <c r="AN826" t="str">
        <f t="shared" si="207"/>
        <v>Clean</v>
      </c>
    </row>
    <row r="827" spans="1:40">
      <c r="A827" t="s">
        <v>3787</v>
      </c>
      <c r="B827" s="3" t="s">
        <v>3788</v>
      </c>
      <c r="C827" s="10">
        <v>45763</v>
      </c>
      <c r="D827" s="3" t="s">
        <v>3789</v>
      </c>
      <c r="E827" s="10">
        <v>45764</v>
      </c>
      <c r="F827" s="6" t="str">
        <f t="shared" si="192"/>
        <v>Valid</v>
      </c>
      <c r="G827" s="8">
        <f t="shared" si="193"/>
        <v>1</v>
      </c>
      <c r="H827" s="8" t="str">
        <f t="shared" si="194"/>
        <v>Valid</v>
      </c>
      <c r="I827" t="s">
        <v>3790</v>
      </c>
      <c r="J827" t="s">
        <v>82</v>
      </c>
      <c r="K827" t="s">
        <v>82</v>
      </c>
      <c r="L827" t="s">
        <v>40</v>
      </c>
      <c r="M827" s="3" t="str">
        <f t="shared" si="195"/>
        <v>Small Business</v>
      </c>
      <c r="N827" t="s">
        <v>26</v>
      </c>
      <c r="O827" s="3" t="str">
        <f t="shared" si="196"/>
        <v>North</v>
      </c>
      <c r="P827" t="s">
        <v>173</v>
      </c>
      <c r="Q827" t="s">
        <v>174</v>
      </c>
      <c r="R827" t="s">
        <v>85</v>
      </c>
      <c r="S827" s="3" t="str">
        <f t="shared" si="197"/>
        <v>Technology</v>
      </c>
      <c r="T827" t="s">
        <v>381</v>
      </c>
      <c r="U827" t="s">
        <v>3791</v>
      </c>
      <c r="V827" t="s">
        <v>55</v>
      </c>
      <c r="W827" s="3" t="str">
        <f t="shared" si="198"/>
        <v>First Class</v>
      </c>
      <c r="X827">
        <v>1</v>
      </c>
      <c r="Y827">
        <v>2720.17</v>
      </c>
      <c r="Z827">
        <v>0</v>
      </c>
      <c r="AA827">
        <f t="shared" si="202"/>
        <v>0</v>
      </c>
      <c r="AB827">
        <f t="shared" si="203"/>
        <v>2720.17</v>
      </c>
      <c r="AC827">
        <v>2720.17</v>
      </c>
      <c r="AD827">
        <v>1834.23</v>
      </c>
      <c r="AE827">
        <v>885.94</v>
      </c>
      <c r="AF827" t="s">
        <v>33</v>
      </c>
      <c r="AG827" t="s">
        <v>34</v>
      </c>
      <c r="AH827" t="str">
        <f t="shared" si="199"/>
        <v>Completed</v>
      </c>
      <c r="AI827" t="str">
        <f t="shared" si="200"/>
        <v>Valid</v>
      </c>
      <c r="AJ827">
        <f t="shared" si="201"/>
        <v>885.94</v>
      </c>
      <c r="AK827" s="12">
        <f t="shared" si="204"/>
        <v>0.3256928794891496</v>
      </c>
      <c r="AL827">
        <f t="shared" si="205"/>
        <v>4</v>
      </c>
      <c r="AM827">
        <f t="shared" si="206"/>
        <v>2025</v>
      </c>
      <c r="AN827" t="str">
        <f t="shared" si="207"/>
        <v>Clean</v>
      </c>
    </row>
    <row r="828" spans="1:40">
      <c r="A828" t="s">
        <v>3792</v>
      </c>
      <c r="B828" s="3" t="s">
        <v>3102</v>
      </c>
      <c r="C828" s="10">
        <v>45879</v>
      </c>
      <c r="D828" s="3" t="s">
        <v>3793</v>
      </c>
      <c r="E828" s="10">
        <v>45883</v>
      </c>
      <c r="F828" s="6" t="str">
        <f t="shared" si="192"/>
        <v>Valid</v>
      </c>
      <c r="G828" s="8">
        <f t="shared" si="193"/>
        <v>4</v>
      </c>
      <c r="H828" s="8" t="str">
        <f t="shared" si="194"/>
        <v>Valid</v>
      </c>
      <c r="I828" t="s">
        <v>3794</v>
      </c>
      <c r="J828" t="s">
        <v>106</v>
      </c>
      <c r="K828" t="s">
        <v>106</v>
      </c>
      <c r="L828" t="s">
        <v>25</v>
      </c>
      <c r="M828" s="3" t="str">
        <f t="shared" si="195"/>
        <v>Consumer</v>
      </c>
      <c r="N828" t="s">
        <v>72</v>
      </c>
      <c r="O828" s="3" t="str">
        <f t="shared" si="196"/>
        <v>West</v>
      </c>
      <c r="P828" t="s">
        <v>27</v>
      </c>
      <c r="Q828" t="s">
        <v>134</v>
      </c>
      <c r="R828" t="s">
        <v>85</v>
      </c>
      <c r="S828" s="3" t="str">
        <f t="shared" si="197"/>
        <v>Technology</v>
      </c>
      <c r="T828" t="s">
        <v>86</v>
      </c>
      <c r="U828" t="s">
        <v>3795</v>
      </c>
      <c r="V828" t="s">
        <v>66</v>
      </c>
      <c r="W828" s="3" t="str">
        <f t="shared" si="198"/>
        <v>Standard Class</v>
      </c>
      <c r="X828">
        <v>5</v>
      </c>
      <c r="Y828">
        <v>2190.14</v>
      </c>
      <c r="Z828">
        <v>0.25</v>
      </c>
      <c r="AA828">
        <f t="shared" si="202"/>
        <v>0.25</v>
      </c>
      <c r="AB828">
        <f t="shared" si="203"/>
        <v>8213.0249999999996</v>
      </c>
      <c r="AC828">
        <v>8213.02</v>
      </c>
      <c r="AD828">
        <v>5569.3</v>
      </c>
      <c r="AE828">
        <v>2643.72</v>
      </c>
      <c r="AF828" t="s">
        <v>33</v>
      </c>
      <c r="AG828" t="s">
        <v>34</v>
      </c>
      <c r="AH828" t="str">
        <f t="shared" si="199"/>
        <v>Completed</v>
      </c>
      <c r="AI828" t="str">
        <f t="shared" si="200"/>
        <v>Valid</v>
      </c>
      <c r="AJ828">
        <f t="shared" si="201"/>
        <v>2643.7200000000003</v>
      </c>
      <c r="AK828" s="12">
        <f t="shared" si="204"/>
        <v>0.32189357757951553</v>
      </c>
      <c r="AL828">
        <f t="shared" si="205"/>
        <v>8</v>
      </c>
      <c r="AM828">
        <f t="shared" si="206"/>
        <v>2025</v>
      </c>
      <c r="AN828" t="str">
        <f t="shared" si="207"/>
        <v>Clean</v>
      </c>
    </row>
    <row r="829" spans="1:40">
      <c r="A829" t="s">
        <v>3796</v>
      </c>
      <c r="B829" s="3" t="s">
        <v>3797</v>
      </c>
      <c r="C829" s="10">
        <v>45620</v>
      </c>
      <c r="D829" s="3" t="s">
        <v>1749</v>
      </c>
      <c r="E829" s="10">
        <v>45627</v>
      </c>
      <c r="F829" s="6" t="str">
        <f t="shared" si="192"/>
        <v>Valid</v>
      </c>
      <c r="G829" s="8">
        <f t="shared" si="193"/>
        <v>7</v>
      </c>
      <c r="H829" s="8" t="str">
        <f t="shared" si="194"/>
        <v>Valid</v>
      </c>
      <c r="I829" t="s">
        <v>3798</v>
      </c>
      <c r="J829" t="s">
        <v>141</v>
      </c>
      <c r="K829" t="s">
        <v>141</v>
      </c>
      <c r="L829" t="s">
        <v>114</v>
      </c>
      <c r="M829" s="3" t="str">
        <f t="shared" si="195"/>
        <v>Home Office</v>
      </c>
      <c r="N829" t="s">
        <v>61</v>
      </c>
      <c r="O829" s="3" t="str">
        <f t="shared" si="196"/>
        <v>South</v>
      </c>
      <c r="P829" t="s">
        <v>338</v>
      </c>
      <c r="Q829" t="s">
        <v>339</v>
      </c>
      <c r="R829" t="s">
        <v>29</v>
      </c>
      <c r="S829" s="3" t="str">
        <f t="shared" si="197"/>
        <v>Office Supplies</v>
      </c>
      <c r="T829" t="s">
        <v>30</v>
      </c>
      <c r="U829" t="s">
        <v>3799</v>
      </c>
      <c r="V829" t="s">
        <v>47</v>
      </c>
      <c r="W829" s="3" t="str">
        <f t="shared" si="198"/>
        <v>Same Day</v>
      </c>
      <c r="X829">
        <v>1</v>
      </c>
      <c r="Y829">
        <v>844.89</v>
      </c>
      <c r="Z829">
        <v>0.25</v>
      </c>
      <c r="AA829">
        <f t="shared" si="202"/>
        <v>0.25</v>
      </c>
      <c r="AB829">
        <f t="shared" si="203"/>
        <v>633.66750000000002</v>
      </c>
      <c r="AC829">
        <v>633.66999999999996</v>
      </c>
      <c r="AD829">
        <v>520.47</v>
      </c>
      <c r="AE829">
        <v>113.2</v>
      </c>
      <c r="AF829" t="s">
        <v>33</v>
      </c>
      <c r="AG829" t="s">
        <v>77</v>
      </c>
      <c r="AH829" t="str">
        <f t="shared" si="199"/>
        <v>Cancelled</v>
      </c>
      <c r="AI829" t="str">
        <f t="shared" si="200"/>
        <v>Valid</v>
      </c>
      <c r="AJ829">
        <f t="shared" si="201"/>
        <v>113.19999999999993</v>
      </c>
      <c r="AK829" s="12">
        <f t="shared" si="204"/>
        <v>0.17864258463626417</v>
      </c>
      <c r="AL829">
        <f t="shared" si="205"/>
        <v>11</v>
      </c>
      <c r="AM829">
        <f t="shared" si="206"/>
        <v>2024</v>
      </c>
      <c r="AN829" t="str">
        <f t="shared" si="207"/>
        <v>Clean</v>
      </c>
    </row>
    <row r="830" spans="1:40">
      <c r="A830" t="s">
        <v>3800</v>
      </c>
      <c r="B830" s="3" t="s">
        <v>3801</v>
      </c>
      <c r="C830" s="10">
        <v>45940</v>
      </c>
      <c r="D830" s="3" t="s">
        <v>3802</v>
      </c>
      <c r="E830" s="10">
        <v>45941</v>
      </c>
      <c r="F830" s="6" t="str">
        <f t="shared" si="192"/>
        <v>Valid</v>
      </c>
      <c r="G830" s="8">
        <f t="shared" si="193"/>
        <v>1</v>
      </c>
      <c r="H830" s="8" t="str">
        <f t="shared" si="194"/>
        <v>Valid</v>
      </c>
      <c r="I830" t="s">
        <v>3803</v>
      </c>
      <c r="J830" t="s">
        <v>24</v>
      </c>
      <c r="K830" t="s">
        <v>24</v>
      </c>
      <c r="L830" t="s">
        <v>107</v>
      </c>
      <c r="M830" s="3" t="str">
        <f t="shared" si="195"/>
        <v>Corporate</v>
      </c>
      <c r="N830" t="s">
        <v>41</v>
      </c>
      <c r="O830" s="3" t="str">
        <f t="shared" si="196"/>
        <v>East</v>
      </c>
      <c r="P830" t="s">
        <v>42</v>
      </c>
      <c r="Q830" t="s">
        <v>43</v>
      </c>
      <c r="R830" t="s">
        <v>44</v>
      </c>
      <c r="S830" s="3" t="str">
        <f t="shared" si="197"/>
        <v>Furniture</v>
      </c>
      <c r="T830" t="s">
        <v>75</v>
      </c>
      <c r="U830" t="s">
        <v>3804</v>
      </c>
      <c r="V830" t="s">
        <v>32</v>
      </c>
      <c r="W830" s="3" t="str">
        <f t="shared" si="198"/>
        <v>Second Class</v>
      </c>
      <c r="X830">
        <v>7</v>
      </c>
      <c r="Y830">
        <v>3791.96</v>
      </c>
      <c r="Z830">
        <v>0.05</v>
      </c>
      <c r="AA830">
        <f t="shared" si="202"/>
        <v>0.05</v>
      </c>
      <c r="AB830">
        <f t="shared" si="203"/>
        <v>25216.534</v>
      </c>
      <c r="AC830">
        <v>25216.53</v>
      </c>
      <c r="AD830">
        <v>14216.94</v>
      </c>
      <c r="AE830">
        <v>10999.59</v>
      </c>
      <c r="AF830" t="s">
        <v>199</v>
      </c>
      <c r="AG830" t="s">
        <v>77</v>
      </c>
      <c r="AH830" t="str">
        <f t="shared" si="199"/>
        <v>Cancelled</v>
      </c>
      <c r="AI830" t="str">
        <f t="shared" si="200"/>
        <v>Valid</v>
      </c>
      <c r="AJ830">
        <f t="shared" si="201"/>
        <v>10999.589999999998</v>
      </c>
      <c r="AK830" s="12">
        <f t="shared" si="204"/>
        <v>0.43620546741276967</v>
      </c>
      <c r="AL830">
        <f t="shared" si="205"/>
        <v>10</v>
      </c>
      <c r="AM830">
        <f t="shared" si="206"/>
        <v>2025</v>
      </c>
      <c r="AN830" t="str">
        <f t="shared" si="207"/>
        <v>Clean</v>
      </c>
    </row>
    <row r="831" spans="1:40">
      <c r="A831" t="s">
        <v>3805</v>
      </c>
      <c r="B831" s="3" t="s">
        <v>3806</v>
      </c>
      <c r="C831" s="10">
        <v>45348</v>
      </c>
      <c r="D831" s="3" t="s">
        <v>1473</v>
      </c>
      <c r="E831" s="10">
        <v>45350</v>
      </c>
      <c r="F831" s="6" t="str">
        <f t="shared" si="192"/>
        <v>Valid</v>
      </c>
      <c r="G831" s="8">
        <f t="shared" si="193"/>
        <v>2</v>
      </c>
      <c r="H831" s="8" t="str">
        <f t="shared" si="194"/>
        <v>Valid</v>
      </c>
      <c r="I831" t="s">
        <v>3807</v>
      </c>
      <c r="J831" t="s">
        <v>106</v>
      </c>
      <c r="K831" t="s">
        <v>106</v>
      </c>
      <c r="L831" t="s">
        <v>40</v>
      </c>
      <c r="M831" s="3" t="str">
        <f t="shared" si="195"/>
        <v>Small Business</v>
      </c>
      <c r="N831" t="s">
        <v>72</v>
      </c>
      <c r="O831" s="3" t="str">
        <f t="shared" si="196"/>
        <v>West</v>
      </c>
      <c r="P831" t="s">
        <v>248</v>
      </c>
      <c r="Q831" t="s">
        <v>249</v>
      </c>
      <c r="R831" t="s">
        <v>44</v>
      </c>
      <c r="S831" s="3" t="str">
        <f t="shared" si="197"/>
        <v>Furniture</v>
      </c>
      <c r="T831" t="s">
        <v>64</v>
      </c>
      <c r="U831" t="s">
        <v>3808</v>
      </c>
      <c r="V831" t="s">
        <v>32</v>
      </c>
      <c r="W831" s="3" t="str">
        <f t="shared" si="198"/>
        <v>Second Class</v>
      </c>
      <c r="X831">
        <v>7</v>
      </c>
      <c r="Y831">
        <v>1035.1400000000001</v>
      </c>
      <c r="Z831">
        <v>0.1</v>
      </c>
      <c r="AA831">
        <f t="shared" si="202"/>
        <v>0.1</v>
      </c>
      <c r="AB831">
        <f t="shared" si="203"/>
        <v>6521.3820000000005</v>
      </c>
      <c r="AC831">
        <v>6521.38</v>
      </c>
      <c r="AD831">
        <v>4511.1000000000004</v>
      </c>
      <c r="AE831">
        <v>2010.28</v>
      </c>
      <c r="AF831" t="s">
        <v>33</v>
      </c>
      <c r="AG831" t="s">
        <v>34</v>
      </c>
      <c r="AH831" t="str">
        <f t="shared" si="199"/>
        <v>Completed</v>
      </c>
      <c r="AI831" t="str">
        <f t="shared" si="200"/>
        <v>Valid</v>
      </c>
      <c r="AJ831">
        <f t="shared" si="201"/>
        <v>2010.2799999999997</v>
      </c>
      <c r="AK831" s="12">
        <f t="shared" si="204"/>
        <v>0.30825981364072824</v>
      </c>
      <c r="AL831">
        <f t="shared" si="205"/>
        <v>2</v>
      </c>
      <c r="AM831">
        <f t="shared" si="206"/>
        <v>2024</v>
      </c>
      <c r="AN831" t="str">
        <f t="shared" si="207"/>
        <v>Clean</v>
      </c>
    </row>
    <row r="832" spans="1:40">
      <c r="A832" t="s">
        <v>3809</v>
      </c>
      <c r="B832" s="3" t="s">
        <v>2907</v>
      </c>
      <c r="C832" s="10">
        <v>45853</v>
      </c>
      <c r="D832" s="3" t="s">
        <v>719</v>
      </c>
      <c r="E832" s="10">
        <v>45856</v>
      </c>
      <c r="F832" s="6" t="str">
        <f t="shared" si="192"/>
        <v>Valid</v>
      </c>
      <c r="G832" s="8">
        <f t="shared" si="193"/>
        <v>3</v>
      </c>
      <c r="H832" s="8" t="str">
        <f t="shared" si="194"/>
        <v>Valid</v>
      </c>
      <c r="I832" t="s">
        <v>3810</v>
      </c>
      <c r="J832" t="s">
        <v>106</v>
      </c>
      <c r="K832" t="s">
        <v>106</v>
      </c>
      <c r="L832" t="s">
        <v>40</v>
      </c>
      <c r="M832" s="3" t="str">
        <f t="shared" si="195"/>
        <v>Small Business</v>
      </c>
      <c r="O832" s="3" t="str">
        <f t="shared" si="196"/>
        <v>Unknown</v>
      </c>
      <c r="P832" t="s">
        <v>338</v>
      </c>
      <c r="Q832" t="s">
        <v>339</v>
      </c>
      <c r="R832" t="s">
        <v>85</v>
      </c>
      <c r="S832" s="3" t="str">
        <f t="shared" si="197"/>
        <v>Technology</v>
      </c>
      <c r="T832" t="s">
        <v>381</v>
      </c>
      <c r="U832" t="s">
        <v>3811</v>
      </c>
      <c r="V832" t="s">
        <v>55</v>
      </c>
      <c r="W832" s="3" t="str">
        <f t="shared" si="198"/>
        <v>First Class</v>
      </c>
      <c r="X832">
        <v>6</v>
      </c>
      <c r="Y832">
        <v>2382.88</v>
      </c>
      <c r="Z832">
        <v>0.1</v>
      </c>
      <c r="AA832">
        <f t="shared" si="202"/>
        <v>0.1</v>
      </c>
      <c r="AB832">
        <f t="shared" si="203"/>
        <v>12867.552000000001</v>
      </c>
      <c r="AC832">
        <v>12867.55</v>
      </c>
      <c r="AD832">
        <v>10068.94</v>
      </c>
      <c r="AE832">
        <v>2798.61</v>
      </c>
      <c r="AF832" t="s">
        <v>33</v>
      </c>
      <c r="AG832" t="s">
        <v>34</v>
      </c>
      <c r="AH832" t="str">
        <f t="shared" si="199"/>
        <v>Completed</v>
      </c>
      <c r="AI832" t="str">
        <f t="shared" si="200"/>
        <v>Valid</v>
      </c>
      <c r="AJ832">
        <f t="shared" si="201"/>
        <v>2798.6099999999988</v>
      </c>
      <c r="AK832" s="12">
        <f t="shared" si="204"/>
        <v>0.21749358386117254</v>
      </c>
      <c r="AL832">
        <f t="shared" si="205"/>
        <v>7</v>
      </c>
      <c r="AM832">
        <f t="shared" si="206"/>
        <v>2025</v>
      </c>
      <c r="AN832" t="str">
        <f t="shared" si="207"/>
        <v>Clean</v>
      </c>
    </row>
    <row r="833" spans="1:40">
      <c r="A833" t="s">
        <v>3812</v>
      </c>
      <c r="B833" s="3" t="s">
        <v>468</v>
      </c>
      <c r="C833" s="10">
        <v>45750</v>
      </c>
      <c r="D833" s="3" t="s">
        <v>3254</v>
      </c>
      <c r="E833" s="10">
        <v>45750</v>
      </c>
      <c r="F833" s="6" t="str">
        <f t="shared" si="192"/>
        <v>Valid</v>
      </c>
      <c r="G833" s="8">
        <f t="shared" si="193"/>
        <v>0</v>
      </c>
      <c r="H833" s="8" t="str">
        <f t="shared" si="194"/>
        <v>Valid</v>
      </c>
      <c r="I833" t="s">
        <v>3813</v>
      </c>
      <c r="J833" t="s">
        <v>209</v>
      </c>
      <c r="K833" t="s">
        <v>209</v>
      </c>
      <c r="L833" t="s">
        <v>114</v>
      </c>
      <c r="M833" s="3" t="str">
        <f t="shared" si="195"/>
        <v>Home Office</v>
      </c>
      <c r="O833" s="3" t="str">
        <f t="shared" si="196"/>
        <v>Unknown</v>
      </c>
      <c r="P833" t="s">
        <v>322</v>
      </c>
      <c r="Q833" t="s">
        <v>323</v>
      </c>
      <c r="R833" t="s">
        <v>44</v>
      </c>
      <c r="S833" s="3" t="str">
        <f t="shared" si="197"/>
        <v>Furniture</v>
      </c>
      <c r="T833" t="s">
        <v>75</v>
      </c>
      <c r="U833" t="s">
        <v>3814</v>
      </c>
      <c r="V833" t="s">
        <v>55</v>
      </c>
      <c r="W833" s="3" t="str">
        <f t="shared" si="198"/>
        <v>First Class</v>
      </c>
      <c r="X833">
        <v>9</v>
      </c>
      <c r="Y833">
        <v>3462.7</v>
      </c>
      <c r="Z833">
        <v>0.15</v>
      </c>
      <c r="AA833">
        <f t="shared" si="202"/>
        <v>0.15</v>
      </c>
      <c r="AB833">
        <f t="shared" si="203"/>
        <v>26489.654999999999</v>
      </c>
      <c r="AC833">
        <v>26489.65</v>
      </c>
      <c r="AD833">
        <v>15818.46</v>
      </c>
      <c r="AE833">
        <v>10671.19</v>
      </c>
      <c r="AF833" t="s">
        <v>199</v>
      </c>
      <c r="AG833" t="s">
        <v>124</v>
      </c>
      <c r="AH833" t="str">
        <f t="shared" si="199"/>
        <v>Returned</v>
      </c>
      <c r="AI833" t="str">
        <f t="shared" si="200"/>
        <v>Valid</v>
      </c>
      <c r="AJ833">
        <f t="shared" si="201"/>
        <v>10671.190000000002</v>
      </c>
      <c r="AK833" s="12">
        <f t="shared" si="204"/>
        <v>0.40284367614451766</v>
      </c>
      <c r="AL833">
        <f t="shared" si="205"/>
        <v>4</v>
      </c>
      <c r="AM833">
        <f t="shared" si="206"/>
        <v>2025</v>
      </c>
      <c r="AN833" t="str">
        <f t="shared" si="207"/>
        <v>Clean</v>
      </c>
    </row>
    <row r="834" spans="1:40">
      <c r="A834" t="s">
        <v>3815</v>
      </c>
      <c r="B834" s="3" t="s">
        <v>3816</v>
      </c>
      <c r="C834" s="10">
        <v>45803</v>
      </c>
      <c r="D834" s="3" t="s">
        <v>3817</v>
      </c>
      <c r="E834" s="10">
        <v>45805</v>
      </c>
      <c r="F834" s="6" t="str">
        <f t="shared" ref="F834:F897" si="208">IF(E834&lt;C834,"Invalid Shipping Record","Valid")</f>
        <v>Valid</v>
      </c>
      <c r="G834" s="8">
        <f t="shared" ref="G834:G897" si="209">E834-C834</f>
        <v>2</v>
      </c>
      <c r="H834" s="8" t="str">
        <f t="shared" ref="H834:H897" si="210">IF(OR(C834="",E834=""),"Missing Date",IF(OR(NOT(ISNUMBER(C834)),NOT(ISNUMBER(E834))),"Invalid Date",IF(E834&lt;C834,"Invalid Shipping Record","Valid")))</f>
        <v>Valid</v>
      </c>
      <c r="I834" t="s">
        <v>3818</v>
      </c>
      <c r="J834" t="s">
        <v>365</v>
      </c>
      <c r="K834" t="s">
        <v>365</v>
      </c>
      <c r="L834" t="s">
        <v>40</v>
      </c>
      <c r="M834" s="3" t="str">
        <f t="shared" ref="M834:M897" si="211">PROPER(TRIM(L834))</f>
        <v>Small Business</v>
      </c>
      <c r="N834" t="s">
        <v>61</v>
      </c>
      <c r="O834" s="3" t="str">
        <f t="shared" ref="O834:O897" si="212">IF(TRIM(N834)="","Unknown",PROPER(TRIM(N834)))</f>
        <v>South</v>
      </c>
      <c r="P834" t="s">
        <v>99</v>
      </c>
      <c r="Q834" t="s">
        <v>100</v>
      </c>
      <c r="R834" t="s">
        <v>85</v>
      </c>
      <c r="S834" s="3" t="str">
        <f t="shared" ref="S834:S897" si="213">PROPER(TRIM(R834))</f>
        <v>Technology</v>
      </c>
      <c r="T834" t="s">
        <v>222</v>
      </c>
      <c r="U834" t="s">
        <v>3819</v>
      </c>
      <c r="V834" t="s">
        <v>32</v>
      </c>
      <c r="W834" s="3" t="str">
        <f t="shared" ref="W834:W897" si="214">IF(TRIM(V834)="","Unknown",PROPER(TRIM(V834)))</f>
        <v>Second Class</v>
      </c>
      <c r="X834">
        <v>9</v>
      </c>
      <c r="Y834">
        <v>4302.0200000000004</v>
      </c>
      <c r="Z834">
        <v>0.05</v>
      </c>
      <c r="AA834">
        <f t="shared" si="202"/>
        <v>0.05</v>
      </c>
      <c r="AB834">
        <f t="shared" si="203"/>
        <v>36782.271000000008</v>
      </c>
      <c r="AC834">
        <v>36782.269999999997</v>
      </c>
      <c r="AD834">
        <v>25902.81</v>
      </c>
      <c r="AE834">
        <v>10879.46</v>
      </c>
      <c r="AF834" t="s">
        <v>33</v>
      </c>
      <c r="AG834" t="s">
        <v>34</v>
      </c>
      <c r="AH834" t="str">
        <f t="shared" ref="AH834:AH897" si="215">PROPER(TRIM(AG834))</f>
        <v>Completed</v>
      </c>
      <c r="AI834" t="str">
        <f t="shared" ref="AI834:AI897" si="216">IF(Z834&lt;0,"Invalid - Negative Discount",IF(Z834&gt;1,"Invalid - Discount Above Range","Valid"))</f>
        <v>Valid</v>
      </c>
      <c r="AJ834">
        <f t="shared" ref="AJ834:AJ897" si="217">AC834-AD834</f>
        <v>10879.459999999995</v>
      </c>
      <c r="AK834" s="12">
        <f t="shared" si="204"/>
        <v>0.2957799968359755</v>
      </c>
      <c r="AL834">
        <f t="shared" si="205"/>
        <v>5</v>
      </c>
      <c r="AM834">
        <f t="shared" si="206"/>
        <v>2025</v>
      </c>
      <c r="AN834" t="str">
        <f t="shared" si="207"/>
        <v>Clean</v>
      </c>
    </row>
    <row r="835" spans="1:40">
      <c r="A835" t="s">
        <v>3820</v>
      </c>
      <c r="B835" s="3" t="s">
        <v>3821</v>
      </c>
      <c r="C835" s="10">
        <v>45447</v>
      </c>
      <c r="D835" s="3" t="s">
        <v>3822</v>
      </c>
      <c r="E835" s="10">
        <v>45447</v>
      </c>
      <c r="F835" s="6" t="str">
        <f t="shared" si="208"/>
        <v>Valid</v>
      </c>
      <c r="G835" s="8">
        <f t="shared" si="209"/>
        <v>0</v>
      </c>
      <c r="H835" s="8" t="str">
        <f t="shared" si="210"/>
        <v>Valid</v>
      </c>
      <c r="I835" t="s">
        <v>3823</v>
      </c>
      <c r="J835" t="s">
        <v>147</v>
      </c>
      <c r="K835" t="s">
        <v>147</v>
      </c>
      <c r="L835" t="s">
        <v>114</v>
      </c>
      <c r="M835" s="3" t="str">
        <f t="shared" si="211"/>
        <v>Home Office</v>
      </c>
      <c r="N835" t="s">
        <v>41</v>
      </c>
      <c r="O835" s="3" t="str">
        <f t="shared" si="212"/>
        <v>East</v>
      </c>
      <c r="P835" t="s">
        <v>120</v>
      </c>
      <c r="Q835" t="s">
        <v>121</v>
      </c>
      <c r="R835" t="s">
        <v>44</v>
      </c>
      <c r="S835" s="3" t="str">
        <f t="shared" si="213"/>
        <v>Furniture</v>
      </c>
      <c r="T835" t="s">
        <v>203</v>
      </c>
      <c r="U835" t="s">
        <v>3824</v>
      </c>
      <c r="V835" t="s">
        <v>55</v>
      </c>
      <c r="W835" s="3" t="str">
        <f t="shared" si="214"/>
        <v>First Class</v>
      </c>
      <c r="X835">
        <v>6</v>
      </c>
      <c r="Y835">
        <v>3949.4</v>
      </c>
      <c r="Z835">
        <v>0</v>
      </c>
      <c r="AA835">
        <f t="shared" ref="AA835:AA898" si="218">IF(Z835="",0,Z835)</f>
        <v>0</v>
      </c>
      <c r="AB835">
        <f t="shared" ref="AB835:AB898" si="219">X835*Y835*(1-Z835)</f>
        <v>23696.400000000001</v>
      </c>
      <c r="AC835">
        <v>23696.400000000001</v>
      </c>
      <c r="AD835">
        <v>18109.77</v>
      </c>
      <c r="AE835">
        <v>5586.63</v>
      </c>
      <c r="AF835" t="s">
        <v>33</v>
      </c>
      <c r="AG835" t="s">
        <v>34</v>
      </c>
      <c r="AH835" t="str">
        <f t="shared" si="215"/>
        <v>Completed</v>
      </c>
      <c r="AI835" t="str">
        <f t="shared" si="216"/>
        <v>Valid</v>
      </c>
      <c r="AJ835">
        <f t="shared" si="217"/>
        <v>5586.630000000001</v>
      </c>
      <c r="AK835" s="12">
        <f t="shared" ref="AK835:AK898" si="220">IF(AB835=0,"",AJ835/AB835)</f>
        <v>0.23575859624246723</v>
      </c>
      <c r="AL835">
        <f t="shared" ref="AL835:AL898" si="221">MONTH(C835)</f>
        <v>6</v>
      </c>
      <c r="AM835">
        <f t="shared" ref="AM835:AM898" si="222">YEAR(C835)</f>
        <v>2024</v>
      </c>
      <c r="AN835" t="str">
        <f t="shared" ref="AN835:AN898" si="223">IF(H835="Invalid Shipping Record","Invalid","Clean")</f>
        <v>Clean</v>
      </c>
    </row>
    <row r="836" spans="1:40">
      <c r="A836" t="s">
        <v>3825</v>
      </c>
      <c r="B836" s="3" t="s">
        <v>232</v>
      </c>
      <c r="C836" s="10">
        <v>45583</v>
      </c>
      <c r="D836" s="3" t="s">
        <v>3826</v>
      </c>
      <c r="E836" s="10">
        <v>45587</v>
      </c>
      <c r="F836" s="6" t="str">
        <f t="shared" si="208"/>
        <v>Valid</v>
      </c>
      <c r="G836" s="8">
        <f t="shared" si="209"/>
        <v>4</v>
      </c>
      <c r="H836" s="8" t="str">
        <f t="shared" si="210"/>
        <v>Valid</v>
      </c>
      <c r="I836" t="s">
        <v>3827</v>
      </c>
      <c r="J836" t="s">
        <v>161</v>
      </c>
      <c r="K836" t="s">
        <v>161</v>
      </c>
      <c r="L836" t="s">
        <v>114</v>
      </c>
      <c r="M836" s="3" t="str">
        <f t="shared" si="211"/>
        <v>Home Office</v>
      </c>
      <c r="N836" t="s">
        <v>61</v>
      </c>
      <c r="O836" s="3" t="str">
        <f t="shared" si="212"/>
        <v>South</v>
      </c>
      <c r="P836" t="s">
        <v>62</v>
      </c>
      <c r="Q836" t="s">
        <v>63</v>
      </c>
      <c r="R836" t="s">
        <v>29</v>
      </c>
      <c r="S836" s="3" t="str">
        <f t="shared" si="213"/>
        <v>Office Supplies</v>
      </c>
      <c r="T836" t="s">
        <v>53</v>
      </c>
      <c r="U836" t="s">
        <v>3828</v>
      </c>
      <c r="V836" t="s">
        <v>55</v>
      </c>
      <c r="W836" s="3" t="str">
        <f t="shared" si="214"/>
        <v>First Class</v>
      </c>
      <c r="X836">
        <v>6</v>
      </c>
      <c r="Y836">
        <v>674.61</v>
      </c>
      <c r="Z836">
        <v>0</v>
      </c>
      <c r="AA836">
        <f t="shared" si="218"/>
        <v>0</v>
      </c>
      <c r="AB836">
        <f t="shared" si="219"/>
        <v>4047.66</v>
      </c>
      <c r="AC836">
        <v>4047.66</v>
      </c>
      <c r="AD836">
        <v>3078.93</v>
      </c>
      <c r="AE836">
        <v>1279.79</v>
      </c>
      <c r="AF836" t="s">
        <v>33</v>
      </c>
      <c r="AG836" t="s">
        <v>34</v>
      </c>
      <c r="AH836" t="str">
        <f t="shared" si="215"/>
        <v>Completed</v>
      </c>
      <c r="AI836" t="str">
        <f t="shared" si="216"/>
        <v>Valid</v>
      </c>
      <c r="AJ836">
        <f t="shared" si="217"/>
        <v>968.73</v>
      </c>
      <c r="AK836" s="12">
        <f t="shared" si="220"/>
        <v>0.23933087265234729</v>
      </c>
      <c r="AL836">
        <f t="shared" si="221"/>
        <v>10</v>
      </c>
      <c r="AM836">
        <f t="shared" si="222"/>
        <v>2024</v>
      </c>
      <c r="AN836" t="str">
        <f t="shared" si="223"/>
        <v>Clean</v>
      </c>
    </row>
    <row r="837" spans="1:40">
      <c r="A837" t="s">
        <v>3829</v>
      </c>
      <c r="B837" s="3" t="s">
        <v>2749</v>
      </c>
      <c r="C837" s="10">
        <v>45926</v>
      </c>
      <c r="D837" s="3" t="s">
        <v>954</v>
      </c>
      <c r="E837" s="10">
        <v>45934</v>
      </c>
      <c r="F837" s="6" t="str">
        <f t="shared" si="208"/>
        <v>Valid</v>
      </c>
      <c r="G837" s="8">
        <f t="shared" si="209"/>
        <v>8</v>
      </c>
      <c r="H837" s="8" t="str">
        <f t="shared" si="210"/>
        <v>Valid</v>
      </c>
      <c r="I837" t="s">
        <v>3830</v>
      </c>
      <c r="J837" t="s">
        <v>141</v>
      </c>
      <c r="K837" t="s">
        <v>141</v>
      </c>
      <c r="L837" t="s">
        <v>40</v>
      </c>
      <c r="M837" s="3" t="str">
        <f t="shared" si="211"/>
        <v>Small Business</v>
      </c>
      <c r="N837" t="s">
        <v>41</v>
      </c>
      <c r="O837" s="3" t="str">
        <f t="shared" si="212"/>
        <v>East</v>
      </c>
      <c r="P837" t="s">
        <v>215</v>
      </c>
      <c r="Q837" t="s">
        <v>216</v>
      </c>
      <c r="R837" t="s">
        <v>85</v>
      </c>
      <c r="S837" s="3" t="str">
        <f t="shared" si="213"/>
        <v>Technology</v>
      </c>
      <c r="T837" t="s">
        <v>222</v>
      </c>
      <c r="U837" t="s">
        <v>3831</v>
      </c>
      <c r="V837" t="s">
        <v>32</v>
      </c>
      <c r="W837" s="3" t="str">
        <f t="shared" si="214"/>
        <v>Second Class</v>
      </c>
      <c r="X837">
        <v>7</v>
      </c>
      <c r="Y837">
        <v>1509.59</v>
      </c>
      <c r="Z837">
        <v>0.05</v>
      </c>
      <c r="AA837">
        <f t="shared" si="218"/>
        <v>0.05</v>
      </c>
      <c r="AB837">
        <f t="shared" si="219"/>
        <v>10038.773499999999</v>
      </c>
      <c r="AC837">
        <v>10038.77</v>
      </c>
      <c r="AD837">
        <v>5673.1</v>
      </c>
      <c r="AE837">
        <v>4365.67</v>
      </c>
      <c r="AF837" t="s">
        <v>33</v>
      </c>
      <c r="AG837" t="s">
        <v>34</v>
      </c>
      <c r="AH837" t="str">
        <f t="shared" si="215"/>
        <v>Completed</v>
      </c>
      <c r="AI837" t="str">
        <f t="shared" si="216"/>
        <v>Valid</v>
      </c>
      <c r="AJ837">
        <f t="shared" si="217"/>
        <v>4365.67</v>
      </c>
      <c r="AK837" s="12">
        <f t="shared" si="220"/>
        <v>0.43488081487245434</v>
      </c>
      <c r="AL837">
        <f t="shared" si="221"/>
        <v>9</v>
      </c>
      <c r="AM837">
        <f t="shared" si="222"/>
        <v>2025</v>
      </c>
      <c r="AN837" t="str">
        <f t="shared" si="223"/>
        <v>Clean</v>
      </c>
    </row>
    <row r="838" spans="1:40">
      <c r="A838" t="s">
        <v>3832</v>
      </c>
      <c r="B838" s="3" t="s">
        <v>2461</v>
      </c>
      <c r="C838" s="10">
        <v>45641</v>
      </c>
      <c r="D838" s="3" t="s">
        <v>3833</v>
      </c>
      <c r="E838" s="10">
        <v>45644</v>
      </c>
      <c r="F838" s="6" t="str">
        <f t="shared" si="208"/>
        <v>Valid</v>
      </c>
      <c r="G838" s="8">
        <f t="shared" si="209"/>
        <v>3</v>
      </c>
      <c r="H838" s="8" t="str">
        <f t="shared" si="210"/>
        <v>Valid</v>
      </c>
      <c r="I838" t="s">
        <v>3834</v>
      </c>
      <c r="J838" t="s">
        <v>52</v>
      </c>
      <c r="K838" t="s">
        <v>52</v>
      </c>
      <c r="L838" t="s">
        <v>40</v>
      </c>
      <c r="M838" s="3" t="str">
        <f t="shared" si="211"/>
        <v>Small Business</v>
      </c>
      <c r="N838" t="s">
        <v>26</v>
      </c>
      <c r="O838" s="3" t="str">
        <f t="shared" si="212"/>
        <v>North</v>
      </c>
      <c r="P838" t="s">
        <v>27</v>
      </c>
      <c r="Q838" t="s">
        <v>28</v>
      </c>
      <c r="R838" t="s">
        <v>29</v>
      </c>
      <c r="S838" s="3" t="str">
        <f t="shared" si="213"/>
        <v>Office Supplies</v>
      </c>
      <c r="T838" t="s">
        <v>108</v>
      </c>
      <c r="U838" t="s">
        <v>3835</v>
      </c>
      <c r="V838" t="s">
        <v>32</v>
      </c>
      <c r="W838" s="3" t="str">
        <f t="shared" si="214"/>
        <v>Second Class</v>
      </c>
      <c r="X838">
        <v>2</v>
      </c>
      <c r="Y838">
        <v>537.11</v>
      </c>
      <c r="Z838">
        <v>0</v>
      </c>
      <c r="AA838">
        <f t="shared" si="218"/>
        <v>0</v>
      </c>
      <c r="AB838">
        <f t="shared" si="219"/>
        <v>1074.22</v>
      </c>
      <c r="AC838">
        <v>1074.22</v>
      </c>
      <c r="AD838">
        <v>850.86</v>
      </c>
      <c r="AE838">
        <v>223.36</v>
      </c>
      <c r="AF838" t="s">
        <v>33</v>
      </c>
      <c r="AG838" t="s">
        <v>34</v>
      </c>
      <c r="AH838" t="str">
        <f t="shared" si="215"/>
        <v>Completed</v>
      </c>
      <c r="AI838" t="str">
        <f t="shared" si="216"/>
        <v>Valid</v>
      </c>
      <c r="AJ838">
        <f t="shared" si="217"/>
        <v>223.36</v>
      </c>
      <c r="AK838" s="12">
        <f t="shared" si="220"/>
        <v>0.20792761259332354</v>
      </c>
      <c r="AL838">
        <f t="shared" si="221"/>
        <v>12</v>
      </c>
      <c r="AM838">
        <f t="shared" si="222"/>
        <v>2024</v>
      </c>
      <c r="AN838" t="str">
        <f t="shared" si="223"/>
        <v>Clean</v>
      </c>
    </row>
    <row r="839" spans="1:40">
      <c r="A839" t="s">
        <v>3836</v>
      </c>
      <c r="B839" s="3" t="s">
        <v>497</v>
      </c>
      <c r="C839" s="10">
        <v>45927</v>
      </c>
      <c r="D839" s="3" t="s">
        <v>3837</v>
      </c>
      <c r="E839" s="10">
        <v>45928</v>
      </c>
      <c r="F839" s="6" t="str">
        <f t="shared" si="208"/>
        <v>Valid</v>
      </c>
      <c r="G839" s="8">
        <f t="shared" si="209"/>
        <v>1</v>
      </c>
      <c r="H839" s="8" t="str">
        <f t="shared" si="210"/>
        <v>Valid</v>
      </c>
      <c r="I839" t="s">
        <v>3838</v>
      </c>
      <c r="J839" t="s">
        <v>24</v>
      </c>
      <c r="K839" t="s">
        <v>24</v>
      </c>
      <c r="L839" t="s">
        <v>114</v>
      </c>
      <c r="M839" s="3" t="str">
        <f t="shared" si="211"/>
        <v>Home Office</v>
      </c>
      <c r="N839" t="s">
        <v>72</v>
      </c>
      <c r="O839" s="3" t="str">
        <f t="shared" si="212"/>
        <v>West</v>
      </c>
      <c r="P839" t="s">
        <v>73</v>
      </c>
      <c r="Q839" t="s">
        <v>74</v>
      </c>
      <c r="R839" t="s">
        <v>29</v>
      </c>
      <c r="S839" s="3" t="str">
        <f t="shared" si="213"/>
        <v>Office Supplies</v>
      </c>
      <c r="T839" t="s">
        <v>30</v>
      </c>
      <c r="U839" t="s">
        <v>3839</v>
      </c>
      <c r="V839" t="s">
        <v>55</v>
      </c>
      <c r="W839" s="3" t="str">
        <f t="shared" si="214"/>
        <v>First Class</v>
      </c>
      <c r="X839">
        <v>3</v>
      </c>
      <c r="Y839">
        <v>4177.63</v>
      </c>
      <c r="Z839">
        <v>0.25</v>
      </c>
      <c r="AA839">
        <f t="shared" si="218"/>
        <v>0.25</v>
      </c>
      <c r="AB839">
        <f t="shared" si="219"/>
        <v>9399.6674999999996</v>
      </c>
      <c r="AC839">
        <v>9399.67</v>
      </c>
      <c r="AD839">
        <v>6540.37</v>
      </c>
      <c r="AE839">
        <v>2859.3</v>
      </c>
      <c r="AF839" t="s">
        <v>33</v>
      </c>
      <c r="AG839" t="s">
        <v>34</v>
      </c>
      <c r="AH839" t="str">
        <f t="shared" si="215"/>
        <v>Completed</v>
      </c>
      <c r="AI839" t="str">
        <f t="shared" si="216"/>
        <v>Valid</v>
      </c>
      <c r="AJ839">
        <f t="shared" si="217"/>
        <v>2859.3</v>
      </c>
      <c r="AK839" s="12">
        <f t="shared" si="220"/>
        <v>0.30419161103304987</v>
      </c>
      <c r="AL839">
        <f t="shared" si="221"/>
        <v>9</v>
      </c>
      <c r="AM839">
        <f t="shared" si="222"/>
        <v>2025</v>
      </c>
      <c r="AN839" t="str">
        <f t="shared" si="223"/>
        <v>Clean</v>
      </c>
    </row>
    <row r="840" spans="1:40">
      <c r="A840" t="s">
        <v>3840</v>
      </c>
      <c r="B840" s="3" t="s">
        <v>468</v>
      </c>
      <c r="C840" s="10">
        <v>45750</v>
      </c>
      <c r="D840" s="3" t="s">
        <v>3841</v>
      </c>
      <c r="E840" s="10">
        <v>45754</v>
      </c>
      <c r="F840" s="6" t="str">
        <f t="shared" si="208"/>
        <v>Valid</v>
      </c>
      <c r="G840" s="8">
        <f t="shared" si="209"/>
        <v>4</v>
      </c>
      <c r="H840" s="8" t="str">
        <f t="shared" si="210"/>
        <v>Valid</v>
      </c>
      <c r="I840" t="s">
        <v>3842</v>
      </c>
      <c r="J840" t="s">
        <v>71</v>
      </c>
      <c r="K840" t="s">
        <v>71</v>
      </c>
      <c r="L840" t="s">
        <v>40</v>
      </c>
      <c r="M840" s="3" t="str">
        <f t="shared" si="211"/>
        <v>Small Business</v>
      </c>
      <c r="N840" t="s">
        <v>72</v>
      </c>
      <c r="O840" s="3" t="str">
        <f t="shared" si="212"/>
        <v>West</v>
      </c>
      <c r="P840" t="s">
        <v>248</v>
      </c>
      <c r="Q840" t="s">
        <v>249</v>
      </c>
      <c r="R840" t="s">
        <v>29</v>
      </c>
      <c r="S840" s="3" t="str">
        <f t="shared" si="213"/>
        <v>Office Supplies</v>
      </c>
      <c r="T840" t="s">
        <v>30</v>
      </c>
      <c r="U840" t="s">
        <v>3843</v>
      </c>
      <c r="V840" t="s">
        <v>47</v>
      </c>
      <c r="W840" s="3" t="str">
        <f t="shared" si="214"/>
        <v>Same Day</v>
      </c>
      <c r="X840">
        <v>1</v>
      </c>
      <c r="Y840">
        <v>1470.57</v>
      </c>
      <c r="Z840">
        <v>0</v>
      </c>
      <c r="AA840">
        <f t="shared" si="218"/>
        <v>0</v>
      </c>
      <c r="AB840">
        <f t="shared" si="219"/>
        <v>1470.57</v>
      </c>
      <c r="AC840">
        <v>1470.57</v>
      </c>
      <c r="AD840">
        <v>834.02</v>
      </c>
      <c r="AE840">
        <v>636.54999999999995</v>
      </c>
      <c r="AF840" t="s">
        <v>33</v>
      </c>
      <c r="AG840" t="s">
        <v>124</v>
      </c>
      <c r="AH840" t="str">
        <f t="shared" si="215"/>
        <v>Returned</v>
      </c>
      <c r="AI840" t="str">
        <f t="shared" si="216"/>
        <v>Valid</v>
      </c>
      <c r="AJ840">
        <f t="shared" si="217"/>
        <v>636.54999999999995</v>
      </c>
      <c r="AK840" s="12">
        <f t="shared" si="220"/>
        <v>0.43285936745615644</v>
      </c>
      <c r="AL840">
        <f t="shared" si="221"/>
        <v>4</v>
      </c>
      <c r="AM840">
        <f t="shared" si="222"/>
        <v>2025</v>
      </c>
      <c r="AN840" t="str">
        <f t="shared" si="223"/>
        <v>Clean</v>
      </c>
    </row>
    <row r="841" spans="1:40">
      <c r="A841" t="s">
        <v>3844</v>
      </c>
      <c r="B841" s="3" t="s">
        <v>3845</v>
      </c>
      <c r="C841" s="10">
        <v>45555</v>
      </c>
      <c r="D841" s="3" t="s">
        <v>3846</v>
      </c>
      <c r="E841" s="10">
        <v>45557</v>
      </c>
      <c r="F841" s="6" t="str">
        <f t="shared" si="208"/>
        <v>Valid</v>
      </c>
      <c r="G841" s="8">
        <f t="shared" si="209"/>
        <v>2</v>
      </c>
      <c r="H841" s="8" t="str">
        <f t="shared" si="210"/>
        <v>Valid</v>
      </c>
      <c r="I841" t="s">
        <v>3847</v>
      </c>
      <c r="J841" t="s">
        <v>179</v>
      </c>
      <c r="K841" t="s">
        <v>179</v>
      </c>
      <c r="L841" t="s">
        <v>114</v>
      </c>
      <c r="M841" s="3" t="str">
        <f t="shared" si="211"/>
        <v>Home Office</v>
      </c>
      <c r="N841" t="s">
        <v>41</v>
      </c>
      <c r="O841" s="3" t="str">
        <f t="shared" si="212"/>
        <v>East</v>
      </c>
      <c r="P841" t="s">
        <v>42</v>
      </c>
      <c r="Q841" t="s">
        <v>43</v>
      </c>
      <c r="R841" t="s">
        <v>85</v>
      </c>
      <c r="S841" s="3" t="str">
        <f t="shared" si="213"/>
        <v>Technology</v>
      </c>
      <c r="T841" t="s">
        <v>222</v>
      </c>
      <c r="U841" t="s">
        <v>3848</v>
      </c>
      <c r="V841" t="s">
        <v>66</v>
      </c>
      <c r="W841" s="3" t="str">
        <f t="shared" si="214"/>
        <v>Standard Class</v>
      </c>
      <c r="X841">
        <v>8</v>
      </c>
      <c r="Y841">
        <v>531.42999999999995</v>
      </c>
      <c r="Z841">
        <v>0.1</v>
      </c>
      <c r="AA841">
        <f t="shared" si="218"/>
        <v>0.1</v>
      </c>
      <c r="AB841">
        <f t="shared" si="219"/>
        <v>3826.2959999999998</v>
      </c>
      <c r="AC841">
        <v>3826.3</v>
      </c>
      <c r="AD841">
        <v>2194.12</v>
      </c>
      <c r="AE841">
        <v>1632.18</v>
      </c>
      <c r="AF841" t="s">
        <v>33</v>
      </c>
      <c r="AG841" t="s">
        <v>34</v>
      </c>
      <c r="AH841" t="str">
        <f t="shared" si="215"/>
        <v>Completed</v>
      </c>
      <c r="AI841" t="str">
        <f t="shared" si="216"/>
        <v>Valid</v>
      </c>
      <c r="AJ841">
        <f t="shared" si="217"/>
        <v>1632.1800000000003</v>
      </c>
      <c r="AK841" s="12">
        <f t="shared" si="220"/>
        <v>0.42656919381041097</v>
      </c>
      <c r="AL841">
        <f t="shared" si="221"/>
        <v>9</v>
      </c>
      <c r="AM841">
        <f t="shared" si="222"/>
        <v>2024</v>
      </c>
      <c r="AN841" t="str">
        <f t="shared" si="223"/>
        <v>Clean</v>
      </c>
    </row>
    <row r="842" spans="1:40">
      <c r="A842" t="s">
        <v>3849</v>
      </c>
      <c r="B842" s="3" t="s">
        <v>1897</v>
      </c>
      <c r="C842" s="10">
        <v>45919</v>
      </c>
      <c r="D842" s="3" t="s">
        <v>2196</v>
      </c>
      <c r="E842" s="10">
        <v>45919</v>
      </c>
      <c r="F842" s="6" t="str">
        <f t="shared" si="208"/>
        <v>Valid</v>
      </c>
      <c r="G842" s="8">
        <f t="shared" si="209"/>
        <v>0</v>
      </c>
      <c r="H842" s="8" t="str">
        <f t="shared" si="210"/>
        <v>Valid</v>
      </c>
      <c r="I842" t="s">
        <v>3850</v>
      </c>
      <c r="J842" t="s">
        <v>92</v>
      </c>
      <c r="K842" t="s">
        <v>92</v>
      </c>
      <c r="L842" t="s">
        <v>114</v>
      </c>
      <c r="M842" s="3" t="str">
        <f t="shared" si="211"/>
        <v>Home Office</v>
      </c>
      <c r="N842" t="s">
        <v>26</v>
      </c>
      <c r="O842" s="3" t="str">
        <f t="shared" si="212"/>
        <v>North</v>
      </c>
      <c r="P842" t="s">
        <v>505</v>
      </c>
      <c r="Q842" t="s">
        <v>506</v>
      </c>
      <c r="R842" t="s">
        <v>44</v>
      </c>
      <c r="S842" s="3" t="str">
        <f t="shared" si="213"/>
        <v>Furniture</v>
      </c>
      <c r="T842" t="s">
        <v>75</v>
      </c>
      <c r="U842" t="s">
        <v>3851</v>
      </c>
      <c r="V842" t="s">
        <v>47</v>
      </c>
      <c r="W842" s="3" t="str">
        <f t="shared" si="214"/>
        <v>Same Day</v>
      </c>
      <c r="X842">
        <v>4</v>
      </c>
      <c r="Y842">
        <v>1584.11</v>
      </c>
      <c r="Z842">
        <v>0</v>
      </c>
      <c r="AA842">
        <f t="shared" si="218"/>
        <v>0</v>
      </c>
      <c r="AB842">
        <f t="shared" si="219"/>
        <v>6336.44</v>
      </c>
      <c r="AC842">
        <v>6336.44</v>
      </c>
      <c r="AD842">
        <v>4680.68</v>
      </c>
      <c r="AE842">
        <v>1655.76</v>
      </c>
      <c r="AF842" t="s">
        <v>33</v>
      </c>
      <c r="AG842" t="s">
        <v>34</v>
      </c>
      <c r="AH842" t="str">
        <f t="shared" si="215"/>
        <v>Completed</v>
      </c>
      <c r="AI842" t="str">
        <f t="shared" si="216"/>
        <v>Valid</v>
      </c>
      <c r="AJ842">
        <f t="shared" si="217"/>
        <v>1655.7599999999993</v>
      </c>
      <c r="AK842" s="12">
        <f t="shared" si="220"/>
        <v>0.26130761121386764</v>
      </c>
      <c r="AL842">
        <f t="shared" si="221"/>
        <v>9</v>
      </c>
      <c r="AM842">
        <f t="shared" si="222"/>
        <v>2025</v>
      </c>
      <c r="AN842" t="str">
        <f t="shared" si="223"/>
        <v>Clean</v>
      </c>
    </row>
    <row r="843" spans="1:40">
      <c r="A843" t="s">
        <v>3852</v>
      </c>
      <c r="B843" s="3" t="s">
        <v>3853</v>
      </c>
      <c r="C843" s="10">
        <v>45694</v>
      </c>
      <c r="D843" s="3" t="s">
        <v>3854</v>
      </c>
      <c r="E843" s="10">
        <v>45700</v>
      </c>
      <c r="F843" s="6" t="str">
        <f t="shared" si="208"/>
        <v>Valid</v>
      </c>
      <c r="G843" s="8">
        <f t="shared" si="209"/>
        <v>6</v>
      </c>
      <c r="H843" s="8" t="str">
        <f t="shared" si="210"/>
        <v>Valid</v>
      </c>
      <c r="I843" t="s">
        <v>3855</v>
      </c>
      <c r="J843" t="s">
        <v>71</v>
      </c>
      <c r="K843" t="s">
        <v>71</v>
      </c>
      <c r="L843" t="s">
        <v>40</v>
      </c>
      <c r="M843" s="3" t="str">
        <f t="shared" si="211"/>
        <v>Small Business</v>
      </c>
      <c r="N843" t="s">
        <v>41</v>
      </c>
      <c r="O843" s="3" t="str">
        <f t="shared" si="212"/>
        <v>East</v>
      </c>
      <c r="P843" t="s">
        <v>185</v>
      </c>
      <c r="Q843" t="s">
        <v>186</v>
      </c>
      <c r="R843" t="s">
        <v>29</v>
      </c>
      <c r="S843" s="3" t="str">
        <f t="shared" si="213"/>
        <v>Office Supplies</v>
      </c>
      <c r="T843" t="s">
        <v>53</v>
      </c>
      <c r="U843" t="s">
        <v>3856</v>
      </c>
      <c r="V843" t="s">
        <v>66</v>
      </c>
      <c r="W843" s="3" t="str">
        <f t="shared" si="214"/>
        <v>Standard Class</v>
      </c>
      <c r="X843">
        <v>9</v>
      </c>
      <c r="Y843">
        <v>3237.16</v>
      </c>
      <c r="Z843">
        <v>0.25</v>
      </c>
      <c r="AA843">
        <f t="shared" si="218"/>
        <v>0.25</v>
      </c>
      <c r="AB843">
        <f t="shared" si="219"/>
        <v>21850.829999999998</v>
      </c>
      <c r="AC843">
        <v>21850.83</v>
      </c>
      <c r="AD843">
        <v>16600.13</v>
      </c>
      <c r="AE843">
        <v>5250.7</v>
      </c>
      <c r="AF843" t="s">
        <v>33</v>
      </c>
      <c r="AG843" t="s">
        <v>34</v>
      </c>
      <c r="AH843" t="str">
        <f t="shared" si="215"/>
        <v>Completed</v>
      </c>
      <c r="AI843" t="str">
        <f t="shared" si="216"/>
        <v>Valid</v>
      </c>
      <c r="AJ843">
        <f t="shared" si="217"/>
        <v>5250.7000000000007</v>
      </c>
      <c r="AK843" s="12">
        <f t="shared" si="220"/>
        <v>0.24029750814957607</v>
      </c>
      <c r="AL843">
        <f t="shared" si="221"/>
        <v>2</v>
      </c>
      <c r="AM843">
        <f t="shared" si="222"/>
        <v>2025</v>
      </c>
      <c r="AN843" t="str">
        <f t="shared" si="223"/>
        <v>Clean</v>
      </c>
    </row>
    <row r="844" spans="1:40">
      <c r="A844" t="s">
        <v>3857</v>
      </c>
      <c r="B844" s="3" t="s">
        <v>3858</v>
      </c>
      <c r="C844" s="10">
        <v>45382</v>
      </c>
      <c r="D844" s="3" t="s">
        <v>3859</v>
      </c>
      <c r="E844" s="10">
        <v>45381</v>
      </c>
      <c r="F844" s="6" t="str">
        <f t="shared" si="208"/>
        <v>Invalid Shipping Record</v>
      </c>
      <c r="G844" s="8">
        <f t="shared" si="209"/>
        <v>-1</v>
      </c>
      <c r="H844" s="8" t="str">
        <f t="shared" si="210"/>
        <v>Invalid Shipping Record</v>
      </c>
      <c r="I844" t="s">
        <v>3860</v>
      </c>
      <c r="J844" t="s">
        <v>3861</v>
      </c>
      <c r="K844" t="s">
        <v>3861</v>
      </c>
      <c r="L844" t="s">
        <v>25</v>
      </c>
      <c r="M844" s="3" t="str">
        <f t="shared" si="211"/>
        <v>Consumer</v>
      </c>
      <c r="N844" t="s">
        <v>26</v>
      </c>
      <c r="O844" s="3" t="str">
        <f t="shared" si="212"/>
        <v>North</v>
      </c>
      <c r="P844" t="s">
        <v>322</v>
      </c>
      <c r="Q844" t="s">
        <v>323</v>
      </c>
      <c r="R844" t="s">
        <v>85</v>
      </c>
      <c r="S844" s="3" t="str">
        <f t="shared" si="213"/>
        <v>Technology</v>
      </c>
      <c r="T844" t="s">
        <v>381</v>
      </c>
      <c r="U844" t="s">
        <v>3862</v>
      </c>
      <c r="V844" t="s">
        <v>55</v>
      </c>
      <c r="W844" s="3" t="str">
        <f t="shared" si="214"/>
        <v>First Class</v>
      </c>
      <c r="X844">
        <v>4</v>
      </c>
      <c r="Y844">
        <v>2192.08</v>
      </c>
      <c r="Z844">
        <v>0.15</v>
      </c>
      <c r="AA844">
        <f t="shared" si="218"/>
        <v>0.15</v>
      </c>
      <c r="AB844">
        <f t="shared" si="219"/>
        <v>7453.0719999999992</v>
      </c>
      <c r="AC844">
        <v>7453.07</v>
      </c>
      <c r="AD844">
        <v>5133.78</v>
      </c>
      <c r="AE844">
        <v>2319.29</v>
      </c>
      <c r="AF844" t="s">
        <v>33</v>
      </c>
      <c r="AG844" t="s">
        <v>124</v>
      </c>
      <c r="AH844" t="str">
        <f t="shared" si="215"/>
        <v>Returned</v>
      </c>
      <c r="AI844" t="str">
        <f t="shared" si="216"/>
        <v>Valid</v>
      </c>
      <c r="AJ844">
        <f t="shared" si="217"/>
        <v>2319.29</v>
      </c>
      <c r="AK844" s="12">
        <f t="shared" si="220"/>
        <v>0.31118577681793497</v>
      </c>
      <c r="AL844">
        <f t="shared" si="221"/>
        <v>3</v>
      </c>
      <c r="AM844">
        <f t="shared" si="222"/>
        <v>2024</v>
      </c>
      <c r="AN844" t="str">
        <f t="shared" si="223"/>
        <v>Invalid</v>
      </c>
    </row>
    <row r="845" spans="1:40">
      <c r="A845" t="s">
        <v>3863</v>
      </c>
      <c r="B845" s="3" t="s">
        <v>2699</v>
      </c>
      <c r="C845" s="10">
        <v>45856</v>
      </c>
      <c r="D845" s="3" t="s">
        <v>3864</v>
      </c>
      <c r="E845" s="10">
        <v>45863</v>
      </c>
      <c r="F845" s="6" t="str">
        <f t="shared" si="208"/>
        <v>Valid</v>
      </c>
      <c r="G845" s="8">
        <f t="shared" si="209"/>
        <v>7</v>
      </c>
      <c r="H845" s="8" t="str">
        <f t="shared" si="210"/>
        <v>Valid</v>
      </c>
      <c r="I845" t="s">
        <v>3865</v>
      </c>
      <c r="J845" t="s">
        <v>141</v>
      </c>
      <c r="K845" t="s">
        <v>141</v>
      </c>
      <c r="L845" t="s">
        <v>40</v>
      </c>
      <c r="M845" s="3" t="str">
        <f t="shared" si="211"/>
        <v>Small Business</v>
      </c>
      <c r="N845" t="s">
        <v>26</v>
      </c>
      <c r="O845" s="3" t="str">
        <f t="shared" si="212"/>
        <v>North</v>
      </c>
      <c r="P845" t="s">
        <v>173</v>
      </c>
      <c r="Q845" t="s">
        <v>174</v>
      </c>
      <c r="R845" t="s">
        <v>85</v>
      </c>
      <c r="S845" s="3" t="str">
        <f t="shared" si="213"/>
        <v>Technology</v>
      </c>
      <c r="T845" t="s">
        <v>222</v>
      </c>
      <c r="U845" t="s">
        <v>3866</v>
      </c>
      <c r="V845" t="s">
        <v>55</v>
      </c>
      <c r="W845" s="3" t="str">
        <f t="shared" si="214"/>
        <v>First Class</v>
      </c>
      <c r="X845">
        <v>9</v>
      </c>
      <c r="Y845">
        <v>3989.52</v>
      </c>
      <c r="Z845">
        <v>-0.02</v>
      </c>
      <c r="AA845">
        <f t="shared" si="218"/>
        <v>-0.02</v>
      </c>
      <c r="AB845">
        <f t="shared" si="219"/>
        <v>36623.793600000005</v>
      </c>
      <c r="AC845">
        <v>35905.68</v>
      </c>
      <c r="AD845">
        <v>23916.1</v>
      </c>
      <c r="AE845">
        <v>11989.58</v>
      </c>
      <c r="AF845" t="s">
        <v>33</v>
      </c>
      <c r="AG845" t="s">
        <v>34</v>
      </c>
      <c r="AH845" t="str">
        <f t="shared" si="215"/>
        <v>Completed</v>
      </c>
      <c r="AI845" t="str">
        <f t="shared" si="216"/>
        <v>Invalid - Negative Discount</v>
      </c>
      <c r="AJ845">
        <f t="shared" si="217"/>
        <v>11989.580000000002</v>
      </c>
      <c r="AK845" s="12">
        <f t="shared" si="220"/>
        <v>0.32737132944086927</v>
      </c>
      <c r="AL845">
        <f t="shared" si="221"/>
        <v>7</v>
      </c>
      <c r="AM845">
        <f t="shared" si="222"/>
        <v>2025</v>
      </c>
      <c r="AN845" t="str">
        <f t="shared" si="223"/>
        <v>Clean</v>
      </c>
    </row>
    <row r="846" spans="1:40">
      <c r="A846" t="s">
        <v>3867</v>
      </c>
      <c r="B846" s="3" t="s">
        <v>3868</v>
      </c>
      <c r="C846" s="10">
        <v>45677</v>
      </c>
      <c r="D846" s="3" t="s">
        <v>3869</v>
      </c>
      <c r="E846" s="10">
        <v>45682</v>
      </c>
      <c r="F846" s="6" t="str">
        <f t="shared" si="208"/>
        <v>Valid</v>
      </c>
      <c r="G846" s="8">
        <f t="shared" si="209"/>
        <v>5</v>
      </c>
      <c r="H846" s="8" t="str">
        <f t="shared" si="210"/>
        <v>Valid</v>
      </c>
      <c r="I846" t="s">
        <v>3870</v>
      </c>
      <c r="J846" t="s">
        <v>106</v>
      </c>
      <c r="K846" t="s">
        <v>106</v>
      </c>
      <c r="L846" t="s">
        <v>114</v>
      </c>
      <c r="M846" s="3" t="str">
        <f t="shared" si="211"/>
        <v>Home Office</v>
      </c>
      <c r="N846" t="s">
        <v>72</v>
      </c>
      <c r="O846" s="3" t="str">
        <f t="shared" si="212"/>
        <v>West</v>
      </c>
      <c r="P846" t="s">
        <v>248</v>
      </c>
      <c r="Q846" t="s">
        <v>249</v>
      </c>
      <c r="R846" t="s">
        <v>29</v>
      </c>
      <c r="S846" s="3" t="str">
        <f t="shared" si="213"/>
        <v>Office Supplies</v>
      </c>
      <c r="T846" t="s">
        <v>53</v>
      </c>
      <c r="U846" t="s">
        <v>3871</v>
      </c>
      <c r="V846" t="s">
        <v>55</v>
      </c>
      <c r="W846" s="3" t="str">
        <f t="shared" si="214"/>
        <v>First Class</v>
      </c>
      <c r="X846">
        <v>1</v>
      </c>
      <c r="Y846">
        <v>3515.15</v>
      </c>
      <c r="Z846">
        <v>0</v>
      </c>
      <c r="AA846">
        <f t="shared" si="218"/>
        <v>0</v>
      </c>
      <c r="AB846">
        <f t="shared" si="219"/>
        <v>3515.15</v>
      </c>
      <c r="AC846">
        <v>3515.15</v>
      </c>
      <c r="AD846">
        <v>2216.34</v>
      </c>
      <c r="AE846">
        <v>1298.81</v>
      </c>
      <c r="AF846" t="s">
        <v>33</v>
      </c>
      <c r="AG846" t="s">
        <v>34</v>
      </c>
      <c r="AH846" t="str">
        <f t="shared" si="215"/>
        <v>Completed</v>
      </c>
      <c r="AI846" t="str">
        <f t="shared" si="216"/>
        <v>Valid</v>
      </c>
      <c r="AJ846">
        <f t="shared" si="217"/>
        <v>1298.81</v>
      </c>
      <c r="AK846" s="12">
        <f t="shared" si="220"/>
        <v>0.36948921098672882</v>
      </c>
      <c r="AL846">
        <f t="shared" si="221"/>
        <v>1</v>
      </c>
      <c r="AM846">
        <f t="shared" si="222"/>
        <v>2025</v>
      </c>
      <c r="AN846" t="str">
        <f t="shared" si="223"/>
        <v>Clean</v>
      </c>
    </row>
    <row r="847" spans="1:40">
      <c r="A847" t="s">
        <v>3872</v>
      </c>
      <c r="B847" s="3" t="s">
        <v>2771</v>
      </c>
      <c r="C847" s="10">
        <v>45345</v>
      </c>
      <c r="D847" s="3" t="s">
        <v>3873</v>
      </c>
      <c r="E847" s="10">
        <v>45349</v>
      </c>
      <c r="F847" s="6" t="str">
        <f t="shared" si="208"/>
        <v>Valid</v>
      </c>
      <c r="G847" s="8">
        <f t="shared" si="209"/>
        <v>4</v>
      </c>
      <c r="H847" s="8" t="str">
        <f t="shared" si="210"/>
        <v>Valid</v>
      </c>
      <c r="I847" t="s">
        <v>892</v>
      </c>
      <c r="J847" t="s">
        <v>24</v>
      </c>
      <c r="K847" t="s">
        <v>24</v>
      </c>
      <c r="L847" t="s">
        <v>25</v>
      </c>
      <c r="M847" s="3" t="str">
        <f t="shared" si="211"/>
        <v>Consumer</v>
      </c>
      <c r="N847" t="s">
        <v>41</v>
      </c>
      <c r="O847" s="3" t="str">
        <f t="shared" si="212"/>
        <v>East</v>
      </c>
      <c r="P847" t="s">
        <v>42</v>
      </c>
      <c r="Q847" t="s">
        <v>43</v>
      </c>
      <c r="R847" t="s">
        <v>44</v>
      </c>
      <c r="S847" s="3" t="str">
        <f t="shared" si="213"/>
        <v>Furniture</v>
      </c>
      <c r="T847" t="s">
        <v>45</v>
      </c>
      <c r="U847" t="s">
        <v>3874</v>
      </c>
      <c r="V847" t="s">
        <v>55</v>
      </c>
      <c r="W847" s="3" t="str">
        <f t="shared" si="214"/>
        <v>First Class</v>
      </c>
      <c r="X847">
        <v>9</v>
      </c>
      <c r="Y847">
        <v>3616.23</v>
      </c>
      <c r="Z847">
        <v>0.25</v>
      </c>
      <c r="AA847">
        <f t="shared" si="218"/>
        <v>0.25</v>
      </c>
      <c r="AB847">
        <f t="shared" si="219"/>
        <v>24409.552499999998</v>
      </c>
      <c r="AC847">
        <v>24409.55</v>
      </c>
      <c r="AD847">
        <v>17157.580000000002</v>
      </c>
      <c r="AE847">
        <v>7251.97</v>
      </c>
      <c r="AF847" t="s">
        <v>136</v>
      </c>
      <c r="AG847" t="s">
        <v>124</v>
      </c>
      <c r="AH847" t="str">
        <f t="shared" si="215"/>
        <v>Returned</v>
      </c>
      <c r="AI847" t="str">
        <f t="shared" si="216"/>
        <v>Valid</v>
      </c>
      <c r="AJ847">
        <f t="shared" si="217"/>
        <v>7251.9699999999975</v>
      </c>
      <c r="AK847" s="12">
        <f t="shared" si="220"/>
        <v>0.29709557354646293</v>
      </c>
      <c r="AL847">
        <f t="shared" si="221"/>
        <v>2</v>
      </c>
      <c r="AM847">
        <f t="shared" si="222"/>
        <v>2024</v>
      </c>
      <c r="AN847" t="str">
        <f t="shared" si="223"/>
        <v>Clean</v>
      </c>
    </row>
    <row r="848" spans="1:40">
      <c r="A848" t="s">
        <v>3875</v>
      </c>
      <c r="B848" s="3" t="s">
        <v>3876</v>
      </c>
      <c r="C848" s="10">
        <v>45396</v>
      </c>
      <c r="D848" s="3" t="s">
        <v>3877</v>
      </c>
      <c r="E848" s="10">
        <v>45404</v>
      </c>
      <c r="F848" s="6" t="str">
        <f t="shared" si="208"/>
        <v>Valid</v>
      </c>
      <c r="G848" s="8">
        <f t="shared" si="209"/>
        <v>8</v>
      </c>
      <c r="H848" s="8" t="str">
        <f t="shared" si="210"/>
        <v>Valid</v>
      </c>
      <c r="I848" t="s">
        <v>3878</v>
      </c>
      <c r="J848" t="s">
        <v>141</v>
      </c>
      <c r="K848" t="s">
        <v>141</v>
      </c>
      <c r="L848" t="s">
        <v>40</v>
      </c>
      <c r="M848" s="3" t="str">
        <f t="shared" si="211"/>
        <v>Small Business</v>
      </c>
      <c r="N848" t="s">
        <v>72</v>
      </c>
      <c r="O848" s="3" t="str">
        <f t="shared" si="212"/>
        <v>West</v>
      </c>
      <c r="P848" t="s">
        <v>234</v>
      </c>
      <c r="Q848" t="s">
        <v>235</v>
      </c>
      <c r="R848" t="s">
        <v>44</v>
      </c>
      <c r="S848" s="3" t="str">
        <f t="shared" si="213"/>
        <v>Furniture</v>
      </c>
      <c r="T848" t="s">
        <v>203</v>
      </c>
      <c r="U848" t="s">
        <v>3879</v>
      </c>
      <c r="V848" t="s">
        <v>66</v>
      </c>
      <c r="W848" s="3" t="str">
        <f t="shared" si="214"/>
        <v>Standard Class</v>
      </c>
      <c r="X848">
        <v>2</v>
      </c>
      <c r="Y848">
        <v>3977.52</v>
      </c>
      <c r="Z848">
        <v>0</v>
      </c>
      <c r="AA848">
        <f t="shared" si="218"/>
        <v>0</v>
      </c>
      <c r="AB848">
        <f t="shared" si="219"/>
        <v>7955.04</v>
      </c>
      <c r="AC848">
        <v>7955.04</v>
      </c>
      <c r="AD848">
        <v>5580.68</v>
      </c>
      <c r="AE848">
        <v>2374.36</v>
      </c>
      <c r="AF848" t="s">
        <v>136</v>
      </c>
      <c r="AG848" t="s">
        <v>124</v>
      </c>
      <c r="AH848" t="str">
        <f t="shared" si="215"/>
        <v>Returned</v>
      </c>
      <c r="AI848" t="str">
        <f t="shared" si="216"/>
        <v>Valid</v>
      </c>
      <c r="AJ848">
        <f t="shared" si="217"/>
        <v>2374.3599999999997</v>
      </c>
      <c r="AK848" s="12">
        <f t="shared" si="220"/>
        <v>0.29847241497214339</v>
      </c>
      <c r="AL848">
        <f t="shared" si="221"/>
        <v>4</v>
      </c>
      <c r="AM848">
        <f t="shared" si="222"/>
        <v>2024</v>
      </c>
      <c r="AN848" t="str">
        <f t="shared" si="223"/>
        <v>Clean</v>
      </c>
    </row>
    <row r="849" spans="1:40">
      <c r="A849" t="s">
        <v>3880</v>
      </c>
      <c r="B849" s="3" t="s">
        <v>3881</v>
      </c>
      <c r="C849" s="10">
        <v>45797</v>
      </c>
      <c r="D849" s="3" t="s">
        <v>3882</v>
      </c>
      <c r="E849" s="10">
        <v>45799</v>
      </c>
      <c r="F849" s="6" t="str">
        <f t="shared" si="208"/>
        <v>Valid</v>
      </c>
      <c r="G849" s="8">
        <f t="shared" si="209"/>
        <v>2</v>
      </c>
      <c r="H849" s="8" t="str">
        <f t="shared" si="210"/>
        <v>Valid</v>
      </c>
      <c r="I849" t="s">
        <v>3883</v>
      </c>
      <c r="J849" t="s">
        <v>209</v>
      </c>
      <c r="K849" t="s">
        <v>209</v>
      </c>
      <c r="L849" t="s">
        <v>114</v>
      </c>
      <c r="M849" s="3" t="str">
        <f t="shared" si="211"/>
        <v>Home Office</v>
      </c>
      <c r="N849" t="s">
        <v>41</v>
      </c>
      <c r="O849" s="3" t="str">
        <f t="shared" si="212"/>
        <v>East</v>
      </c>
      <c r="P849" t="s">
        <v>42</v>
      </c>
      <c r="Q849" t="s">
        <v>43</v>
      </c>
      <c r="R849" t="s">
        <v>44</v>
      </c>
      <c r="S849" s="3" t="str">
        <f t="shared" si="213"/>
        <v>Furniture</v>
      </c>
      <c r="T849" t="s">
        <v>45</v>
      </c>
      <c r="U849" t="s">
        <v>3884</v>
      </c>
      <c r="V849" t="s">
        <v>32</v>
      </c>
      <c r="W849" s="3" t="str">
        <f t="shared" si="214"/>
        <v>Second Class</v>
      </c>
      <c r="X849">
        <v>2</v>
      </c>
      <c r="Y849">
        <v>210.08</v>
      </c>
      <c r="Z849">
        <v>0.2</v>
      </c>
      <c r="AA849">
        <f t="shared" si="218"/>
        <v>0.2</v>
      </c>
      <c r="AB849">
        <f t="shared" si="219"/>
        <v>336.12800000000004</v>
      </c>
      <c r="AC849">
        <v>336.13</v>
      </c>
      <c r="AD849">
        <v>242.19</v>
      </c>
      <c r="AE849">
        <v>93.94</v>
      </c>
      <c r="AF849" t="s">
        <v>33</v>
      </c>
      <c r="AG849" t="s">
        <v>34</v>
      </c>
      <c r="AH849" t="str">
        <f t="shared" si="215"/>
        <v>Completed</v>
      </c>
      <c r="AI849" t="str">
        <f t="shared" si="216"/>
        <v>Valid</v>
      </c>
      <c r="AJ849">
        <f t="shared" si="217"/>
        <v>93.94</v>
      </c>
      <c r="AK849" s="12">
        <f t="shared" si="220"/>
        <v>0.27947686595582633</v>
      </c>
      <c r="AL849">
        <f t="shared" si="221"/>
        <v>5</v>
      </c>
      <c r="AM849">
        <f t="shared" si="222"/>
        <v>2025</v>
      </c>
      <c r="AN849" t="str">
        <f t="shared" si="223"/>
        <v>Clean</v>
      </c>
    </row>
    <row r="850" spans="1:40">
      <c r="A850" t="s">
        <v>3885</v>
      </c>
      <c r="B850" s="3" t="s">
        <v>3144</v>
      </c>
      <c r="C850" s="10">
        <v>45804</v>
      </c>
      <c r="D850" s="3" t="s">
        <v>3886</v>
      </c>
      <c r="E850" s="10">
        <v>45806</v>
      </c>
      <c r="F850" s="6" t="str">
        <f t="shared" si="208"/>
        <v>Valid</v>
      </c>
      <c r="G850" s="8">
        <f t="shared" si="209"/>
        <v>2</v>
      </c>
      <c r="H850" s="8" t="str">
        <f t="shared" si="210"/>
        <v>Valid</v>
      </c>
      <c r="I850" t="s">
        <v>3887</v>
      </c>
      <c r="J850" t="s">
        <v>147</v>
      </c>
      <c r="K850" t="s">
        <v>147</v>
      </c>
      <c r="L850" t="s">
        <v>114</v>
      </c>
      <c r="M850" s="3" t="str">
        <f t="shared" si="211"/>
        <v>Home Office</v>
      </c>
      <c r="N850" t="s">
        <v>61</v>
      </c>
      <c r="O850" s="3" t="str">
        <f t="shared" si="212"/>
        <v>South</v>
      </c>
      <c r="P850" t="s">
        <v>338</v>
      </c>
      <c r="Q850" t="s">
        <v>339</v>
      </c>
      <c r="R850" t="s">
        <v>44</v>
      </c>
      <c r="S850" s="3" t="str">
        <f t="shared" si="213"/>
        <v>Furniture</v>
      </c>
      <c r="T850" t="s">
        <v>64</v>
      </c>
      <c r="U850" t="s">
        <v>3888</v>
      </c>
      <c r="V850" t="s">
        <v>32</v>
      </c>
      <c r="W850" s="3" t="str">
        <f t="shared" si="214"/>
        <v>Second Class</v>
      </c>
      <c r="X850">
        <v>1</v>
      </c>
      <c r="Y850">
        <v>1744.35</v>
      </c>
      <c r="Z850">
        <v>0.25</v>
      </c>
      <c r="AA850">
        <f t="shared" si="218"/>
        <v>0.25</v>
      </c>
      <c r="AB850">
        <f t="shared" si="219"/>
        <v>1308.2624999999998</v>
      </c>
      <c r="AC850">
        <v>1308.26</v>
      </c>
      <c r="AD850">
        <v>1083.56</v>
      </c>
      <c r="AE850">
        <v>224.7</v>
      </c>
      <c r="AF850" t="s">
        <v>33</v>
      </c>
      <c r="AG850" t="s">
        <v>34</v>
      </c>
      <c r="AH850" t="str">
        <f t="shared" si="215"/>
        <v>Completed</v>
      </c>
      <c r="AI850" t="str">
        <f t="shared" si="216"/>
        <v>Valid</v>
      </c>
      <c r="AJ850">
        <f t="shared" si="217"/>
        <v>224.70000000000005</v>
      </c>
      <c r="AK850" s="12">
        <f t="shared" si="220"/>
        <v>0.17175452174162301</v>
      </c>
      <c r="AL850">
        <f t="shared" si="221"/>
        <v>5</v>
      </c>
      <c r="AM850">
        <f t="shared" si="222"/>
        <v>2025</v>
      </c>
      <c r="AN850" t="str">
        <f t="shared" si="223"/>
        <v>Clean</v>
      </c>
    </row>
    <row r="851" spans="1:40">
      <c r="A851" t="s">
        <v>3889</v>
      </c>
      <c r="B851" s="3" t="s">
        <v>3890</v>
      </c>
      <c r="C851" s="10">
        <v>45357</v>
      </c>
      <c r="D851" s="3" t="s">
        <v>1070</v>
      </c>
      <c r="E851" s="10">
        <v>45363</v>
      </c>
      <c r="F851" s="6" t="str">
        <f t="shared" si="208"/>
        <v>Valid</v>
      </c>
      <c r="G851" s="8">
        <f t="shared" si="209"/>
        <v>6</v>
      </c>
      <c r="H851" s="8" t="str">
        <f t="shared" si="210"/>
        <v>Valid</v>
      </c>
      <c r="I851" t="s">
        <v>3891</v>
      </c>
      <c r="J851" t="s">
        <v>52</v>
      </c>
      <c r="K851" t="s">
        <v>52</v>
      </c>
      <c r="L851" t="s">
        <v>114</v>
      </c>
      <c r="M851" s="3" t="str">
        <f t="shared" si="211"/>
        <v>Home Office</v>
      </c>
      <c r="N851" t="s">
        <v>72</v>
      </c>
      <c r="O851" s="3" t="str">
        <f t="shared" si="212"/>
        <v>West</v>
      </c>
      <c r="P851" t="s">
        <v>234</v>
      </c>
      <c r="Q851" t="s">
        <v>235</v>
      </c>
      <c r="R851" t="s">
        <v>44</v>
      </c>
      <c r="S851" s="3" t="str">
        <f t="shared" si="213"/>
        <v>Furniture</v>
      </c>
      <c r="T851" t="s">
        <v>203</v>
      </c>
      <c r="U851" t="s">
        <v>3892</v>
      </c>
      <c r="V851" t="s">
        <v>66</v>
      </c>
      <c r="W851" s="3" t="str">
        <f t="shared" si="214"/>
        <v>Standard Class</v>
      </c>
      <c r="X851">
        <v>3</v>
      </c>
      <c r="Y851">
        <v>679.63</v>
      </c>
      <c r="Z851">
        <v>0.2</v>
      </c>
      <c r="AA851">
        <f t="shared" si="218"/>
        <v>0.2</v>
      </c>
      <c r="AB851">
        <f t="shared" si="219"/>
        <v>1631.1120000000001</v>
      </c>
      <c r="AC851">
        <v>1631.11</v>
      </c>
      <c r="AD851">
        <v>898.73</v>
      </c>
      <c r="AE851">
        <v>396.58</v>
      </c>
      <c r="AF851" t="s">
        <v>33</v>
      </c>
      <c r="AG851" t="s">
        <v>34</v>
      </c>
      <c r="AH851" t="str">
        <f t="shared" si="215"/>
        <v>Completed</v>
      </c>
      <c r="AI851" t="str">
        <f t="shared" si="216"/>
        <v>Valid</v>
      </c>
      <c r="AJ851">
        <f t="shared" si="217"/>
        <v>732.37999999999988</v>
      </c>
      <c r="AK851" s="12">
        <f t="shared" si="220"/>
        <v>0.44900656729887334</v>
      </c>
      <c r="AL851">
        <f t="shared" si="221"/>
        <v>3</v>
      </c>
      <c r="AM851">
        <f t="shared" si="222"/>
        <v>2024</v>
      </c>
      <c r="AN851" t="str">
        <f t="shared" si="223"/>
        <v>Clean</v>
      </c>
    </row>
    <row r="852" spans="1:40">
      <c r="A852" t="s">
        <v>3893</v>
      </c>
      <c r="B852" s="3" t="s">
        <v>2103</v>
      </c>
      <c r="C852" s="10">
        <v>45473</v>
      </c>
      <c r="D852" s="3" t="s">
        <v>3770</v>
      </c>
      <c r="E852" s="10">
        <v>45476</v>
      </c>
      <c r="F852" s="6" t="str">
        <f t="shared" si="208"/>
        <v>Valid</v>
      </c>
      <c r="G852" s="8">
        <f t="shared" si="209"/>
        <v>3</v>
      </c>
      <c r="H852" s="8" t="str">
        <f t="shared" si="210"/>
        <v>Valid</v>
      </c>
      <c r="I852" t="s">
        <v>3894</v>
      </c>
      <c r="J852" t="s">
        <v>141</v>
      </c>
      <c r="K852" t="s">
        <v>141</v>
      </c>
      <c r="L852" t="s">
        <v>114</v>
      </c>
      <c r="M852" s="3" t="str">
        <f t="shared" si="211"/>
        <v>Home Office</v>
      </c>
      <c r="N852" t="s">
        <v>41</v>
      </c>
      <c r="O852" s="3" t="str">
        <f t="shared" si="212"/>
        <v>East</v>
      </c>
      <c r="P852" t="s">
        <v>120</v>
      </c>
      <c r="Q852" t="s">
        <v>121</v>
      </c>
      <c r="R852" t="s">
        <v>29</v>
      </c>
      <c r="S852" s="3" t="str">
        <f t="shared" si="213"/>
        <v>Office Supplies</v>
      </c>
      <c r="T852" t="s">
        <v>30</v>
      </c>
      <c r="U852" t="s">
        <v>3895</v>
      </c>
      <c r="V852" t="s">
        <v>55</v>
      </c>
      <c r="W852" s="3" t="str">
        <f t="shared" si="214"/>
        <v>First Class</v>
      </c>
      <c r="X852">
        <v>6</v>
      </c>
      <c r="Y852">
        <v>1211.01</v>
      </c>
      <c r="Z852">
        <v>0</v>
      </c>
      <c r="AA852">
        <f t="shared" si="218"/>
        <v>0</v>
      </c>
      <c r="AB852">
        <f t="shared" si="219"/>
        <v>7266.0599999999995</v>
      </c>
      <c r="AC852">
        <v>7266.06</v>
      </c>
      <c r="AD852">
        <v>6216.89</v>
      </c>
      <c r="AE852">
        <v>1049.17</v>
      </c>
      <c r="AF852" t="s">
        <v>33</v>
      </c>
      <c r="AG852" t="s">
        <v>34</v>
      </c>
      <c r="AH852" t="str">
        <f t="shared" si="215"/>
        <v>Completed</v>
      </c>
      <c r="AI852" t="str">
        <f t="shared" si="216"/>
        <v>Valid</v>
      </c>
      <c r="AJ852">
        <f t="shared" si="217"/>
        <v>1049.17</v>
      </c>
      <c r="AK852" s="12">
        <f t="shared" si="220"/>
        <v>0.14439324750965449</v>
      </c>
      <c r="AL852">
        <f t="shared" si="221"/>
        <v>6</v>
      </c>
      <c r="AM852">
        <f t="shared" si="222"/>
        <v>2024</v>
      </c>
      <c r="AN852" t="str">
        <f t="shared" si="223"/>
        <v>Clean</v>
      </c>
    </row>
    <row r="853" spans="1:40">
      <c r="A853" t="s">
        <v>3896</v>
      </c>
      <c r="B853" s="3" t="s">
        <v>805</v>
      </c>
      <c r="C853" s="10">
        <v>45377</v>
      </c>
      <c r="D853" s="3" t="s">
        <v>3153</v>
      </c>
      <c r="E853" s="10">
        <v>45383</v>
      </c>
      <c r="F853" s="6" t="str">
        <f t="shared" si="208"/>
        <v>Valid</v>
      </c>
      <c r="G853" s="8">
        <f t="shared" si="209"/>
        <v>6</v>
      </c>
      <c r="H853" s="8" t="str">
        <f t="shared" si="210"/>
        <v>Valid</v>
      </c>
      <c r="I853" t="s">
        <v>3897</v>
      </c>
      <c r="J853" t="s">
        <v>24</v>
      </c>
      <c r="K853" t="s">
        <v>24</v>
      </c>
      <c r="L853" t="s">
        <v>40</v>
      </c>
      <c r="M853" s="3" t="str">
        <f t="shared" si="211"/>
        <v>Small Business</v>
      </c>
      <c r="N853" t="s">
        <v>72</v>
      </c>
      <c r="O853" s="3" t="str">
        <f t="shared" si="212"/>
        <v>West</v>
      </c>
      <c r="P853" t="s">
        <v>234</v>
      </c>
      <c r="Q853" t="s">
        <v>235</v>
      </c>
      <c r="R853" t="s">
        <v>85</v>
      </c>
      <c r="S853" s="3" t="str">
        <f t="shared" si="213"/>
        <v>Technology</v>
      </c>
      <c r="T853" t="s">
        <v>86</v>
      </c>
      <c r="U853" t="s">
        <v>3898</v>
      </c>
      <c r="V853" t="s">
        <v>55</v>
      </c>
      <c r="W853" s="3" t="str">
        <f t="shared" si="214"/>
        <v>First Class</v>
      </c>
      <c r="X853">
        <v>2</v>
      </c>
      <c r="Y853">
        <v>1161.3</v>
      </c>
      <c r="Z853">
        <v>0.2</v>
      </c>
      <c r="AA853">
        <f t="shared" si="218"/>
        <v>0.2</v>
      </c>
      <c r="AB853">
        <f t="shared" si="219"/>
        <v>1858.08</v>
      </c>
      <c r="AC853">
        <v>1858.08</v>
      </c>
      <c r="AD853">
        <v>1590.75</v>
      </c>
      <c r="AE853">
        <v>267.33</v>
      </c>
      <c r="AF853" t="s">
        <v>33</v>
      </c>
      <c r="AG853" t="s">
        <v>34</v>
      </c>
      <c r="AH853" t="str">
        <f t="shared" si="215"/>
        <v>Completed</v>
      </c>
      <c r="AI853" t="str">
        <f t="shared" si="216"/>
        <v>Valid</v>
      </c>
      <c r="AJ853">
        <f t="shared" si="217"/>
        <v>267.32999999999993</v>
      </c>
      <c r="AK853" s="12">
        <f t="shared" si="220"/>
        <v>0.14387432188065097</v>
      </c>
      <c r="AL853">
        <f t="shared" si="221"/>
        <v>3</v>
      </c>
      <c r="AM853">
        <f t="shared" si="222"/>
        <v>2024</v>
      </c>
      <c r="AN853" t="str">
        <f t="shared" si="223"/>
        <v>Clean</v>
      </c>
    </row>
    <row r="854" spans="1:40">
      <c r="A854" t="s">
        <v>3899</v>
      </c>
      <c r="B854" s="3" t="s">
        <v>3900</v>
      </c>
      <c r="C854" s="10">
        <v>45383</v>
      </c>
      <c r="D854" s="3" t="s">
        <v>3723</v>
      </c>
      <c r="E854" s="10">
        <v>45390</v>
      </c>
      <c r="F854" s="6" t="str">
        <f t="shared" si="208"/>
        <v>Valid</v>
      </c>
      <c r="G854" s="8">
        <f t="shared" si="209"/>
        <v>7</v>
      </c>
      <c r="H854" s="8" t="str">
        <f t="shared" si="210"/>
        <v>Valid</v>
      </c>
      <c r="I854" t="s">
        <v>3901</v>
      </c>
      <c r="J854" t="s">
        <v>71</v>
      </c>
      <c r="K854" t="s">
        <v>71</v>
      </c>
      <c r="L854" t="s">
        <v>25</v>
      </c>
      <c r="M854" s="3" t="str">
        <f t="shared" si="211"/>
        <v>Consumer</v>
      </c>
      <c r="N854" t="s">
        <v>41</v>
      </c>
      <c r="O854" s="3" t="str">
        <f t="shared" si="212"/>
        <v>East</v>
      </c>
      <c r="P854" t="s">
        <v>215</v>
      </c>
      <c r="Q854" t="s">
        <v>216</v>
      </c>
      <c r="R854" t="s">
        <v>44</v>
      </c>
      <c r="S854" s="3" t="str">
        <f t="shared" si="213"/>
        <v>Furniture</v>
      </c>
      <c r="T854" t="s">
        <v>45</v>
      </c>
      <c r="U854" t="s">
        <v>3902</v>
      </c>
      <c r="V854" t="s">
        <v>32</v>
      </c>
      <c r="W854" s="3" t="str">
        <f t="shared" si="214"/>
        <v>Second Class</v>
      </c>
      <c r="X854">
        <v>7</v>
      </c>
      <c r="Y854">
        <v>4205.3500000000004</v>
      </c>
      <c r="Z854">
        <v>0.15</v>
      </c>
      <c r="AA854">
        <f t="shared" si="218"/>
        <v>0.15</v>
      </c>
      <c r="AB854">
        <f t="shared" si="219"/>
        <v>25021.832500000004</v>
      </c>
      <c r="AC854">
        <v>25021.83</v>
      </c>
      <c r="AD854">
        <v>15544.44</v>
      </c>
      <c r="AE854">
        <v>9477.39</v>
      </c>
      <c r="AF854" t="s">
        <v>136</v>
      </c>
      <c r="AG854" t="s">
        <v>77</v>
      </c>
      <c r="AH854" t="str">
        <f t="shared" si="215"/>
        <v>Cancelled</v>
      </c>
      <c r="AI854" t="str">
        <f t="shared" si="216"/>
        <v>Valid</v>
      </c>
      <c r="AJ854">
        <f t="shared" si="217"/>
        <v>9477.3900000000012</v>
      </c>
      <c r="AK854" s="12">
        <f t="shared" si="220"/>
        <v>0.37876482467860817</v>
      </c>
      <c r="AL854">
        <f t="shared" si="221"/>
        <v>4</v>
      </c>
      <c r="AM854">
        <f t="shared" si="222"/>
        <v>2024</v>
      </c>
      <c r="AN854" t="str">
        <f t="shared" si="223"/>
        <v>Clean</v>
      </c>
    </row>
    <row r="855" spans="1:40">
      <c r="A855" t="s">
        <v>3903</v>
      </c>
      <c r="B855" s="3" t="s">
        <v>3904</v>
      </c>
      <c r="C855" s="10">
        <v>45793</v>
      </c>
      <c r="D855" s="3" t="s">
        <v>3882</v>
      </c>
      <c r="E855" s="10">
        <v>45799</v>
      </c>
      <c r="F855" s="6" t="str">
        <f t="shared" si="208"/>
        <v>Valid</v>
      </c>
      <c r="G855" s="8">
        <f t="shared" si="209"/>
        <v>6</v>
      </c>
      <c r="H855" s="8" t="str">
        <f t="shared" si="210"/>
        <v>Valid</v>
      </c>
      <c r="I855" t="s">
        <v>3905</v>
      </c>
      <c r="J855" t="s">
        <v>60</v>
      </c>
      <c r="K855" t="s">
        <v>60</v>
      </c>
      <c r="L855" t="s">
        <v>107</v>
      </c>
      <c r="M855" s="3" t="str">
        <f t="shared" si="211"/>
        <v>Corporate</v>
      </c>
      <c r="N855" t="s">
        <v>61</v>
      </c>
      <c r="O855" s="3" t="str">
        <f t="shared" si="212"/>
        <v>South</v>
      </c>
      <c r="P855" t="s">
        <v>338</v>
      </c>
      <c r="Q855" t="s">
        <v>339</v>
      </c>
      <c r="R855" t="s">
        <v>85</v>
      </c>
      <c r="S855" s="3" t="str">
        <f t="shared" si="213"/>
        <v>Technology</v>
      </c>
      <c r="T855" t="s">
        <v>86</v>
      </c>
      <c r="U855" t="s">
        <v>3906</v>
      </c>
      <c r="V855" t="s">
        <v>47</v>
      </c>
      <c r="W855" s="3" t="str">
        <f t="shared" si="214"/>
        <v>Same Day</v>
      </c>
      <c r="X855">
        <v>8</v>
      </c>
      <c r="Y855">
        <v>579.79999999999995</v>
      </c>
      <c r="Z855">
        <v>0.2</v>
      </c>
      <c r="AA855">
        <f t="shared" si="218"/>
        <v>0.2</v>
      </c>
      <c r="AB855">
        <f t="shared" si="219"/>
        <v>3710.72</v>
      </c>
      <c r="AC855">
        <v>3710.72</v>
      </c>
      <c r="AD855">
        <v>3115.29</v>
      </c>
      <c r="AE855">
        <v>595.42999999999995</v>
      </c>
      <c r="AF855" t="s">
        <v>33</v>
      </c>
      <c r="AG855" t="s">
        <v>34</v>
      </c>
      <c r="AH855" t="str">
        <f t="shared" si="215"/>
        <v>Completed</v>
      </c>
      <c r="AI855" t="str">
        <f t="shared" si="216"/>
        <v>Valid</v>
      </c>
      <c r="AJ855">
        <f t="shared" si="217"/>
        <v>595.42999999999984</v>
      </c>
      <c r="AK855" s="12">
        <f t="shared" si="220"/>
        <v>0.16046212055881334</v>
      </c>
      <c r="AL855">
        <f t="shared" si="221"/>
        <v>5</v>
      </c>
      <c r="AM855">
        <f t="shared" si="222"/>
        <v>2025</v>
      </c>
      <c r="AN855" t="str">
        <f t="shared" si="223"/>
        <v>Clean</v>
      </c>
    </row>
    <row r="856" spans="1:40">
      <c r="A856" t="s">
        <v>3907</v>
      </c>
      <c r="B856" s="3" t="s">
        <v>3908</v>
      </c>
      <c r="C856" s="10">
        <v>45741</v>
      </c>
      <c r="D856" s="3" t="s">
        <v>3909</v>
      </c>
      <c r="E856" s="10">
        <v>45749</v>
      </c>
      <c r="F856" s="6" t="str">
        <f t="shared" si="208"/>
        <v>Valid</v>
      </c>
      <c r="G856" s="8">
        <f t="shared" si="209"/>
        <v>8</v>
      </c>
      <c r="H856" s="8" t="str">
        <f t="shared" si="210"/>
        <v>Valid</v>
      </c>
      <c r="I856" t="s">
        <v>3910</v>
      </c>
      <c r="J856" t="s">
        <v>141</v>
      </c>
      <c r="K856" t="s">
        <v>141</v>
      </c>
      <c r="L856" t="s">
        <v>25</v>
      </c>
      <c r="M856" s="3" t="str">
        <f t="shared" si="211"/>
        <v>Consumer</v>
      </c>
      <c r="N856" t="s">
        <v>61</v>
      </c>
      <c r="O856" s="3" t="str">
        <f t="shared" si="212"/>
        <v>South</v>
      </c>
      <c r="P856" t="s">
        <v>228</v>
      </c>
      <c r="Q856" t="s">
        <v>229</v>
      </c>
      <c r="R856" t="s">
        <v>44</v>
      </c>
      <c r="S856" s="3" t="str">
        <f t="shared" si="213"/>
        <v>Furniture</v>
      </c>
      <c r="T856" t="s">
        <v>203</v>
      </c>
      <c r="U856" t="s">
        <v>3911</v>
      </c>
      <c r="V856" t="s">
        <v>32</v>
      </c>
      <c r="W856" s="3" t="str">
        <f t="shared" si="214"/>
        <v>Second Class</v>
      </c>
      <c r="X856">
        <v>4</v>
      </c>
      <c r="Y856">
        <v>2233.64</v>
      </c>
      <c r="Z856">
        <v>0.05</v>
      </c>
      <c r="AA856">
        <f t="shared" si="218"/>
        <v>0.05</v>
      </c>
      <c r="AB856">
        <f t="shared" si="219"/>
        <v>8487.8319999999985</v>
      </c>
      <c r="AC856">
        <v>8487.83</v>
      </c>
      <c r="AD856">
        <v>5245.72</v>
      </c>
      <c r="AE856">
        <v>3242.11</v>
      </c>
      <c r="AF856" t="s">
        <v>33</v>
      </c>
      <c r="AG856" t="s">
        <v>34</v>
      </c>
      <c r="AH856" t="str">
        <f t="shared" si="215"/>
        <v>Completed</v>
      </c>
      <c r="AI856" t="str">
        <f t="shared" si="216"/>
        <v>Valid</v>
      </c>
      <c r="AJ856">
        <f t="shared" si="217"/>
        <v>3242.1099999999997</v>
      </c>
      <c r="AK856" s="12">
        <f t="shared" si="220"/>
        <v>0.38197150933241847</v>
      </c>
      <c r="AL856">
        <f t="shared" si="221"/>
        <v>3</v>
      </c>
      <c r="AM856">
        <f t="shared" si="222"/>
        <v>2025</v>
      </c>
      <c r="AN856" t="str">
        <f t="shared" si="223"/>
        <v>Clean</v>
      </c>
    </row>
    <row r="857" spans="1:40">
      <c r="A857" t="s">
        <v>3912</v>
      </c>
      <c r="B857" s="3" t="s">
        <v>737</v>
      </c>
      <c r="C857" s="10">
        <v>45498</v>
      </c>
      <c r="D857" s="3" t="s">
        <v>3913</v>
      </c>
      <c r="E857" s="10">
        <v>45506</v>
      </c>
      <c r="F857" s="6" t="str">
        <f t="shared" si="208"/>
        <v>Valid</v>
      </c>
      <c r="G857" s="8">
        <f t="shared" si="209"/>
        <v>8</v>
      </c>
      <c r="H857" s="8" t="str">
        <f t="shared" si="210"/>
        <v>Valid</v>
      </c>
      <c r="I857" t="s">
        <v>1715</v>
      </c>
      <c r="J857" t="s">
        <v>147</v>
      </c>
      <c r="K857" t="s">
        <v>147</v>
      </c>
      <c r="L857" t="s">
        <v>25</v>
      </c>
      <c r="M857" s="3" t="str">
        <f t="shared" si="211"/>
        <v>Consumer</v>
      </c>
      <c r="N857" t="s">
        <v>26</v>
      </c>
      <c r="O857" s="3" t="str">
        <f t="shared" si="212"/>
        <v>North</v>
      </c>
      <c r="P857" t="s">
        <v>27</v>
      </c>
      <c r="Q857" t="s">
        <v>28</v>
      </c>
      <c r="R857" t="s">
        <v>29</v>
      </c>
      <c r="S857" s="3" t="str">
        <f t="shared" si="213"/>
        <v>Office Supplies</v>
      </c>
      <c r="T857" t="s">
        <v>3914</v>
      </c>
      <c r="U857" t="s">
        <v>3915</v>
      </c>
      <c r="V857" t="s">
        <v>32</v>
      </c>
      <c r="W857" s="3" t="str">
        <f t="shared" si="214"/>
        <v>Second Class</v>
      </c>
      <c r="X857">
        <v>2</v>
      </c>
      <c r="Y857">
        <v>2073.5300000000002</v>
      </c>
      <c r="Z857">
        <v>0.25</v>
      </c>
      <c r="AA857">
        <f t="shared" si="218"/>
        <v>0.25</v>
      </c>
      <c r="AB857">
        <f t="shared" si="219"/>
        <v>3110.2950000000001</v>
      </c>
      <c r="AC857">
        <v>3110.3</v>
      </c>
      <c r="AD857">
        <v>2101.0300000000002</v>
      </c>
      <c r="AE857">
        <v>1009.27</v>
      </c>
      <c r="AF857" t="s">
        <v>33</v>
      </c>
      <c r="AG857" t="s">
        <v>34</v>
      </c>
      <c r="AH857" t="str">
        <f t="shared" si="215"/>
        <v>Completed</v>
      </c>
      <c r="AI857" t="str">
        <f t="shared" si="216"/>
        <v>Valid</v>
      </c>
      <c r="AJ857">
        <f t="shared" si="217"/>
        <v>1009.27</v>
      </c>
      <c r="AK857" s="12">
        <f t="shared" si="220"/>
        <v>0.32449333584113405</v>
      </c>
      <c r="AL857">
        <f t="shared" si="221"/>
        <v>7</v>
      </c>
      <c r="AM857">
        <f t="shared" si="222"/>
        <v>2024</v>
      </c>
      <c r="AN857" t="str">
        <f t="shared" si="223"/>
        <v>Clean</v>
      </c>
    </row>
    <row r="858" spans="1:40">
      <c r="A858" t="s">
        <v>3916</v>
      </c>
      <c r="B858" s="3" t="s">
        <v>3917</v>
      </c>
      <c r="C858" s="10">
        <v>45455</v>
      </c>
      <c r="D858" s="3" t="s">
        <v>689</v>
      </c>
      <c r="E858" s="10">
        <v>45462</v>
      </c>
      <c r="F858" s="6" t="str">
        <f t="shared" si="208"/>
        <v>Valid</v>
      </c>
      <c r="G858" s="8">
        <f t="shared" si="209"/>
        <v>7</v>
      </c>
      <c r="H858" s="8" t="str">
        <f t="shared" si="210"/>
        <v>Valid</v>
      </c>
      <c r="I858" t="s">
        <v>1978</v>
      </c>
      <c r="J858" t="s">
        <v>179</v>
      </c>
      <c r="K858" t="s">
        <v>179</v>
      </c>
      <c r="L858" t="s">
        <v>114</v>
      </c>
      <c r="M858" s="3" t="str">
        <f t="shared" si="211"/>
        <v>Home Office</v>
      </c>
      <c r="N858" t="s">
        <v>61</v>
      </c>
      <c r="O858" s="3" t="str">
        <f t="shared" si="212"/>
        <v>South</v>
      </c>
      <c r="P858" t="s">
        <v>338</v>
      </c>
      <c r="Q858" t="s">
        <v>339</v>
      </c>
      <c r="R858" t="s">
        <v>29</v>
      </c>
      <c r="S858" s="3" t="str">
        <f t="shared" si="213"/>
        <v>Office Supplies</v>
      </c>
      <c r="T858" t="s">
        <v>155</v>
      </c>
      <c r="U858" t="s">
        <v>3918</v>
      </c>
      <c r="V858" t="s">
        <v>66</v>
      </c>
      <c r="W858" s="3" t="str">
        <f t="shared" si="214"/>
        <v>Standard Class</v>
      </c>
      <c r="X858">
        <v>4</v>
      </c>
      <c r="Y858">
        <v>395.1</v>
      </c>
      <c r="Z858">
        <v>-0.16</v>
      </c>
      <c r="AA858">
        <f t="shared" si="218"/>
        <v>-0.16</v>
      </c>
      <c r="AB858">
        <f t="shared" si="219"/>
        <v>1833.2639999999999</v>
      </c>
      <c r="AC858">
        <v>1185.3</v>
      </c>
      <c r="AD858">
        <v>966.55</v>
      </c>
      <c r="AE858">
        <v>218.75</v>
      </c>
      <c r="AF858" t="s">
        <v>199</v>
      </c>
      <c r="AG858" t="s">
        <v>77</v>
      </c>
      <c r="AH858" t="str">
        <f t="shared" si="215"/>
        <v>Cancelled</v>
      </c>
      <c r="AI858" t="str">
        <f t="shared" si="216"/>
        <v>Invalid - Negative Discount</v>
      </c>
      <c r="AJ858">
        <f t="shared" si="217"/>
        <v>218.75</v>
      </c>
      <c r="AK858" s="12">
        <f t="shared" si="220"/>
        <v>0.11932269438553313</v>
      </c>
      <c r="AL858">
        <f t="shared" si="221"/>
        <v>6</v>
      </c>
      <c r="AM858">
        <f t="shared" si="222"/>
        <v>2024</v>
      </c>
      <c r="AN858" t="str">
        <f t="shared" si="223"/>
        <v>Clean</v>
      </c>
    </row>
    <row r="859" spans="1:40">
      <c r="A859" t="s">
        <v>3919</v>
      </c>
      <c r="B859" s="3" t="s">
        <v>3920</v>
      </c>
      <c r="C859" s="10">
        <v>45447</v>
      </c>
      <c r="D859" s="3" t="s">
        <v>3921</v>
      </c>
      <c r="E859" s="10">
        <v>45447</v>
      </c>
      <c r="F859" s="6" t="str">
        <f t="shared" si="208"/>
        <v>Valid</v>
      </c>
      <c r="G859" s="8">
        <f t="shared" si="209"/>
        <v>0</v>
      </c>
      <c r="H859" s="8" t="str">
        <f t="shared" si="210"/>
        <v>Valid</v>
      </c>
      <c r="I859" t="s">
        <v>3234</v>
      </c>
      <c r="J859" t="s">
        <v>167</v>
      </c>
      <c r="K859" t="s">
        <v>167</v>
      </c>
      <c r="L859" t="s">
        <v>114</v>
      </c>
      <c r="M859" s="3" t="str">
        <f t="shared" si="211"/>
        <v>Home Office</v>
      </c>
      <c r="N859" t="s">
        <v>61</v>
      </c>
      <c r="O859" s="3" t="str">
        <f t="shared" si="212"/>
        <v>South</v>
      </c>
      <c r="P859" t="s">
        <v>241</v>
      </c>
      <c r="Q859" t="s">
        <v>242</v>
      </c>
      <c r="R859" t="s">
        <v>29</v>
      </c>
      <c r="S859" s="3" t="str">
        <f t="shared" si="213"/>
        <v>Office Supplies</v>
      </c>
      <c r="T859" t="s">
        <v>155</v>
      </c>
      <c r="U859" t="s">
        <v>3922</v>
      </c>
      <c r="V859" t="s">
        <v>55</v>
      </c>
      <c r="W859" s="3" t="str">
        <f t="shared" si="214"/>
        <v>First Class</v>
      </c>
      <c r="X859">
        <v>6</v>
      </c>
      <c r="Y859">
        <v>2708.97</v>
      </c>
      <c r="Z859">
        <v>0.25</v>
      </c>
      <c r="AA859">
        <f t="shared" si="218"/>
        <v>0.25</v>
      </c>
      <c r="AB859">
        <f t="shared" si="219"/>
        <v>12190.365</v>
      </c>
      <c r="AC859">
        <v>12190.36</v>
      </c>
      <c r="AD859">
        <v>10176.99</v>
      </c>
      <c r="AE859">
        <v>2013.37</v>
      </c>
      <c r="AF859" t="s">
        <v>33</v>
      </c>
      <c r="AG859" t="s">
        <v>34</v>
      </c>
      <c r="AH859" t="str">
        <f t="shared" si="215"/>
        <v>Completed</v>
      </c>
      <c r="AI859" t="str">
        <f t="shared" si="216"/>
        <v>Valid</v>
      </c>
      <c r="AJ859">
        <f t="shared" si="217"/>
        <v>2013.3700000000008</v>
      </c>
      <c r="AK859" s="12">
        <f t="shared" si="220"/>
        <v>0.1651607642593147</v>
      </c>
      <c r="AL859">
        <f t="shared" si="221"/>
        <v>6</v>
      </c>
      <c r="AM859">
        <f t="shared" si="222"/>
        <v>2024</v>
      </c>
      <c r="AN859" t="str">
        <f t="shared" si="223"/>
        <v>Clean</v>
      </c>
    </row>
    <row r="860" spans="1:40">
      <c r="A860" t="s">
        <v>3923</v>
      </c>
      <c r="B860" s="3" t="s">
        <v>1224</v>
      </c>
      <c r="C860" s="10">
        <v>45414</v>
      </c>
      <c r="D860" s="3" t="s">
        <v>1293</v>
      </c>
      <c r="E860" s="10">
        <v>45421</v>
      </c>
      <c r="F860" s="6" t="str">
        <f t="shared" si="208"/>
        <v>Valid</v>
      </c>
      <c r="G860" s="8">
        <f t="shared" si="209"/>
        <v>7</v>
      </c>
      <c r="H860" s="8" t="str">
        <f t="shared" si="210"/>
        <v>Valid</v>
      </c>
      <c r="I860" t="s">
        <v>3924</v>
      </c>
      <c r="J860" t="s">
        <v>60</v>
      </c>
      <c r="K860" t="s">
        <v>60</v>
      </c>
      <c r="L860" t="s">
        <v>25</v>
      </c>
      <c r="M860" s="3" t="str">
        <f t="shared" si="211"/>
        <v>Consumer</v>
      </c>
      <c r="N860" t="s">
        <v>41</v>
      </c>
      <c r="O860" s="3" t="str">
        <f t="shared" si="212"/>
        <v>East</v>
      </c>
      <c r="P860" t="s">
        <v>42</v>
      </c>
      <c r="Q860" t="s">
        <v>43</v>
      </c>
      <c r="R860" t="s">
        <v>85</v>
      </c>
      <c r="S860" s="3" t="str">
        <f t="shared" si="213"/>
        <v>Technology</v>
      </c>
      <c r="T860" t="s">
        <v>86</v>
      </c>
      <c r="U860" t="s">
        <v>3925</v>
      </c>
      <c r="V860" t="s">
        <v>32</v>
      </c>
      <c r="W860" s="3" t="str">
        <f t="shared" si="214"/>
        <v>Second Class</v>
      </c>
      <c r="X860">
        <v>4</v>
      </c>
      <c r="Y860">
        <v>2904.86</v>
      </c>
      <c r="Z860">
        <v>0</v>
      </c>
      <c r="AA860">
        <f t="shared" si="218"/>
        <v>0</v>
      </c>
      <c r="AB860">
        <f t="shared" si="219"/>
        <v>11619.44</v>
      </c>
      <c r="AC860">
        <v>11619.44</v>
      </c>
      <c r="AD860">
        <v>7184.32</v>
      </c>
      <c r="AE860">
        <v>4494.6400000000003</v>
      </c>
      <c r="AF860" t="s">
        <v>33</v>
      </c>
      <c r="AG860" t="s">
        <v>34</v>
      </c>
      <c r="AH860" t="str">
        <f t="shared" si="215"/>
        <v>Completed</v>
      </c>
      <c r="AI860" t="str">
        <f t="shared" si="216"/>
        <v>Valid</v>
      </c>
      <c r="AJ860">
        <f t="shared" si="217"/>
        <v>4435.1200000000008</v>
      </c>
      <c r="AK860" s="12">
        <f t="shared" si="220"/>
        <v>0.3816982574031107</v>
      </c>
      <c r="AL860">
        <f t="shared" si="221"/>
        <v>5</v>
      </c>
      <c r="AM860">
        <f t="shared" si="222"/>
        <v>2024</v>
      </c>
      <c r="AN860" t="str">
        <f t="shared" si="223"/>
        <v>Clean</v>
      </c>
    </row>
    <row r="861" spans="1:40">
      <c r="A861" t="s">
        <v>3926</v>
      </c>
      <c r="B861" s="3" t="s">
        <v>3504</v>
      </c>
      <c r="C861" s="10">
        <v>45592</v>
      </c>
      <c r="D861" s="3" t="s">
        <v>3927</v>
      </c>
      <c r="E861" s="10">
        <v>45597</v>
      </c>
      <c r="F861" s="6" t="str">
        <f t="shared" si="208"/>
        <v>Valid</v>
      </c>
      <c r="G861" s="8">
        <f t="shared" si="209"/>
        <v>5</v>
      </c>
      <c r="H861" s="8" t="str">
        <f t="shared" si="210"/>
        <v>Valid</v>
      </c>
      <c r="I861" t="s">
        <v>3928</v>
      </c>
      <c r="J861" t="s">
        <v>106</v>
      </c>
      <c r="K861" t="s">
        <v>106</v>
      </c>
      <c r="L861" t="s">
        <v>107</v>
      </c>
      <c r="M861" s="3" t="str">
        <f t="shared" si="211"/>
        <v>Corporate</v>
      </c>
      <c r="N861" t="s">
        <v>61</v>
      </c>
      <c r="O861" s="3" t="str">
        <f t="shared" si="212"/>
        <v>South</v>
      </c>
      <c r="P861" t="s">
        <v>338</v>
      </c>
      <c r="Q861" t="s">
        <v>339</v>
      </c>
      <c r="R861" t="s">
        <v>85</v>
      </c>
      <c r="S861" s="3" t="str">
        <f t="shared" si="213"/>
        <v>Technology</v>
      </c>
      <c r="T861" t="s">
        <v>222</v>
      </c>
      <c r="U861" t="s">
        <v>3929</v>
      </c>
      <c r="V861" t="s">
        <v>66</v>
      </c>
      <c r="W861" s="3" t="str">
        <f t="shared" si="214"/>
        <v>Standard Class</v>
      </c>
      <c r="X861">
        <v>6</v>
      </c>
      <c r="Y861">
        <v>4399.2</v>
      </c>
      <c r="Z861">
        <v>0.05</v>
      </c>
      <c r="AA861">
        <f t="shared" si="218"/>
        <v>0.05</v>
      </c>
      <c r="AB861">
        <f t="shared" si="219"/>
        <v>25075.439999999995</v>
      </c>
      <c r="AC861">
        <v>25075.439999999999</v>
      </c>
      <c r="AD861">
        <v>16282.74</v>
      </c>
      <c r="AE861">
        <v>8792.7000000000007</v>
      </c>
      <c r="AF861" t="s">
        <v>33</v>
      </c>
      <c r="AG861" t="s">
        <v>34</v>
      </c>
      <c r="AH861" t="str">
        <f t="shared" si="215"/>
        <v>Completed</v>
      </c>
      <c r="AI861" t="str">
        <f t="shared" si="216"/>
        <v>Valid</v>
      </c>
      <c r="AJ861">
        <f t="shared" si="217"/>
        <v>8792.6999999999989</v>
      </c>
      <c r="AK861" s="12">
        <f t="shared" si="220"/>
        <v>0.35064987892535487</v>
      </c>
      <c r="AL861">
        <f t="shared" si="221"/>
        <v>10</v>
      </c>
      <c r="AM861">
        <f t="shared" si="222"/>
        <v>2024</v>
      </c>
      <c r="AN861" t="str">
        <f t="shared" si="223"/>
        <v>Clean</v>
      </c>
    </row>
    <row r="862" spans="1:40">
      <c r="A862" t="s">
        <v>3930</v>
      </c>
      <c r="B862" s="3" t="s">
        <v>742</v>
      </c>
      <c r="C862" s="10">
        <v>45324</v>
      </c>
      <c r="D862" s="3" t="s">
        <v>3931</v>
      </c>
      <c r="E862" s="10">
        <v>45326</v>
      </c>
      <c r="F862" s="6" t="str">
        <f t="shared" si="208"/>
        <v>Valid</v>
      </c>
      <c r="G862" s="8">
        <f t="shared" si="209"/>
        <v>2</v>
      </c>
      <c r="H862" s="8" t="str">
        <f t="shared" si="210"/>
        <v>Valid</v>
      </c>
      <c r="I862" t="s">
        <v>3932</v>
      </c>
      <c r="J862" t="s">
        <v>82</v>
      </c>
      <c r="K862" t="s">
        <v>82</v>
      </c>
      <c r="L862" t="s">
        <v>114</v>
      </c>
      <c r="M862" s="3" t="str">
        <f t="shared" si="211"/>
        <v>Home Office</v>
      </c>
      <c r="N862" t="s">
        <v>26</v>
      </c>
      <c r="O862" s="3" t="str">
        <f t="shared" si="212"/>
        <v>North</v>
      </c>
      <c r="P862" t="s">
        <v>173</v>
      </c>
      <c r="Q862" t="s">
        <v>174</v>
      </c>
      <c r="R862" t="s">
        <v>29</v>
      </c>
      <c r="S862" s="3" t="str">
        <f t="shared" si="213"/>
        <v>Office Supplies</v>
      </c>
      <c r="T862" t="s">
        <v>155</v>
      </c>
      <c r="U862" t="s">
        <v>3933</v>
      </c>
      <c r="V862" t="s">
        <v>32</v>
      </c>
      <c r="W862" s="3" t="str">
        <f t="shared" si="214"/>
        <v>Second Class</v>
      </c>
      <c r="X862">
        <v>1</v>
      </c>
      <c r="Y862">
        <v>4397.32</v>
      </c>
      <c r="Z862">
        <v>0.05</v>
      </c>
      <c r="AA862">
        <f t="shared" si="218"/>
        <v>0.05</v>
      </c>
      <c r="AB862">
        <f t="shared" si="219"/>
        <v>4177.4539999999997</v>
      </c>
      <c r="AC862">
        <v>4177.45</v>
      </c>
      <c r="AD862">
        <v>2299.5</v>
      </c>
      <c r="AE862">
        <v>1877.95</v>
      </c>
      <c r="AF862" t="s">
        <v>33</v>
      </c>
      <c r="AG862" t="s">
        <v>34</v>
      </c>
      <c r="AH862" t="str">
        <f t="shared" si="215"/>
        <v>Completed</v>
      </c>
      <c r="AI862" t="str">
        <f t="shared" si="216"/>
        <v>Valid</v>
      </c>
      <c r="AJ862">
        <f t="shared" si="217"/>
        <v>1877.9499999999998</v>
      </c>
      <c r="AK862" s="12">
        <f t="shared" si="220"/>
        <v>0.44954414818212241</v>
      </c>
      <c r="AL862">
        <f t="shared" si="221"/>
        <v>2</v>
      </c>
      <c r="AM862">
        <f t="shared" si="222"/>
        <v>2024</v>
      </c>
      <c r="AN862" t="str">
        <f t="shared" si="223"/>
        <v>Clean</v>
      </c>
    </row>
    <row r="863" spans="1:40">
      <c r="A863" t="s">
        <v>3934</v>
      </c>
      <c r="B863" s="3" t="s">
        <v>3935</v>
      </c>
      <c r="C863" s="10">
        <v>45724</v>
      </c>
      <c r="D863" s="3" t="s">
        <v>3936</v>
      </c>
      <c r="E863" s="10">
        <v>45725</v>
      </c>
      <c r="F863" s="6" t="str">
        <f t="shared" si="208"/>
        <v>Valid</v>
      </c>
      <c r="G863" s="8">
        <f t="shared" si="209"/>
        <v>1</v>
      </c>
      <c r="H863" s="8" t="str">
        <f t="shared" si="210"/>
        <v>Valid</v>
      </c>
      <c r="I863" t="s">
        <v>3937</v>
      </c>
      <c r="J863" t="s">
        <v>141</v>
      </c>
      <c r="K863" t="s">
        <v>141</v>
      </c>
      <c r="L863" t="s">
        <v>114</v>
      </c>
      <c r="M863" s="3" t="str">
        <f t="shared" si="211"/>
        <v>Home Office</v>
      </c>
      <c r="N863" t="s">
        <v>26</v>
      </c>
      <c r="O863" s="3" t="str">
        <f t="shared" si="212"/>
        <v>North</v>
      </c>
      <c r="P863" t="s">
        <v>505</v>
      </c>
      <c r="Q863" t="s">
        <v>506</v>
      </c>
      <c r="R863" t="s">
        <v>44</v>
      </c>
      <c r="S863" s="3" t="str">
        <f t="shared" si="213"/>
        <v>Furniture</v>
      </c>
      <c r="T863" t="s">
        <v>64</v>
      </c>
      <c r="U863" t="s">
        <v>3938</v>
      </c>
      <c r="V863" t="s">
        <v>47</v>
      </c>
      <c r="W863" s="3" t="str">
        <f t="shared" si="214"/>
        <v>Same Day</v>
      </c>
      <c r="X863">
        <v>4</v>
      </c>
      <c r="Y863">
        <v>3405.68</v>
      </c>
      <c r="Z863">
        <v>0.2</v>
      </c>
      <c r="AA863">
        <f t="shared" si="218"/>
        <v>0.2</v>
      </c>
      <c r="AB863">
        <f t="shared" si="219"/>
        <v>10898.175999999999</v>
      </c>
      <c r="AC863">
        <v>10898.18</v>
      </c>
      <c r="AD863">
        <v>6231.41</v>
      </c>
      <c r="AE863">
        <v>4666.7700000000004</v>
      </c>
      <c r="AF863" t="s">
        <v>33</v>
      </c>
      <c r="AG863" t="s">
        <v>34</v>
      </c>
      <c r="AH863" t="str">
        <f t="shared" si="215"/>
        <v>Completed</v>
      </c>
      <c r="AI863" t="str">
        <f t="shared" si="216"/>
        <v>Valid</v>
      </c>
      <c r="AJ863">
        <f t="shared" si="217"/>
        <v>4666.7700000000004</v>
      </c>
      <c r="AK863" s="12">
        <f t="shared" si="220"/>
        <v>0.42821569407577936</v>
      </c>
      <c r="AL863">
        <f t="shared" si="221"/>
        <v>3</v>
      </c>
      <c r="AM863">
        <f t="shared" si="222"/>
        <v>2025</v>
      </c>
      <c r="AN863" t="str">
        <f t="shared" si="223"/>
        <v>Clean</v>
      </c>
    </row>
    <row r="864" spans="1:40">
      <c r="A864" t="s">
        <v>3939</v>
      </c>
      <c r="B864" s="3" t="s">
        <v>3314</v>
      </c>
      <c r="C864" s="10">
        <v>45742</v>
      </c>
      <c r="D864" s="3" t="s">
        <v>3940</v>
      </c>
      <c r="E864" s="10">
        <v>45747</v>
      </c>
      <c r="F864" s="6" t="str">
        <f t="shared" si="208"/>
        <v>Valid</v>
      </c>
      <c r="G864" s="8">
        <f t="shared" si="209"/>
        <v>5</v>
      </c>
      <c r="H864" s="8" t="str">
        <f t="shared" si="210"/>
        <v>Valid</v>
      </c>
      <c r="I864" t="s">
        <v>3941</v>
      </c>
      <c r="J864" t="s">
        <v>141</v>
      </c>
      <c r="K864" t="s">
        <v>141</v>
      </c>
      <c r="L864" t="s">
        <v>40</v>
      </c>
      <c r="M864" s="3" t="str">
        <f t="shared" si="211"/>
        <v>Small Business</v>
      </c>
      <c r="N864" t="s">
        <v>41</v>
      </c>
      <c r="O864" s="3" t="str">
        <f t="shared" si="212"/>
        <v>East</v>
      </c>
      <c r="P864" t="s">
        <v>310</v>
      </c>
      <c r="Q864" t="s">
        <v>311</v>
      </c>
      <c r="R864" t="s">
        <v>29</v>
      </c>
      <c r="S864" s="3" t="str">
        <f t="shared" si="213"/>
        <v>Office Supplies</v>
      </c>
      <c r="T864" t="s">
        <v>197</v>
      </c>
      <c r="U864" t="s">
        <v>3942</v>
      </c>
      <c r="V864" t="s">
        <v>55</v>
      </c>
      <c r="W864" s="3" t="str">
        <f t="shared" si="214"/>
        <v>First Class</v>
      </c>
      <c r="X864">
        <v>5</v>
      </c>
      <c r="Y864">
        <v>1395.14</v>
      </c>
      <c r="Z864">
        <v>0</v>
      </c>
      <c r="AA864">
        <f t="shared" si="218"/>
        <v>0</v>
      </c>
      <c r="AB864">
        <f t="shared" si="219"/>
        <v>6975.7000000000007</v>
      </c>
      <c r="AC864">
        <v>6975.7</v>
      </c>
      <c r="AD864">
        <v>4797.88</v>
      </c>
      <c r="AE864">
        <v>2177.8200000000002</v>
      </c>
      <c r="AF864" t="s">
        <v>33</v>
      </c>
      <c r="AG864" t="s">
        <v>77</v>
      </c>
      <c r="AH864" t="str">
        <f t="shared" si="215"/>
        <v>Cancelled</v>
      </c>
      <c r="AI864" t="str">
        <f t="shared" si="216"/>
        <v>Valid</v>
      </c>
      <c r="AJ864">
        <f t="shared" si="217"/>
        <v>2177.8199999999997</v>
      </c>
      <c r="AK864" s="12">
        <f t="shared" si="220"/>
        <v>0.31220092607193534</v>
      </c>
      <c r="AL864">
        <f t="shared" si="221"/>
        <v>3</v>
      </c>
      <c r="AM864">
        <f t="shared" si="222"/>
        <v>2025</v>
      </c>
      <c r="AN864" t="str">
        <f t="shared" si="223"/>
        <v>Clean</v>
      </c>
    </row>
    <row r="865" spans="1:40">
      <c r="A865" t="s">
        <v>3943</v>
      </c>
      <c r="B865" s="3" t="s">
        <v>3944</v>
      </c>
      <c r="C865" s="10">
        <v>45906</v>
      </c>
      <c r="D865" s="3" t="s">
        <v>2731</v>
      </c>
      <c r="E865" s="10">
        <v>45908</v>
      </c>
      <c r="F865" s="6" t="str">
        <f t="shared" si="208"/>
        <v>Valid</v>
      </c>
      <c r="G865" s="8">
        <f t="shared" si="209"/>
        <v>2</v>
      </c>
      <c r="H865" s="8" t="str">
        <f t="shared" si="210"/>
        <v>Valid</v>
      </c>
      <c r="I865" t="s">
        <v>3945</v>
      </c>
      <c r="J865" t="s">
        <v>161</v>
      </c>
      <c r="K865" t="s">
        <v>161</v>
      </c>
      <c r="L865" t="s">
        <v>114</v>
      </c>
      <c r="M865" s="3" t="str">
        <f t="shared" si="211"/>
        <v>Home Office</v>
      </c>
      <c r="N865" t="s">
        <v>72</v>
      </c>
      <c r="O865" s="3" t="str">
        <f t="shared" si="212"/>
        <v>West</v>
      </c>
      <c r="P865" t="s">
        <v>83</v>
      </c>
      <c r="Q865" t="s">
        <v>84</v>
      </c>
      <c r="R865" t="s">
        <v>44</v>
      </c>
      <c r="S865" s="3" t="str">
        <f t="shared" si="213"/>
        <v>Furniture</v>
      </c>
      <c r="T865" t="s">
        <v>64</v>
      </c>
      <c r="U865" t="s">
        <v>3946</v>
      </c>
      <c r="V865" t="s">
        <v>47</v>
      </c>
      <c r="W865" s="3" t="str">
        <f t="shared" si="214"/>
        <v>Same Day</v>
      </c>
      <c r="X865">
        <v>3</v>
      </c>
      <c r="Y865">
        <v>2937.23</v>
      </c>
      <c r="Z865">
        <v>0</v>
      </c>
      <c r="AA865">
        <f t="shared" si="218"/>
        <v>0</v>
      </c>
      <c r="AB865">
        <f t="shared" si="219"/>
        <v>8811.69</v>
      </c>
      <c r="AC865">
        <v>8811.69</v>
      </c>
      <c r="AD865">
        <v>6765.91</v>
      </c>
      <c r="AE865">
        <v>2045.78</v>
      </c>
      <c r="AF865" t="s">
        <v>33</v>
      </c>
      <c r="AG865" t="s">
        <v>34</v>
      </c>
      <c r="AH865" t="str">
        <f t="shared" si="215"/>
        <v>Completed</v>
      </c>
      <c r="AI865" t="str">
        <f t="shared" si="216"/>
        <v>Valid</v>
      </c>
      <c r="AJ865">
        <f t="shared" si="217"/>
        <v>2045.7800000000007</v>
      </c>
      <c r="AK865" s="12">
        <f t="shared" si="220"/>
        <v>0.23216658779416893</v>
      </c>
      <c r="AL865">
        <f t="shared" si="221"/>
        <v>9</v>
      </c>
      <c r="AM865">
        <f t="shared" si="222"/>
        <v>2025</v>
      </c>
      <c r="AN865" t="str">
        <f t="shared" si="223"/>
        <v>Clean</v>
      </c>
    </row>
    <row r="866" spans="1:40">
      <c r="A866" t="s">
        <v>3947</v>
      </c>
      <c r="B866" s="3" t="s">
        <v>3948</v>
      </c>
      <c r="C866" s="10">
        <v>45902</v>
      </c>
      <c r="D866" s="3" t="s">
        <v>571</v>
      </c>
      <c r="E866" s="10">
        <v>45905</v>
      </c>
      <c r="F866" s="6" t="str">
        <f t="shared" si="208"/>
        <v>Valid</v>
      </c>
      <c r="G866" s="8">
        <f t="shared" si="209"/>
        <v>3</v>
      </c>
      <c r="H866" s="8" t="str">
        <f t="shared" si="210"/>
        <v>Valid</v>
      </c>
      <c r="I866" t="s">
        <v>3949</v>
      </c>
      <c r="J866" t="s">
        <v>82</v>
      </c>
      <c r="K866" t="s">
        <v>82</v>
      </c>
      <c r="L866" t="s">
        <v>25</v>
      </c>
      <c r="M866" s="3" t="str">
        <f t="shared" si="211"/>
        <v>Consumer</v>
      </c>
      <c r="N866" t="s">
        <v>61</v>
      </c>
      <c r="O866" s="3" t="str">
        <f t="shared" si="212"/>
        <v>South</v>
      </c>
      <c r="P866" t="s">
        <v>338</v>
      </c>
      <c r="Q866" t="s">
        <v>339</v>
      </c>
      <c r="R866" t="s">
        <v>85</v>
      </c>
      <c r="S866" s="3" t="str">
        <f t="shared" si="213"/>
        <v>Technology</v>
      </c>
      <c r="T866" t="s">
        <v>222</v>
      </c>
      <c r="U866" t="s">
        <v>3950</v>
      </c>
      <c r="V866" t="s">
        <v>55</v>
      </c>
      <c r="W866" s="3" t="str">
        <f t="shared" si="214"/>
        <v>First Class</v>
      </c>
      <c r="X866">
        <v>5</v>
      </c>
      <c r="Y866">
        <v>3406.87</v>
      </c>
      <c r="Z866">
        <v>0</v>
      </c>
      <c r="AA866">
        <f t="shared" si="218"/>
        <v>0</v>
      </c>
      <c r="AB866">
        <f t="shared" si="219"/>
        <v>17034.349999999999</v>
      </c>
      <c r="AC866">
        <v>17034.349999999999</v>
      </c>
      <c r="AD866">
        <v>14631.36</v>
      </c>
      <c r="AE866">
        <v>2402.9899999999998</v>
      </c>
      <c r="AF866" t="s">
        <v>33</v>
      </c>
      <c r="AG866" t="s">
        <v>34</v>
      </c>
      <c r="AH866" t="str">
        <f t="shared" si="215"/>
        <v>Completed</v>
      </c>
      <c r="AI866" t="str">
        <f t="shared" si="216"/>
        <v>Valid</v>
      </c>
      <c r="AJ866">
        <f t="shared" si="217"/>
        <v>2402.989999999998</v>
      </c>
      <c r="AK866" s="12">
        <f t="shared" si="220"/>
        <v>0.14106731398615141</v>
      </c>
      <c r="AL866">
        <f t="shared" si="221"/>
        <v>9</v>
      </c>
      <c r="AM866">
        <f t="shared" si="222"/>
        <v>2025</v>
      </c>
      <c r="AN866" t="str">
        <f t="shared" si="223"/>
        <v>Clean</v>
      </c>
    </row>
    <row r="867" spans="1:40">
      <c r="A867" t="s">
        <v>3951</v>
      </c>
      <c r="B867" s="3" t="s">
        <v>3765</v>
      </c>
      <c r="C867" s="10">
        <v>45694</v>
      </c>
      <c r="D867" s="3" t="s">
        <v>1919</v>
      </c>
      <c r="E867" s="10">
        <v>45702</v>
      </c>
      <c r="F867" s="6" t="str">
        <f t="shared" si="208"/>
        <v>Valid</v>
      </c>
      <c r="G867" s="8">
        <f t="shared" si="209"/>
        <v>8</v>
      </c>
      <c r="H867" s="8" t="str">
        <f t="shared" si="210"/>
        <v>Valid</v>
      </c>
      <c r="I867" t="s">
        <v>3952</v>
      </c>
      <c r="J867" t="s">
        <v>365</v>
      </c>
      <c r="K867" t="s">
        <v>365</v>
      </c>
      <c r="L867" t="s">
        <v>25</v>
      </c>
      <c r="M867" s="3" t="str">
        <f t="shared" si="211"/>
        <v>Consumer</v>
      </c>
      <c r="N867" t="s">
        <v>72</v>
      </c>
      <c r="O867" s="3" t="str">
        <f t="shared" si="212"/>
        <v>West</v>
      </c>
      <c r="P867" t="s">
        <v>73</v>
      </c>
      <c r="Q867" t="s">
        <v>74</v>
      </c>
      <c r="R867" t="s">
        <v>29</v>
      </c>
      <c r="S867" s="3" t="str">
        <f t="shared" si="213"/>
        <v>Office Supplies</v>
      </c>
      <c r="T867" t="s">
        <v>108</v>
      </c>
      <c r="U867" t="s">
        <v>3953</v>
      </c>
      <c r="V867" t="s">
        <v>32</v>
      </c>
      <c r="W867" s="3" t="str">
        <f t="shared" si="214"/>
        <v>Second Class</v>
      </c>
      <c r="X867">
        <v>2</v>
      </c>
      <c r="Y867">
        <v>3992.04</v>
      </c>
      <c r="Z867">
        <v>0</v>
      </c>
      <c r="AA867">
        <f t="shared" si="218"/>
        <v>0</v>
      </c>
      <c r="AB867">
        <f t="shared" si="219"/>
        <v>7984.08</v>
      </c>
      <c r="AC867">
        <v>7984.08</v>
      </c>
      <c r="AD867">
        <v>5658.05</v>
      </c>
      <c r="AE867">
        <v>2326.0300000000002</v>
      </c>
      <c r="AF867" t="s">
        <v>33</v>
      </c>
      <c r="AG867" t="s">
        <v>34</v>
      </c>
      <c r="AH867" t="str">
        <f t="shared" si="215"/>
        <v>Completed</v>
      </c>
      <c r="AI867" t="str">
        <f t="shared" si="216"/>
        <v>Valid</v>
      </c>
      <c r="AJ867">
        <f t="shared" si="217"/>
        <v>2326.0299999999997</v>
      </c>
      <c r="AK867" s="12">
        <f t="shared" si="220"/>
        <v>0.29133350367230787</v>
      </c>
      <c r="AL867">
        <f t="shared" si="221"/>
        <v>2</v>
      </c>
      <c r="AM867">
        <f t="shared" si="222"/>
        <v>2025</v>
      </c>
      <c r="AN867" t="str">
        <f t="shared" si="223"/>
        <v>Clean</v>
      </c>
    </row>
    <row r="868" spans="1:40">
      <c r="A868" t="s">
        <v>3954</v>
      </c>
      <c r="B868" s="3" t="s">
        <v>1185</v>
      </c>
      <c r="C868" s="10">
        <v>45714</v>
      </c>
      <c r="D868" s="3" t="s">
        <v>3955</v>
      </c>
      <c r="E868" s="10">
        <v>45722</v>
      </c>
      <c r="F868" s="6" t="str">
        <f t="shared" si="208"/>
        <v>Valid</v>
      </c>
      <c r="G868" s="8">
        <f t="shared" si="209"/>
        <v>8</v>
      </c>
      <c r="H868" s="8" t="str">
        <f t="shared" si="210"/>
        <v>Valid</v>
      </c>
      <c r="I868" t="s">
        <v>3956</v>
      </c>
      <c r="J868" t="s">
        <v>141</v>
      </c>
      <c r="K868" t="s">
        <v>141</v>
      </c>
      <c r="L868" t="s">
        <v>25</v>
      </c>
      <c r="M868" s="3" t="str">
        <f t="shared" si="211"/>
        <v>Consumer</v>
      </c>
      <c r="N868" t="s">
        <v>41</v>
      </c>
      <c r="O868" s="3" t="str">
        <f t="shared" si="212"/>
        <v>East</v>
      </c>
      <c r="P868" t="s">
        <v>185</v>
      </c>
      <c r="Q868" t="s">
        <v>186</v>
      </c>
      <c r="R868" t="s">
        <v>44</v>
      </c>
      <c r="S868" s="3" t="str">
        <f t="shared" si="213"/>
        <v>Furniture</v>
      </c>
      <c r="T868" t="s">
        <v>203</v>
      </c>
      <c r="U868" t="s">
        <v>3957</v>
      </c>
      <c r="V868" t="s">
        <v>55</v>
      </c>
      <c r="W868" s="3" t="str">
        <f t="shared" si="214"/>
        <v>First Class</v>
      </c>
      <c r="X868">
        <v>9</v>
      </c>
      <c r="Y868">
        <v>3043.37</v>
      </c>
      <c r="Z868">
        <v>0.2</v>
      </c>
      <c r="AA868">
        <f t="shared" si="218"/>
        <v>0.2</v>
      </c>
      <c r="AB868">
        <f t="shared" si="219"/>
        <v>21912.263999999999</v>
      </c>
      <c r="AC868">
        <v>21912.26</v>
      </c>
      <c r="AD868">
        <v>16367.78</v>
      </c>
      <c r="AE868">
        <v>5544.48</v>
      </c>
      <c r="AF868" t="s">
        <v>136</v>
      </c>
      <c r="AG868" t="s">
        <v>77</v>
      </c>
      <c r="AH868" t="str">
        <f t="shared" si="215"/>
        <v>Cancelled</v>
      </c>
      <c r="AI868" t="str">
        <f t="shared" si="216"/>
        <v>Valid</v>
      </c>
      <c r="AJ868">
        <f t="shared" si="217"/>
        <v>5544.4799999999977</v>
      </c>
      <c r="AK868" s="12">
        <f t="shared" si="220"/>
        <v>0.25303090543268364</v>
      </c>
      <c r="AL868">
        <f t="shared" si="221"/>
        <v>2</v>
      </c>
      <c r="AM868">
        <f t="shared" si="222"/>
        <v>2025</v>
      </c>
      <c r="AN868" t="str">
        <f t="shared" si="223"/>
        <v>Clean</v>
      </c>
    </row>
    <row r="869" spans="1:40">
      <c r="A869" t="s">
        <v>3958</v>
      </c>
      <c r="B869" s="3" t="s">
        <v>3959</v>
      </c>
      <c r="C869" s="10">
        <v>45617</v>
      </c>
      <c r="D869" s="3" t="s">
        <v>3960</v>
      </c>
      <c r="E869" s="10">
        <v>45618</v>
      </c>
      <c r="F869" s="6" t="str">
        <f t="shared" si="208"/>
        <v>Valid</v>
      </c>
      <c r="G869" s="8">
        <f t="shared" si="209"/>
        <v>1</v>
      </c>
      <c r="H869" s="8" t="str">
        <f t="shared" si="210"/>
        <v>Valid</v>
      </c>
      <c r="I869" t="s">
        <v>3961</v>
      </c>
      <c r="J869" t="s">
        <v>147</v>
      </c>
      <c r="K869" t="s">
        <v>147</v>
      </c>
      <c r="L869" t="s">
        <v>114</v>
      </c>
      <c r="M869" s="3" t="str">
        <f t="shared" si="211"/>
        <v>Home Office</v>
      </c>
      <c r="N869" t="s">
        <v>61</v>
      </c>
      <c r="O869" s="3" t="str">
        <f t="shared" si="212"/>
        <v>South</v>
      </c>
      <c r="P869" t="s">
        <v>99</v>
      </c>
      <c r="Q869" t="s">
        <v>100</v>
      </c>
      <c r="R869" t="s">
        <v>85</v>
      </c>
      <c r="S869" s="3" t="str">
        <f t="shared" si="213"/>
        <v>Technology</v>
      </c>
      <c r="T869" t="s">
        <v>86</v>
      </c>
      <c r="U869" t="s">
        <v>3962</v>
      </c>
      <c r="V869" t="s">
        <v>47</v>
      </c>
      <c r="W869" s="3" t="str">
        <f t="shared" si="214"/>
        <v>Same Day</v>
      </c>
      <c r="X869">
        <v>6</v>
      </c>
      <c r="Y869">
        <v>1043.49</v>
      </c>
      <c r="Z869">
        <v>0.25</v>
      </c>
      <c r="AA869">
        <f t="shared" si="218"/>
        <v>0.25</v>
      </c>
      <c r="AB869">
        <f t="shared" si="219"/>
        <v>4695.7049999999999</v>
      </c>
      <c r="AC869">
        <v>4695.7</v>
      </c>
      <c r="AD869">
        <v>3871.69</v>
      </c>
      <c r="AE869">
        <v>824.01</v>
      </c>
      <c r="AF869" t="s">
        <v>199</v>
      </c>
      <c r="AG869" t="s">
        <v>77</v>
      </c>
      <c r="AH869" t="str">
        <f t="shared" si="215"/>
        <v>Cancelled</v>
      </c>
      <c r="AI869" t="str">
        <f t="shared" si="216"/>
        <v>Valid</v>
      </c>
      <c r="AJ869">
        <f t="shared" si="217"/>
        <v>824.00999999999976</v>
      </c>
      <c r="AK869" s="12">
        <f t="shared" si="220"/>
        <v>0.17548163694269545</v>
      </c>
      <c r="AL869">
        <f t="shared" si="221"/>
        <v>11</v>
      </c>
      <c r="AM869">
        <f t="shared" si="222"/>
        <v>2024</v>
      </c>
      <c r="AN869" t="str">
        <f t="shared" si="223"/>
        <v>Clean</v>
      </c>
    </row>
    <row r="870" spans="1:40">
      <c r="A870" t="s">
        <v>3963</v>
      </c>
      <c r="B870" s="3" t="s">
        <v>813</v>
      </c>
      <c r="C870" s="10">
        <v>45758</v>
      </c>
      <c r="D870" s="3" t="s">
        <v>2142</v>
      </c>
      <c r="E870" s="10">
        <v>45762</v>
      </c>
      <c r="F870" s="6" t="str">
        <f t="shared" si="208"/>
        <v>Valid</v>
      </c>
      <c r="G870" s="8">
        <f t="shared" si="209"/>
        <v>4</v>
      </c>
      <c r="H870" s="8" t="str">
        <f t="shared" si="210"/>
        <v>Valid</v>
      </c>
      <c r="I870" t="s">
        <v>3964</v>
      </c>
      <c r="J870" t="s">
        <v>82</v>
      </c>
      <c r="K870" t="s">
        <v>82</v>
      </c>
      <c r="L870" t="s">
        <v>114</v>
      </c>
      <c r="M870" s="3" t="str">
        <f t="shared" si="211"/>
        <v>Home Office</v>
      </c>
      <c r="N870" t="s">
        <v>61</v>
      </c>
      <c r="O870" s="3" t="str">
        <f t="shared" si="212"/>
        <v>South</v>
      </c>
      <c r="P870" t="s">
        <v>228</v>
      </c>
      <c r="Q870" t="s">
        <v>229</v>
      </c>
      <c r="R870" t="s">
        <v>29</v>
      </c>
      <c r="S870" s="3" t="str">
        <f t="shared" si="213"/>
        <v>Office Supplies</v>
      </c>
      <c r="T870" t="s">
        <v>155</v>
      </c>
      <c r="U870" t="s">
        <v>3965</v>
      </c>
      <c r="V870" t="s">
        <v>47</v>
      </c>
      <c r="W870" s="3" t="str">
        <f t="shared" si="214"/>
        <v>Same Day</v>
      </c>
      <c r="X870">
        <v>9</v>
      </c>
      <c r="Y870">
        <v>224.94</v>
      </c>
      <c r="Z870">
        <v>0.05</v>
      </c>
      <c r="AA870">
        <f t="shared" si="218"/>
        <v>0.05</v>
      </c>
      <c r="AB870">
        <f t="shared" si="219"/>
        <v>1923.2369999999999</v>
      </c>
      <c r="AC870">
        <v>1923.24</v>
      </c>
      <c r="AD870">
        <v>1093.6600000000001</v>
      </c>
      <c r="AE870">
        <v>829.58</v>
      </c>
      <c r="AF870" t="s">
        <v>33</v>
      </c>
      <c r="AG870" t="s">
        <v>34</v>
      </c>
      <c r="AH870" t="str">
        <f t="shared" si="215"/>
        <v>Completed</v>
      </c>
      <c r="AI870" t="str">
        <f t="shared" si="216"/>
        <v>Valid</v>
      </c>
      <c r="AJ870">
        <f t="shared" si="217"/>
        <v>829.57999999999993</v>
      </c>
      <c r="AK870" s="12">
        <f t="shared" si="220"/>
        <v>0.43134569478436613</v>
      </c>
      <c r="AL870">
        <f t="shared" si="221"/>
        <v>4</v>
      </c>
      <c r="AM870">
        <f t="shared" si="222"/>
        <v>2025</v>
      </c>
      <c r="AN870" t="str">
        <f t="shared" si="223"/>
        <v>Clean</v>
      </c>
    </row>
    <row r="871" spans="1:40">
      <c r="A871" t="s">
        <v>3966</v>
      </c>
      <c r="B871" s="3" t="s">
        <v>3967</v>
      </c>
      <c r="C871" s="10">
        <v>45722</v>
      </c>
      <c r="D871" s="3" t="s">
        <v>786</v>
      </c>
      <c r="E871" s="10">
        <v>45723</v>
      </c>
      <c r="F871" s="6" t="str">
        <f t="shared" si="208"/>
        <v>Valid</v>
      </c>
      <c r="G871" s="8">
        <f t="shared" si="209"/>
        <v>1</v>
      </c>
      <c r="H871" s="8" t="str">
        <f t="shared" si="210"/>
        <v>Valid</v>
      </c>
      <c r="I871" t="s">
        <v>3968</v>
      </c>
      <c r="J871" t="s">
        <v>179</v>
      </c>
      <c r="K871" t="s">
        <v>179</v>
      </c>
      <c r="L871" t="s">
        <v>114</v>
      </c>
      <c r="M871" s="3" t="str">
        <f t="shared" si="211"/>
        <v>Home Office</v>
      </c>
      <c r="O871" s="3" t="str">
        <f t="shared" si="212"/>
        <v>Unknown</v>
      </c>
      <c r="P871" t="s">
        <v>505</v>
      </c>
      <c r="Q871" t="s">
        <v>506</v>
      </c>
      <c r="R871" t="s">
        <v>44</v>
      </c>
      <c r="S871" s="3" t="str">
        <f t="shared" si="213"/>
        <v>Furniture</v>
      </c>
      <c r="T871" t="s">
        <v>75</v>
      </c>
      <c r="U871" t="s">
        <v>1751</v>
      </c>
      <c r="V871" t="s">
        <v>47</v>
      </c>
      <c r="W871" s="3" t="str">
        <f t="shared" si="214"/>
        <v>Same Day</v>
      </c>
      <c r="X871">
        <v>6</v>
      </c>
      <c r="Y871">
        <v>796.65</v>
      </c>
      <c r="Z871">
        <v>0.1</v>
      </c>
      <c r="AA871">
        <f t="shared" si="218"/>
        <v>0.1</v>
      </c>
      <c r="AB871">
        <f t="shared" si="219"/>
        <v>4301.91</v>
      </c>
      <c r="AC871">
        <v>4301.91</v>
      </c>
      <c r="AD871">
        <v>2374.4</v>
      </c>
      <c r="AE871">
        <v>1927.51</v>
      </c>
      <c r="AF871" t="s">
        <v>33</v>
      </c>
      <c r="AG871" t="s">
        <v>34</v>
      </c>
      <c r="AH871" t="str">
        <f t="shared" si="215"/>
        <v>Completed</v>
      </c>
      <c r="AI871" t="str">
        <f t="shared" si="216"/>
        <v>Valid</v>
      </c>
      <c r="AJ871">
        <f t="shared" si="217"/>
        <v>1927.5099999999998</v>
      </c>
      <c r="AK871" s="12">
        <f t="shared" si="220"/>
        <v>0.44805911792668834</v>
      </c>
      <c r="AL871">
        <f t="shared" si="221"/>
        <v>3</v>
      </c>
      <c r="AM871">
        <f t="shared" si="222"/>
        <v>2025</v>
      </c>
      <c r="AN871" t="str">
        <f t="shared" si="223"/>
        <v>Clean</v>
      </c>
    </row>
    <row r="872" spans="1:40">
      <c r="A872" t="s">
        <v>3969</v>
      </c>
      <c r="B872" s="3" t="s">
        <v>3970</v>
      </c>
      <c r="C872" s="10">
        <v>45814</v>
      </c>
      <c r="D872" s="3" t="s">
        <v>3971</v>
      </c>
      <c r="E872" s="10">
        <v>45815</v>
      </c>
      <c r="F872" s="6" t="str">
        <f t="shared" si="208"/>
        <v>Valid</v>
      </c>
      <c r="G872" s="8">
        <f t="shared" si="209"/>
        <v>1</v>
      </c>
      <c r="H872" s="8" t="str">
        <f t="shared" si="210"/>
        <v>Valid</v>
      </c>
      <c r="I872" t="s">
        <v>3972</v>
      </c>
      <c r="J872" t="s">
        <v>82</v>
      </c>
      <c r="K872" t="s">
        <v>82</v>
      </c>
      <c r="L872" t="s">
        <v>107</v>
      </c>
      <c r="M872" s="3" t="str">
        <f t="shared" si="211"/>
        <v>Corporate</v>
      </c>
      <c r="N872" t="s">
        <v>72</v>
      </c>
      <c r="O872" s="3" t="str">
        <f t="shared" si="212"/>
        <v>West</v>
      </c>
      <c r="P872" t="s">
        <v>248</v>
      </c>
      <c r="Q872" t="s">
        <v>249</v>
      </c>
      <c r="R872" t="s">
        <v>44</v>
      </c>
      <c r="S872" s="3" t="str">
        <f t="shared" si="213"/>
        <v>Furniture</v>
      </c>
      <c r="T872" t="s">
        <v>45</v>
      </c>
      <c r="U872" t="s">
        <v>3973</v>
      </c>
      <c r="V872" t="s">
        <v>66</v>
      </c>
      <c r="W872" s="3" t="str">
        <f t="shared" si="214"/>
        <v>Standard Class</v>
      </c>
      <c r="X872">
        <v>9</v>
      </c>
      <c r="Y872">
        <v>2932.92</v>
      </c>
      <c r="Z872">
        <v>0.15</v>
      </c>
      <c r="AA872">
        <f t="shared" si="218"/>
        <v>0.15</v>
      </c>
      <c r="AB872">
        <f t="shared" si="219"/>
        <v>22436.838</v>
      </c>
      <c r="AC872">
        <v>22436.84</v>
      </c>
      <c r="AD872">
        <v>17454.669999999998</v>
      </c>
      <c r="AE872">
        <v>4982.17</v>
      </c>
      <c r="AF872" t="s">
        <v>33</v>
      </c>
      <c r="AG872" t="s">
        <v>77</v>
      </c>
      <c r="AH872" t="str">
        <f t="shared" si="215"/>
        <v>Cancelled</v>
      </c>
      <c r="AI872" t="str">
        <f t="shared" si="216"/>
        <v>Valid</v>
      </c>
      <c r="AJ872">
        <f t="shared" si="217"/>
        <v>4982.1700000000019</v>
      </c>
      <c r="AK872" s="12">
        <f t="shared" si="220"/>
        <v>0.22205312531115132</v>
      </c>
      <c r="AL872">
        <f t="shared" si="221"/>
        <v>6</v>
      </c>
      <c r="AM872">
        <f t="shared" si="222"/>
        <v>2025</v>
      </c>
      <c r="AN872" t="str">
        <f t="shared" si="223"/>
        <v>Clean</v>
      </c>
    </row>
    <row r="873" spans="1:40">
      <c r="A873" t="s">
        <v>3974</v>
      </c>
      <c r="B873" s="3" t="s">
        <v>3975</v>
      </c>
      <c r="C873" s="10">
        <v>45342</v>
      </c>
      <c r="D873" s="3" t="s">
        <v>2829</v>
      </c>
      <c r="E873" s="10">
        <v>45344</v>
      </c>
      <c r="F873" s="6" t="str">
        <f t="shared" si="208"/>
        <v>Valid</v>
      </c>
      <c r="G873" s="8">
        <f t="shared" si="209"/>
        <v>2</v>
      </c>
      <c r="H873" s="8" t="str">
        <f t="shared" si="210"/>
        <v>Valid</v>
      </c>
      <c r="I873" t="s">
        <v>3794</v>
      </c>
      <c r="J873" t="s">
        <v>92</v>
      </c>
      <c r="K873" t="s">
        <v>92</v>
      </c>
      <c r="L873" t="s">
        <v>40</v>
      </c>
      <c r="M873" s="3" t="str">
        <f t="shared" si="211"/>
        <v>Small Business</v>
      </c>
      <c r="N873" t="s">
        <v>61</v>
      </c>
      <c r="O873" s="3" t="str">
        <f t="shared" si="212"/>
        <v>South</v>
      </c>
      <c r="P873" t="s">
        <v>62</v>
      </c>
      <c r="Q873" t="s">
        <v>63</v>
      </c>
      <c r="R873" t="s">
        <v>85</v>
      </c>
      <c r="S873" s="3" t="str">
        <f t="shared" si="213"/>
        <v>Technology</v>
      </c>
      <c r="T873" t="s">
        <v>86</v>
      </c>
      <c r="U873" t="s">
        <v>3976</v>
      </c>
      <c r="V873" t="s">
        <v>55</v>
      </c>
      <c r="W873" s="3" t="str">
        <f t="shared" si="214"/>
        <v>First Class</v>
      </c>
      <c r="X873">
        <v>9</v>
      </c>
      <c r="Y873">
        <v>2186.23</v>
      </c>
      <c r="Z873">
        <v>0</v>
      </c>
      <c r="AA873">
        <f t="shared" si="218"/>
        <v>0</v>
      </c>
      <c r="AB873">
        <f t="shared" si="219"/>
        <v>19676.07</v>
      </c>
      <c r="AC873">
        <v>19676.07</v>
      </c>
      <c r="AD873">
        <v>12458.62</v>
      </c>
      <c r="AE873">
        <v>7217.45</v>
      </c>
      <c r="AF873" t="s">
        <v>123</v>
      </c>
      <c r="AG873" t="s">
        <v>77</v>
      </c>
      <c r="AH873" t="str">
        <f t="shared" si="215"/>
        <v>Cancelled</v>
      </c>
      <c r="AI873" t="str">
        <f t="shared" si="216"/>
        <v>Valid</v>
      </c>
      <c r="AJ873">
        <f t="shared" si="217"/>
        <v>7217.4499999999989</v>
      </c>
      <c r="AK873" s="12">
        <f t="shared" si="220"/>
        <v>0.36681359641432454</v>
      </c>
      <c r="AL873">
        <f t="shared" si="221"/>
        <v>2</v>
      </c>
      <c r="AM873">
        <f t="shared" si="222"/>
        <v>2024</v>
      </c>
      <c r="AN873" t="str">
        <f t="shared" si="223"/>
        <v>Clean</v>
      </c>
    </row>
    <row r="874" spans="1:40">
      <c r="A874" t="s">
        <v>3977</v>
      </c>
      <c r="B874" s="3" t="s">
        <v>3505</v>
      </c>
      <c r="C874" s="10">
        <v>45597</v>
      </c>
      <c r="D874" s="3" t="s">
        <v>3978</v>
      </c>
      <c r="E874" s="10">
        <v>45598</v>
      </c>
      <c r="F874" s="6" t="str">
        <f t="shared" si="208"/>
        <v>Valid</v>
      </c>
      <c r="G874" s="8">
        <f t="shared" si="209"/>
        <v>1</v>
      </c>
      <c r="H874" s="8" t="str">
        <f t="shared" si="210"/>
        <v>Valid</v>
      </c>
      <c r="I874" t="s">
        <v>2961</v>
      </c>
      <c r="J874" t="s">
        <v>24</v>
      </c>
      <c r="K874" t="s">
        <v>24</v>
      </c>
      <c r="L874" t="s">
        <v>107</v>
      </c>
      <c r="M874" s="3" t="str">
        <f t="shared" si="211"/>
        <v>Corporate</v>
      </c>
      <c r="N874" t="s">
        <v>41</v>
      </c>
      <c r="O874" s="3" t="str">
        <f t="shared" si="212"/>
        <v>East</v>
      </c>
      <c r="P874" t="s">
        <v>120</v>
      </c>
      <c r="Q874" t="s">
        <v>121</v>
      </c>
      <c r="R874" t="s">
        <v>44</v>
      </c>
      <c r="S874" s="3" t="str">
        <f t="shared" si="213"/>
        <v>Furniture</v>
      </c>
      <c r="T874" t="s">
        <v>64</v>
      </c>
      <c r="U874" t="s">
        <v>3979</v>
      </c>
      <c r="V874" t="s">
        <v>66</v>
      </c>
      <c r="W874" s="3" t="str">
        <f t="shared" si="214"/>
        <v>Standard Class</v>
      </c>
      <c r="X874">
        <v>5</v>
      </c>
      <c r="Y874">
        <v>2212.02</v>
      </c>
      <c r="Z874">
        <v>0.2</v>
      </c>
      <c r="AA874">
        <f t="shared" si="218"/>
        <v>0.2</v>
      </c>
      <c r="AB874">
        <f t="shared" si="219"/>
        <v>8848.08</v>
      </c>
      <c r="AC874">
        <v>8848.08</v>
      </c>
      <c r="AD874">
        <v>5691.56</v>
      </c>
      <c r="AE874">
        <v>3156.52</v>
      </c>
      <c r="AF874" t="s">
        <v>33</v>
      </c>
      <c r="AG874" t="s">
        <v>34</v>
      </c>
      <c r="AH874" t="str">
        <f t="shared" si="215"/>
        <v>Completed</v>
      </c>
      <c r="AI874" t="str">
        <f t="shared" si="216"/>
        <v>Valid</v>
      </c>
      <c r="AJ874">
        <f t="shared" si="217"/>
        <v>3156.5199999999995</v>
      </c>
      <c r="AK874" s="12">
        <f t="shared" si="220"/>
        <v>0.35674632236598219</v>
      </c>
      <c r="AL874">
        <f t="shared" si="221"/>
        <v>11</v>
      </c>
      <c r="AM874">
        <f t="shared" si="222"/>
        <v>2024</v>
      </c>
      <c r="AN874" t="str">
        <f t="shared" si="223"/>
        <v>Clean</v>
      </c>
    </row>
    <row r="875" spans="1:40">
      <c r="A875" t="s">
        <v>3980</v>
      </c>
      <c r="B875" s="3" t="s">
        <v>3981</v>
      </c>
      <c r="C875" s="10">
        <v>45689</v>
      </c>
      <c r="D875" s="3" t="s">
        <v>3982</v>
      </c>
      <c r="E875" s="10">
        <v>45696</v>
      </c>
      <c r="F875" s="6" t="str">
        <f t="shared" si="208"/>
        <v>Valid</v>
      </c>
      <c r="G875" s="8">
        <f t="shared" si="209"/>
        <v>7</v>
      </c>
      <c r="H875" s="8" t="str">
        <f t="shared" si="210"/>
        <v>Valid</v>
      </c>
      <c r="I875" t="s">
        <v>3983</v>
      </c>
      <c r="J875" t="s">
        <v>106</v>
      </c>
      <c r="K875" t="s">
        <v>106</v>
      </c>
      <c r="L875" t="s">
        <v>114</v>
      </c>
      <c r="M875" s="3" t="str">
        <f t="shared" si="211"/>
        <v>Home Office</v>
      </c>
      <c r="N875" t="s">
        <v>72</v>
      </c>
      <c r="O875" s="3" t="str">
        <f t="shared" si="212"/>
        <v>West</v>
      </c>
      <c r="P875" t="s">
        <v>234</v>
      </c>
      <c r="Q875" t="s">
        <v>235</v>
      </c>
      <c r="R875" t="s">
        <v>29</v>
      </c>
      <c r="S875" s="3" t="str">
        <f t="shared" si="213"/>
        <v>Office Supplies</v>
      </c>
      <c r="T875" t="s">
        <v>155</v>
      </c>
      <c r="U875" t="s">
        <v>3984</v>
      </c>
      <c r="V875" t="s">
        <v>32</v>
      </c>
      <c r="W875" s="3" t="str">
        <f t="shared" si="214"/>
        <v>Second Class</v>
      </c>
      <c r="X875">
        <v>8</v>
      </c>
      <c r="Y875">
        <v>623.30999999999995</v>
      </c>
      <c r="Z875">
        <v>0.1</v>
      </c>
      <c r="AA875">
        <f t="shared" si="218"/>
        <v>0.1</v>
      </c>
      <c r="AB875">
        <f t="shared" si="219"/>
        <v>4487.8319999999994</v>
      </c>
      <c r="AC875">
        <v>4487.83</v>
      </c>
      <c r="AD875">
        <v>2633.78</v>
      </c>
      <c r="AE875">
        <v>1854.05</v>
      </c>
      <c r="AF875" t="s">
        <v>33</v>
      </c>
      <c r="AG875" t="s">
        <v>34</v>
      </c>
      <c r="AH875" t="str">
        <f t="shared" si="215"/>
        <v>Completed</v>
      </c>
      <c r="AI875" t="str">
        <f t="shared" si="216"/>
        <v>Valid</v>
      </c>
      <c r="AJ875">
        <f t="shared" si="217"/>
        <v>1854.0499999999997</v>
      </c>
      <c r="AK875" s="12">
        <f t="shared" si="220"/>
        <v>0.41312820979038428</v>
      </c>
      <c r="AL875">
        <f t="shared" si="221"/>
        <v>2</v>
      </c>
      <c r="AM875">
        <f t="shared" si="222"/>
        <v>2025</v>
      </c>
      <c r="AN875" t="str">
        <f t="shared" si="223"/>
        <v>Clean</v>
      </c>
    </row>
    <row r="876" spans="1:40">
      <c r="A876" t="s">
        <v>3985</v>
      </c>
      <c r="B876" s="3" t="s">
        <v>2907</v>
      </c>
      <c r="C876" s="10">
        <v>45853</v>
      </c>
      <c r="D876" s="3" t="s">
        <v>1510</v>
      </c>
      <c r="E876" s="10">
        <v>45854</v>
      </c>
      <c r="F876" s="6" t="str">
        <f t="shared" si="208"/>
        <v>Valid</v>
      </c>
      <c r="G876" s="8">
        <f t="shared" si="209"/>
        <v>1</v>
      </c>
      <c r="H876" s="8" t="str">
        <f t="shared" si="210"/>
        <v>Valid</v>
      </c>
      <c r="I876" t="s">
        <v>3986</v>
      </c>
      <c r="J876" t="s">
        <v>82</v>
      </c>
      <c r="K876" t="s">
        <v>82</v>
      </c>
      <c r="L876" t="s">
        <v>40</v>
      </c>
      <c r="M876" s="3" t="str">
        <f t="shared" si="211"/>
        <v>Small Business</v>
      </c>
      <c r="N876" t="s">
        <v>72</v>
      </c>
      <c r="O876" s="3" t="str">
        <f t="shared" si="212"/>
        <v>West</v>
      </c>
      <c r="P876" t="s">
        <v>73</v>
      </c>
      <c r="Q876" t="s">
        <v>74</v>
      </c>
      <c r="R876" t="s">
        <v>29</v>
      </c>
      <c r="S876" s="3" t="str">
        <f t="shared" si="213"/>
        <v>Office Supplies</v>
      </c>
      <c r="T876" t="s">
        <v>30</v>
      </c>
      <c r="U876" t="s">
        <v>3987</v>
      </c>
      <c r="V876" t="s">
        <v>66</v>
      </c>
      <c r="W876" s="3" t="str">
        <f t="shared" si="214"/>
        <v>Standard Class</v>
      </c>
      <c r="X876">
        <v>8</v>
      </c>
      <c r="Y876">
        <v>3924.88</v>
      </c>
      <c r="Z876">
        <v>0.05</v>
      </c>
      <c r="AA876">
        <f t="shared" si="218"/>
        <v>0.05</v>
      </c>
      <c r="AB876">
        <f t="shared" si="219"/>
        <v>29829.088</v>
      </c>
      <c r="AC876">
        <v>29829.09</v>
      </c>
      <c r="AD876">
        <v>20710.18</v>
      </c>
      <c r="AE876">
        <v>9118.91</v>
      </c>
      <c r="AF876" t="s">
        <v>33</v>
      </c>
      <c r="AG876" t="s">
        <v>34</v>
      </c>
      <c r="AH876" t="str">
        <f t="shared" si="215"/>
        <v>Completed</v>
      </c>
      <c r="AI876" t="str">
        <f t="shared" si="216"/>
        <v>Valid</v>
      </c>
      <c r="AJ876">
        <f t="shared" si="217"/>
        <v>9118.91</v>
      </c>
      <c r="AK876" s="12">
        <f t="shared" si="220"/>
        <v>0.30570529008463149</v>
      </c>
      <c r="AL876">
        <f t="shared" si="221"/>
        <v>7</v>
      </c>
      <c r="AM876">
        <f t="shared" si="222"/>
        <v>2025</v>
      </c>
      <c r="AN876" t="str">
        <f t="shared" si="223"/>
        <v>Clean</v>
      </c>
    </row>
    <row r="877" spans="1:40">
      <c r="A877" t="s">
        <v>3988</v>
      </c>
      <c r="B877" s="3" t="s">
        <v>3989</v>
      </c>
      <c r="C877" s="10">
        <v>45514</v>
      </c>
      <c r="D877" s="3" t="s">
        <v>3990</v>
      </c>
      <c r="E877" s="10">
        <v>45515</v>
      </c>
      <c r="F877" s="6" t="str">
        <f t="shared" si="208"/>
        <v>Valid</v>
      </c>
      <c r="G877" s="8">
        <f t="shared" si="209"/>
        <v>1</v>
      </c>
      <c r="H877" s="8" t="str">
        <f t="shared" si="210"/>
        <v>Valid</v>
      </c>
      <c r="I877" t="s">
        <v>3991</v>
      </c>
      <c r="J877" t="s">
        <v>39</v>
      </c>
      <c r="K877" t="s">
        <v>39</v>
      </c>
      <c r="L877" t="s">
        <v>107</v>
      </c>
      <c r="M877" s="3" t="str">
        <f t="shared" si="211"/>
        <v>Corporate</v>
      </c>
      <c r="N877" t="s">
        <v>72</v>
      </c>
      <c r="O877" s="3" t="str">
        <f t="shared" si="212"/>
        <v>West</v>
      </c>
      <c r="P877" t="s">
        <v>73</v>
      </c>
      <c r="Q877" t="s">
        <v>74</v>
      </c>
      <c r="R877" t="s">
        <v>85</v>
      </c>
      <c r="S877" s="3" t="str">
        <f t="shared" si="213"/>
        <v>Technology</v>
      </c>
      <c r="T877" t="s">
        <v>93</v>
      </c>
      <c r="U877" t="s">
        <v>3992</v>
      </c>
      <c r="V877" t="s">
        <v>55</v>
      </c>
      <c r="W877" s="3" t="str">
        <f t="shared" si="214"/>
        <v>First Class</v>
      </c>
      <c r="X877">
        <v>7</v>
      </c>
      <c r="Y877">
        <v>3852.62</v>
      </c>
      <c r="Z877">
        <v>0.2</v>
      </c>
      <c r="AA877">
        <f t="shared" si="218"/>
        <v>0.2</v>
      </c>
      <c r="AB877">
        <f t="shared" si="219"/>
        <v>21574.672000000002</v>
      </c>
      <c r="AC877">
        <v>21574.67</v>
      </c>
      <c r="AD877">
        <v>14672.83</v>
      </c>
      <c r="AE877">
        <v>6901.84</v>
      </c>
      <c r="AF877" t="s">
        <v>33</v>
      </c>
      <c r="AG877" t="s">
        <v>34</v>
      </c>
      <c r="AH877" t="str">
        <f t="shared" si="215"/>
        <v>Completed</v>
      </c>
      <c r="AI877" t="str">
        <f t="shared" si="216"/>
        <v>Valid</v>
      </c>
      <c r="AJ877">
        <f t="shared" si="217"/>
        <v>6901.8399999999983</v>
      </c>
      <c r="AK877" s="12">
        <f t="shared" si="220"/>
        <v>0.31990474756696174</v>
      </c>
      <c r="AL877">
        <f t="shared" si="221"/>
        <v>8</v>
      </c>
      <c r="AM877">
        <f t="shared" si="222"/>
        <v>2024</v>
      </c>
      <c r="AN877" t="str">
        <f t="shared" si="223"/>
        <v>Clean</v>
      </c>
    </row>
    <row r="878" spans="1:40">
      <c r="A878" t="s">
        <v>3993</v>
      </c>
      <c r="B878" s="3" t="s">
        <v>3994</v>
      </c>
      <c r="C878" s="10">
        <v>45614</v>
      </c>
      <c r="D878" s="3" t="s">
        <v>3995</v>
      </c>
      <c r="E878" s="10">
        <v>45616</v>
      </c>
      <c r="F878" s="6" t="str">
        <f t="shared" si="208"/>
        <v>Valid</v>
      </c>
      <c r="G878" s="8">
        <f t="shared" si="209"/>
        <v>2</v>
      </c>
      <c r="H878" s="8" t="str">
        <f t="shared" si="210"/>
        <v>Valid</v>
      </c>
      <c r="I878" t="s">
        <v>3996</v>
      </c>
      <c r="J878" t="s">
        <v>141</v>
      </c>
      <c r="K878" t="s">
        <v>141</v>
      </c>
      <c r="L878" t="s">
        <v>25</v>
      </c>
      <c r="M878" s="3" t="str">
        <f t="shared" si="211"/>
        <v>Consumer</v>
      </c>
      <c r="N878" t="s">
        <v>72</v>
      </c>
      <c r="O878" s="3" t="str">
        <f t="shared" si="212"/>
        <v>West</v>
      </c>
      <c r="P878" t="s">
        <v>27</v>
      </c>
      <c r="Q878" t="s">
        <v>134</v>
      </c>
      <c r="R878" t="s">
        <v>44</v>
      </c>
      <c r="S878" s="3" t="str">
        <f t="shared" si="213"/>
        <v>Furniture</v>
      </c>
      <c r="T878" t="s">
        <v>75</v>
      </c>
      <c r="U878" t="s">
        <v>1290</v>
      </c>
      <c r="V878" t="s">
        <v>55</v>
      </c>
      <c r="W878" s="3" t="str">
        <f t="shared" si="214"/>
        <v>First Class</v>
      </c>
      <c r="X878">
        <v>6</v>
      </c>
      <c r="Y878">
        <v>3790.22</v>
      </c>
      <c r="Z878">
        <v>0</v>
      </c>
      <c r="AA878">
        <f t="shared" si="218"/>
        <v>0</v>
      </c>
      <c r="AB878">
        <f t="shared" si="219"/>
        <v>22741.32</v>
      </c>
      <c r="AC878">
        <v>22741.32</v>
      </c>
      <c r="AD878">
        <v>16388.57</v>
      </c>
      <c r="AE878">
        <v>6352.75</v>
      </c>
      <c r="AF878" t="s">
        <v>33</v>
      </c>
      <c r="AG878" t="s">
        <v>34</v>
      </c>
      <c r="AH878" t="str">
        <f t="shared" si="215"/>
        <v>Completed</v>
      </c>
      <c r="AI878" t="str">
        <f t="shared" si="216"/>
        <v>Valid</v>
      </c>
      <c r="AJ878">
        <f t="shared" si="217"/>
        <v>6352.75</v>
      </c>
      <c r="AK878" s="12">
        <f t="shared" si="220"/>
        <v>0.27934834037777928</v>
      </c>
      <c r="AL878">
        <f t="shared" si="221"/>
        <v>11</v>
      </c>
      <c r="AM878">
        <f t="shared" si="222"/>
        <v>2024</v>
      </c>
      <c r="AN878" t="str">
        <f t="shared" si="223"/>
        <v>Clean</v>
      </c>
    </row>
    <row r="879" spans="1:40">
      <c r="A879" t="s">
        <v>3997</v>
      </c>
      <c r="B879" s="3" t="s">
        <v>3998</v>
      </c>
      <c r="C879" s="10">
        <v>45895</v>
      </c>
      <c r="D879" s="3" t="s">
        <v>2766</v>
      </c>
      <c r="E879" s="10">
        <v>45903</v>
      </c>
      <c r="F879" s="6" t="str">
        <f t="shared" si="208"/>
        <v>Valid</v>
      </c>
      <c r="G879" s="8">
        <f t="shared" si="209"/>
        <v>8</v>
      </c>
      <c r="H879" s="8" t="str">
        <f t="shared" si="210"/>
        <v>Valid</v>
      </c>
      <c r="I879" t="s">
        <v>3999</v>
      </c>
      <c r="J879" t="s">
        <v>161</v>
      </c>
      <c r="K879" t="s">
        <v>161</v>
      </c>
      <c r="L879" t="s">
        <v>25</v>
      </c>
      <c r="M879" s="3" t="str">
        <f t="shared" si="211"/>
        <v>Consumer</v>
      </c>
      <c r="N879" t="s">
        <v>72</v>
      </c>
      <c r="O879" s="3" t="str">
        <f t="shared" si="212"/>
        <v>West</v>
      </c>
      <c r="P879" t="s">
        <v>27</v>
      </c>
      <c r="Q879" t="s">
        <v>134</v>
      </c>
      <c r="R879" t="s">
        <v>29</v>
      </c>
      <c r="S879" s="3" t="str">
        <f t="shared" si="213"/>
        <v>Office Supplies</v>
      </c>
      <c r="T879" t="s">
        <v>155</v>
      </c>
      <c r="U879" t="s">
        <v>4000</v>
      </c>
      <c r="V879" t="s">
        <v>32</v>
      </c>
      <c r="W879" s="3" t="str">
        <f t="shared" si="214"/>
        <v>Second Class</v>
      </c>
      <c r="X879">
        <v>6</v>
      </c>
      <c r="Y879">
        <v>674.36</v>
      </c>
      <c r="Z879">
        <v>0.1</v>
      </c>
      <c r="AA879">
        <f t="shared" si="218"/>
        <v>0.1</v>
      </c>
      <c r="AB879">
        <f t="shared" si="219"/>
        <v>3641.5439999999999</v>
      </c>
      <c r="AC879">
        <v>3641.54</v>
      </c>
      <c r="AD879">
        <v>2690.37</v>
      </c>
      <c r="AE879">
        <v>951.17</v>
      </c>
      <c r="AF879" t="s">
        <v>33</v>
      </c>
      <c r="AG879" t="s">
        <v>34</v>
      </c>
      <c r="AH879" t="str">
        <f t="shared" si="215"/>
        <v>Completed</v>
      </c>
      <c r="AI879" t="str">
        <f t="shared" si="216"/>
        <v>Valid</v>
      </c>
      <c r="AJ879">
        <f t="shared" si="217"/>
        <v>951.17000000000007</v>
      </c>
      <c r="AK879" s="12">
        <f t="shared" si="220"/>
        <v>0.26119964498575332</v>
      </c>
      <c r="AL879">
        <f t="shared" si="221"/>
        <v>8</v>
      </c>
      <c r="AM879">
        <f t="shared" si="222"/>
        <v>2025</v>
      </c>
      <c r="AN879" t="str">
        <f t="shared" si="223"/>
        <v>Clean</v>
      </c>
    </row>
    <row r="880" spans="1:40">
      <c r="A880" t="s">
        <v>4001</v>
      </c>
      <c r="B880" s="3" t="s">
        <v>2037</v>
      </c>
      <c r="C880" s="10">
        <v>45313</v>
      </c>
      <c r="D880" s="3" t="s">
        <v>2037</v>
      </c>
      <c r="E880" s="10">
        <v>45313</v>
      </c>
      <c r="F880" s="6" t="str">
        <f t="shared" si="208"/>
        <v>Valid</v>
      </c>
      <c r="G880" s="8">
        <f t="shared" si="209"/>
        <v>0</v>
      </c>
      <c r="H880" s="8" t="str">
        <f t="shared" si="210"/>
        <v>Valid</v>
      </c>
      <c r="I880" t="s">
        <v>4002</v>
      </c>
      <c r="J880" t="s">
        <v>24</v>
      </c>
      <c r="K880" t="s">
        <v>24</v>
      </c>
      <c r="L880" t="s">
        <v>107</v>
      </c>
      <c r="M880" s="3" t="str">
        <f t="shared" si="211"/>
        <v>Corporate</v>
      </c>
      <c r="N880" t="s">
        <v>41</v>
      </c>
      <c r="O880" s="3" t="str">
        <f t="shared" si="212"/>
        <v>East</v>
      </c>
      <c r="P880" t="s">
        <v>120</v>
      </c>
      <c r="Q880" t="s">
        <v>121</v>
      </c>
      <c r="R880" t="s">
        <v>29</v>
      </c>
      <c r="S880" s="3" t="str">
        <f t="shared" si="213"/>
        <v>Office Supplies</v>
      </c>
      <c r="T880" t="s">
        <v>30</v>
      </c>
      <c r="U880" t="s">
        <v>4003</v>
      </c>
      <c r="V880" t="s">
        <v>55</v>
      </c>
      <c r="W880" s="3" t="str">
        <f t="shared" si="214"/>
        <v>First Class</v>
      </c>
      <c r="X880">
        <v>8</v>
      </c>
      <c r="Y880">
        <v>1557.21</v>
      </c>
      <c r="Z880">
        <v>0.05</v>
      </c>
      <c r="AA880">
        <f t="shared" si="218"/>
        <v>0.05</v>
      </c>
      <c r="AB880">
        <f t="shared" si="219"/>
        <v>11834.796</v>
      </c>
      <c r="AC880">
        <v>11834.8</v>
      </c>
      <c r="AD880">
        <v>9322.36</v>
      </c>
      <c r="AE880">
        <v>2512.44</v>
      </c>
      <c r="AF880" t="s">
        <v>33</v>
      </c>
      <c r="AG880" t="s">
        <v>34</v>
      </c>
      <c r="AH880" t="str">
        <f t="shared" si="215"/>
        <v>Completed</v>
      </c>
      <c r="AI880" t="str">
        <f t="shared" si="216"/>
        <v>Valid</v>
      </c>
      <c r="AJ880">
        <f t="shared" si="217"/>
        <v>2512.4399999999987</v>
      </c>
      <c r="AK880" s="12">
        <f t="shared" si="220"/>
        <v>0.21229263267402315</v>
      </c>
      <c r="AL880">
        <f t="shared" si="221"/>
        <v>1</v>
      </c>
      <c r="AM880">
        <f t="shared" si="222"/>
        <v>2024</v>
      </c>
      <c r="AN880" t="str">
        <f t="shared" si="223"/>
        <v>Clean</v>
      </c>
    </row>
    <row r="881" spans="1:40">
      <c r="A881" t="s">
        <v>4004</v>
      </c>
      <c r="B881" s="3" t="s">
        <v>4005</v>
      </c>
      <c r="C881" s="10">
        <v>45896</v>
      </c>
      <c r="D881" s="3" t="s">
        <v>434</v>
      </c>
      <c r="E881" s="10">
        <v>45897</v>
      </c>
      <c r="F881" s="6" t="str">
        <f t="shared" si="208"/>
        <v>Valid</v>
      </c>
      <c r="G881" s="8">
        <f t="shared" si="209"/>
        <v>1</v>
      </c>
      <c r="H881" s="8" t="str">
        <f t="shared" si="210"/>
        <v>Valid</v>
      </c>
      <c r="I881" t="s">
        <v>4006</v>
      </c>
      <c r="J881" t="s">
        <v>71</v>
      </c>
      <c r="K881" t="s">
        <v>71</v>
      </c>
      <c r="L881" t="s">
        <v>114</v>
      </c>
      <c r="M881" s="3" t="str">
        <f t="shared" si="211"/>
        <v>Home Office</v>
      </c>
      <c r="N881" t="s">
        <v>26</v>
      </c>
      <c r="O881" s="3" t="str">
        <f t="shared" si="212"/>
        <v>North</v>
      </c>
      <c r="P881" t="s">
        <v>173</v>
      </c>
      <c r="Q881" t="s">
        <v>174</v>
      </c>
      <c r="R881" t="s">
        <v>29</v>
      </c>
      <c r="S881" s="3" t="str">
        <f t="shared" si="213"/>
        <v>Office Supplies</v>
      </c>
      <c r="T881" t="s">
        <v>53</v>
      </c>
      <c r="U881" t="s">
        <v>4007</v>
      </c>
      <c r="V881" t="s">
        <v>66</v>
      </c>
      <c r="W881" s="3" t="str">
        <f t="shared" si="214"/>
        <v>Standard Class</v>
      </c>
      <c r="X881">
        <v>6</v>
      </c>
      <c r="Y881">
        <v>1182.03</v>
      </c>
      <c r="Z881">
        <v>0.15</v>
      </c>
      <c r="AA881">
        <f t="shared" si="218"/>
        <v>0.15</v>
      </c>
      <c r="AB881">
        <f t="shared" si="219"/>
        <v>6028.3530000000001</v>
      </c>
      <c r="AC881">
        <v>6028.35</v>
      </c>
      <c r="AD881">
        <v>4433.63</v>
      </c>
      <c r="AE881">
        <v>1594.72</v>
      </c>
      <c r="AF881" t="s">
        <v>33</v>
      </c>
      <c r="AG881" t="s">
        <v>34</v>
      </c>
      <c r="AH881" t="str">
        <f t="shared" si="215"/>
        <v>Completed</v>
      </c>
      <c r="AI881" t="str">
        <f t="shared" si="216"/>
        <v>Valid</v>
      </c>
      <c r="AJ881">
        <f t="shared" si="217"/>
        <v>1594.7200000000003</v>
      </c>
      <c r="AK881" s="12">
        <f t="shared" si="220"/>
        <v>0.26453659896824228</v>
      </c>
      <c r="AL881">
        <f t="shared" si="221"/>
        <v>8</v>
      </c>
      <c r="AM881">
        <f t="shared" si="222"/>
        <v>2025</v>
      </c>
      <c r="AN881" t="str">
        <f t="shared" si="223"/>
        <v>Clean</v>
      </c>
    </row>
    <row r="882" spans="1:40">
      <c r="A882" t="s">
        <v>4008</v>
      </c>
      <c r="B882" s="3" t="s">
        <v>4009</v>
      </c>
      <c r="C882" s="10">
        <v>45359</v>
      </c>
      <c r="D882" s="3" t="s">
        <v>1122</v>
      </c>
      <c r="E882" s="10">
        <v>45366</v>
      </c>
      <c r="F882" s="6" t="str">
        <f t="shared" si="208"/>
        <v>Valid</v>
      </c>
      <c r="G882" s="8">
        <f t="shared" si="209"/>
        <v>7</v>
      </c>
      <c r="H882" s="8" t="str">
        <f t="shared" si="210"/>
        <v>Valid</v>
      </c>
      <c r="I882" t="s">
        <v>4010</v>
      </c>
      <c r="J882" t="s">
        <v>161</v>
      </c>
      <c r="K882" t="s">
        <v>161</v>
      </c>
      <c r="L882" t="s">
        <v>40</v>
      </c>
      <c r="M882" s="3" t="str">
        <f t="shared" si="211"/>
        <v>Small Business</v>
      </c>
      <c r="O882" s="3" t="str">
        <f t="shared" si="212"/>
        <v>Unknown</v>
      </c>
      <c r="P882" t="s">
        <v>153</v>
      </c>
      <c r="Q882" t="s">
        <v>154</v>
      </c>
      <c r="R882" t="s">
        <v>44</v>
      </c>
      <c r="S882" s="3" t="str">
        <f t="shared" si="213"/>
        <v>Furniture</v>
      </c>
      <c r="T882" t="s">
        <v>75</v>
      </c>
      <c r="U882" t="s">
        <v>4011</v>
      </c>
      <c r="V882" t="s">
        <v>55</v>
      </c>
      <c r="W882" s="3" t="str">
        <f t="shared" si="214"/>
        <v>First Class</v>
      </c>
      <c r="X882">
        <v>5</v>
      </c>
      <c r="Y882">
        <v>3234.77</v>
      </c>
      <c r="Z882">
        <v>0</v>
      </c>
      <c r="AA882">
        <f t="shared" si="218"/>
        <v>0</v>
      </c>
      <c r="AB882">
        <f t="shared" si="219"/>
        <v>16173.85</v>
      </c>
      <c r="AC882">
        <v>16173.85</v>
      </c>
      <c r="AD882">
        <v>13636.34</v>
      </c>
      <c r="AE882">
        <v>2537.5100000000002</v>
      </c>
      <c r="AF882" t="s">
        <v>33</v>
      </c>
      <c r="AG882" t="s">
        <v>34</v>
      </c>
      <c r="AH882" t="str">
        <f t="shared" si="215"/>
        <v>Completed</v>
      </c>
      <c r="AI882" t="str">
        <f t="shared" si="216"/>
        <v>Valid</v>
      </c>
      <c r="AJ882">
        <f t="shared" si="217"/>
        <v>2537.5100000000002</v>
      </c>
      <c r="AK882" s="12">
        <f t="shared" si="220"/>
        <v>0.15688967067210344</v>
      </c>
      <c r="AL882">
        <f t="shared" si="221"/>
        <v>3</v>
      </c>
      <c r="AM882">
        <f t="shared" si="222"/>
        <v>2024</v>
      </c>
      <c r="AN882" t="str">
        <f t="shared" si="223"/>
        <v>Clean</v>
      </c>
    </row>
    <row r="883" spans="1:40">
      <c r="A883" t="s">
        <v>4012</v>
      </c>
      <c r="B883" s="3" t="s">
        <v>2537</v>
      </c>
      <c r="C883" s="10">
        <v>45627</v>
      </c>
      <c r="D883" s="3" t="s">
        <v>4013</v>
      </c>
      <c r="E883" s="10">
        <v>45631</v>
      </c>
      <c r="F883" s="6" t="str">
        <f t="shared" si="208"/>
        <v>Valid</v>
      </c>
      <c r="G883" s="8">
        <f t="shared" si="209"/>
        <v>4</v>
      </c>
      <c r="H883" s="8" t="str">
        <f t="shared" si="210"/>
        <v>Valid</v>
      </c>
      <c r="I883" t="s">
        <v>4014</v>
      </c>
      <c r="J883" t="s">
        <v>71</v>
      </c>
      <c r="K883" t="s">
        <v>71</v>
      </c>
      <c r="L883" t="s">
        <v>40</v>
      </c>
      <c r="M883" s="3" t="str">
        <f t="shared" si="211"/>
        <v>Small Business</v>
      </c>
      <c r="N883" t="s">
        <v>61</v>
      </c>
      <c r="O883" s="3" t="str">
        <f t="shared" si="212"/>
        <v>South</v>
      </c>
      <c r="P883" t="s">
        <v>99</v>
      </c>
      <c r="Q883" t="s">
        <v>100</v>
      </c>
      <c r="R883" t="s">
        <v>85</v>
      </c>
      <c r="S883" s="3" t="str">
        <f t="shared" si="213"/>
        <v>Technology</v>
      </c>
      <c r="T883" t="s">
        <v>93</v>
      </c>
      <c r="U883" t="s">
        <v>4015</v>
      </c>
      <c r="V883" t="s">
        <v>32</v>
      </c>
      <c r="W883" s="3" t="str">
        <f t="shared" si="214"/>
        <v>Second Class</v>
      </c>
      <c r="X883">
        <v>9</v>
      </c>
      <c r="Y883">
        <v>3726.75</v>
      </c>
      <c r="Z883">
        <v>0.25</v>
      </c>
      <c r="AA883">
        <f t="shared" si="218"/>
        <v>0.25</v>
      </c>
      <c r="AB883">
        <f t="shared" si="219"/>
        <v>25155.5625</v>
      </c>
      <c r="AC883">
        <v>25155.56</v>
      </c>
      <c r="AD883">
        <v>17592.689999999999</v>
      </c>
      <c r="AE883">
        <v>7562.87</v>
      </c>
      <c r="AF883" t="s">
        <v>33</v>
      </c>
      <c r="AG883" t="s">
        <v>34</v>
      </c>
      <c r="AH883" t="str">
        <f t="shared" si="215"/>
        <v>Completed</v>
      </c>
      <c r="AI883" t="str">
        <f t="shared" si="216"/>
        <v>Valid</v>
      </c>
      <c r="AJ883">
        <f t="shared" si="217"/>
        <v>7562.8700000000026</v>
      </c>
      <c r="AK883" s="12">
        <f t="shared" si="220"/>
        <v>0.30064404244588061</v>
      </c>
      <c r="AL883">
        <f t="shared" si="221"/>
        <v>12</v>
      </c>
      <c r="AM883">
        <f t="shared" si="222"/>
        <v>2024</v>
      </c>
      <c r="AN883" t="str">
        <f t="shared" si="223"/>
        <v>Clean</v>
      </c>
    </row>
    <row r="884" spans="1:40">
      <c r="A884" t="s">
        <v>4016</v>
      </c>
      <c r="B884" s="3" t="s">
        <v>4017</v>
      </c>
      <c r="C884" s="10">
        <v>45690</v>
      </c>
      <c r="D884" s="3" t="s">
        <v>1334</v>
      </c>
      <c r="E884" s="10">
        <v>45698</v>
      </c>
      <c r="F884" s="6" t="str">
        <f t="shared" si="208"/>
        <v>Valid</v>
      </c>
      <c r="G884" s="8">
        <f t="shared" si="209"/>
        <v>8</v>
      </c>
      <c r="H884" s="8" t="str">
        <f t="shared" si="210"/>
        <v>Valid</v>
      </c>
      <c r="I884" t="s">
        <v>4018</v>
      </c>
      <c r="J884" t="s">
        <v>167</v>
      </c>
      <c r="K884" t="s">
        <v>167</v>
      </c>
      <c r="L884" t="s">
        <v>107</v>
      </c>
      <c r="M884" s="3" t="str">
        <f t="shared" si="211"/>
        <v>Corporate</v>
      </c>
      <c r="N884" t="s">
        <v>41</v>
      </c>
      <c r="O884" s="3" t="str">
        <f t="shared" si="212"/>
        <v>East</v>
      </c>
      <c r="P884" t="s">
        <v>185</v>
      </c>
      <c r="Q884" t="s">
        <v>186</v>
      </c>
      <c r="R884" t="s">
        <v>85</v>
      </c>
      <c r="S884" s="3" t="str">
        <f t="shared" si="213"/>
        <v>Technology</v>
      </c>
      <c r="T884" t="s">
        <v>86</v>
      </c>
      <c r="U884" t="s">
        <v>4019</v>
      </c>
      <c r="V884" t="s">
        <v>66</v>
      </c>
      <c r="W884" s="3" t="str">
        <f t="shared" si="214"/>
        <v>Standard Class</v>
      </c>
      <c r="X884">
        <v>4</v>
      </c>
      <c r="Y884">
        <v>1912.45</v>
      </c>
      <c r="Z884">
        <v>0</v>
      </c>
      <c r="AA884">
        <f t="shared" si="218"/>
        <v>0</v>
      </c>
      <c r="AB884">
        <f t="shared" si="219"/>
        <v>7649.8</v>
      </c>
      <c r="AC884">
        <v>7649.8</v>
      </c>
      <c r="AD884">
        <v>4894.53</v>
      </c>
      <c r="AE884">
        <v>2755.27</v>
      </c>
      <c r="AF884" t="s">
        <v>136</v>
      </c>
      <c r="AG884" t="s">
        <v>124</v>
      </c>
      <c r="AH884" t="str">
        <f t="shared" si="215"/>
        <v>Returned</v>
      </c>
      <c r="AI884" t="str">
        <f t="shared" si="216"/>
        <v>Valid</v>
      </c>
      <c r="AJ884">
        <f t="shared" si="217"/>
        <v>2755.2700000000004</v>
      </c>
      <c r="AK884" s="12">
        <f t="shared" si="220"/>
        <v>0.36017542942299152</v>
      </c>
      <c r="AL884">
        <f t="shared" si="221"/>
        <v>2</v>
      </c>
      <c r="AM884">
        <f t="shared" si="222"/>
        <v>2025</v>
      </c>
      <c r="AN884" t="str">
        <f t="shared" si="223"/>
        <v>Clean</v>
      </c>
    </row>
    <row r="885" spans="1:40">
      <c r="A885" t="s">
        <v>4020</v>
      </c>
      <c r="B885" s="3" t="s">
        <v>4021</v>
      </c>
      <c r="C885" s="10">
        <v>45775</v>
      </c>
      <c r="D885" s="3" t="s">
        <v>4022</v>
      </c>
      <c r="E885" s="10">
        <v>45778</v>
      </c>
      <c r="F885" s="6" t="str">
        <f t="shared" si="208"/>
        <v>Valid</v>
      </c>
      <c r="G885" s="8">
        <f t="shared" si="209"/>
        <v>3</v>
      </c>
      <c r="H885" s="8" t="str">
        <f t="shared" si="210"/>
        <v>Valid</v>
      </c>
      <c r="I885" t="s">
        <v>4023</v>
      </c>
      <c r="J885" t="s">
        <v>161</v>
      </c>
      <c r="K885" t="s">
        <v>161</v>
      </c>
      <c r="L885" t="s">
        <v>40</v>
      </c>
      <c r="M885" s="3" t="str">
        <f t="shared" si="211"/>
        <v>Small Business</v>
      </c>
      <c r="N885" t="s">
        <v>72</v>
      </c>
      <c r="O885" s="3" t="str">
        <f t="shared" si="212"/>
        <v>West</v>
      </c>
      <c r="P885" t="s">
        <v>248</v>
      </c>
      <c r="Q885" t="s">
        <v>249</v>
      </c>
      <c r="R885" t="s">
        <v>29</v>
      </c>
      <c r="S885" s="3" t="str">
        <f t="shared" si="213"/>
        <v>Office Supplies</v>
      </c>
      <c r="T885" t="s">
        <v>155</v>
      </c>
      <c r="U885" t="s">
        <v>4024</v>
      </c>
      <c r="V885" t="s">
        <v>47</v>
      </c>
      <c r="W885" s="3" t="str">
        <f t="shared" si="214"/>
        <v>Same Day</v>
      </c>
      <c r="X885">
        <v>1</v>
      </c>
      <c r="Y885">
        <v>1620.87</v>
      </c>
      <c r="Z885">
        <v>0</v>
      </c>
      <c r="AA885">
        <f t="shared" si="218"/>
        <v>0</v>
      </c>
      <c r="AB885">
        <f t="shared" si="219"/>
        <v>1620.87</v>
      </c>
      <c r="AC885">
        <v>1620.87</v>
      </c>
      <c r="AD885">
        <v>1103.6099999999999</v>
      </c>
      <c r="AE885">
        <v>517.26</v>
      </c>
      <c r="AF885" t="s">
        <v>33</v>
      </c>
      <c r="AG885" t="s">
        <v>34</v>
      </c>
      <c r="AH885" t="str">
        <f t="shared" si="215"/>
        <v>Completed</v>
      </c>
      <c r="AI885" t="str">
        <f t="shared" si="216"/>
        <v>Valid</v>
      </c>
      <c r="AJ885">
        <f t="shared" si="217"/>
        <v>517.26</v>
      </c>
      <c r="AK885" s="12">
        <f t="shared" si="220"/>
        <v>0.31912491439782342</v>
      </c>
      <c r="AL885">
        <f t="shared" si="221"/>
        <v>4</v>
      </c>
      <c r="AM885">
        <f t="shared" si="222"/>
        <v>2025</v>
      </c>
      <c r="AN885" t="str">
        <f t="shared" si="223"/>
        <v>Clean</v>
      </c>
    </row>
    <row r="886" spans="1:40">
      <c r="A886" t="s">
        <v>4025</v>
      </c>
      <c r="B886" s="3" t="s">
        <v>4026</v>
      </c>
      <c r="C886" s="10">
        <v>45675</v>
      </c>
      <c r="D886" s="3" t="s">
        <v>4027</v>
      </c>
      <c r="E886" s="10">
        <v>45682</v>
      </c>
      <c r="F886" s="6" t="str">
        <f t="shared" si="208"/>
        <v>Valid</v>
      </c>
      <c r="G886" s="8">
        <f t="shared" si="209"/>
        <v>7</v>
      </c>
      <c r="H886" s="8" t="str">
        <f t="shared" si="210"/>
        <v>Valid</v>
      </c>
      <c r="I886" t="s">
        <v>4028</v>
      </c>
      <c r="J886" t="s">
        <v>92</v>
      </c>
      <c r="K886" t="s">
        <v>92</v>
      </c>
      <c r="L886" t="s">
        <v>114</v>
      </c>
      <c r="M886" s="3" t="str">
        <f t="shared" si="211"/>
        <v>Home Office</v>
      </c>
      <c r="N886" t="s">
        <v>61</v>
      </c>
      <c r="O886" s="3" t="str">
        <f t="shared" si="212"/>
        <v>South</v>
      </c>
      <c r="P886" t="s">
        <v>228</v>
      </c>
      <c r="Q886" t="s">
        <v>229</v>
      </c>
      <c r="R886" t="s">
        <v>29</v>
      </c>
      <c r="S886" s="3" t="str">
        <f t="shared" si="213"/>
        <v>Office Supplies</v>
      </c>
      <c r="T886" t="s">
        <v>155</v>
      </c>
      <c r="U886" t="s">
        <v>4029</v>
      </c>
      <c r="V886" t="s">
        <v>47</v>
      </c>
      <c r="W886" s="3" t="str">
        <f t="shared" si="214"/>
        <v>Same Day</v>
      </c>
      <c r="X886">
        <v>2</v>
      </c>
      <c r="Y886">
        <v>2098.54</v>
      </c>
      <c r="Z886">
        <v>0.15</v>
      </c>
      <c r="AA886">
        <f t="shared" si="218"/>
        <v>0.15</v>
      </c>
      <c r="AB886">
        <f t="shared" si="219"/>
        <v>3567.518</v>
      </c>
      <c r="AC886">
        <v>3567.52</v>
      </c>
      <c r="AD886">
        <v>2411.8000000000002</v>
      </c>
      <c r="AE886">
        <v>1155.72</v>
      </c>
      <c r="AF886" t="s">
        <v>33</v>
      </c>
      <c r="AG886" t="s">
        <v>34</v>
      </c>
      <c r="AH886" t="str">
        <f t="shared" si="215"/>
        <v>Completed</v>
      </c>
      <c r="AI886" t="str">
        <f t="shared" si="216"/>
        <v>Valid</v>
      </c>
      <c r="AJ886">
        <f t="shared" si="217"/>
        <v>1155.7199999999998</v>
      </c>
      <c r="AK886" s="12">
        <f t="shared" si="220"/>
        <v>0.32395631921128354</v>
      </c>
      <c r="AL886">
        <f t="shared" si="221"/>
        <v>1</v>
      </c>
      <c r="AM886">
        <f t="shared" si="222"/>
        <v>2025</v>
      </c>
      <c r="AN886" t="str">
        <f t="shared" si="223"/>
        <v>Clean</v>
      </c>
    </row>
    <row r="887" spans="1:40">
      <c r="A887" t="s">
        <v>4030</v>
      </c>
      <c r="B887" s="3" t="s">
        <v>4031</v>
      </c>
      <c r="C887" s="10">
        <v>45296</v>
      </c>
      <c r="D887" s="3" t="s">
        <v>4031</v>
      </c>
      <c r="E887" s="10">
        <v>45296</v>
      </c>
      <c r="F887" s="6" t="str">
        <f t="shared" si="208"/>
        <v>Valid</v>
      </c>
      <c r="G887" s="8">
        <f t="shared" si="209"/>
        <v>0</v>
      </c>
      <c r="H887" s="8" t="str">
        <f t="shared" si="210"/>
        <v>Valid</v>
      </c>
      <c r="I887" t="s">
        <v>4032</v>
      </c>
      <c r="J887" t="s">
        <v>209</v>
      </c>
      <c r="K887" t="s">
        <v>209</v>
      </c>
      <c r="L887" t="s">
        <v>25</v>
      </c>
      <c r="M887" s="3" t="str">
        <f t="shared" si="211"/>
        <v>Consumer</v>
      </c>
      <c r="N887" t="s">
        <v>26</v>
      </c>
      <c r="O887" s="3" t="str">
        <f t="shared" si="212"/>
        <v>North</v>
      </c>
      <c r="P887" t="s">
        <v>27</v>
      </c>
      <c r="Q887" t="s">
        <v>28</v>
      </c>
      <c r="R887" t="s">
        <v>44</v>
      </c>
      <c r="S887" s="3" t="str">
        <f t="shared" si="213"/>
        <v>Furniture</v>
      </c>
      <c r="T887" t="s">
        <v>45</v>
      </c>
      <c r="U887" t="s">
        <v>4033</v>
      </c>
      <c r="V887" t="s">
        <v>66</v>
      </c>
      <c r="W887" s="3" t="str">
        <f t="shared" si="214"/>
        <v>Standard Class</v>
      </c>
      <c r="X887">
        <v>1</v>
      </c>
      <c r="Y887">
        <v>2167.08</v>
      </c>
      <c r="Z887">
        <v>0.25</v>
      </c>
      <c r="AA887">
        <f t="shared" si="218"/>
        <v>0.25</v>
      </c>
      <c r="AB887">
        <f t="shared" si="219"/>
        <v>1625.31</v>
      </c>
      <c r="AC887">
        <v>1625.31</v>
      </c>
      <c r="AD887">
        <v>1157.8900000000001</v>
      </c>
      <c r="AE887">
        <v>467.42</v>
      </c>
      <c r="AF887" t="s">
        <v>33</v>
      </c>
      <c r="AG887" t="s">
        <v>34</v>
      </c>
      <c r="AH887" t="str">
        <f t="shared" si="215"/>
        <v>Completed</v>
      </c>
      <c r="AI887" t="str">
        <f t="shared" si="216"/>
        <v>Valid</v>
      </c>
      <c r="AJ887">
        <f t="shared" si="217"/>
        <v>467.41999999999985</v>
      </c>
      <c r="AK887" s="12">
        <f t="shared" si="220"/>
        <v>0.28758821394072509</v>
      </c>
      <c r="AL887">
        <f t="shared" si="221"/>
        <v>1</v>
      </c>
      <c r="AM887">
        <f t="shared" si="222"/>
        <v>2024</v>
      </c>
      <c r="AN887" t="str">
        <f t="shared" si="223"/>
        <v>Clean</v>
      </c>
    </row>
    <row r="888" spans="1:40">
      <c r="A888" t="s">
        <v>4034</v>
      </c>
      <c r="B888" s="3" t="s">
        <v>4035</v>
      </c>
      <c r="C888" s="10">
        <v>45773</v>
      </c>
      <c r="D888" s="3" t="s">
        <v>4036</v>
      </c>
      <c r="E888" s="10">
        <v>45780</v>
      </c>
      <c r="F888" s="6" t="str">
        <f t="shared" si="208"/>
        <v>Valid</v>
      </c>
      <c r="G888" s="8">
        <f t="shared" si="209"/>
        <v>7</v>
      </c>
      <c r="H888" s="8" t="str">
        <f t="shared" si="210"/>
        <v>Valid</v>
      </c>
      <c r="I888" t="s">
        <v>4037</v>
      </c>
      <c r="J888" t="s">
        <v>60</v>
      </c>
      <c r="K888" t="s">
        <v>60</v>
      </c>
      <c r="L888" t="s">
        <v>114</v>
      </c>
      <c r="M888" s="3" t="str">
        <f t="shared" si="211"/>
        <v>Home Office</v>
      </c>
      <c r="N888" t="s">
        <v>61</v>
      </c>
      <c r="O888" s="3" t="str">
        <f t="shared" si="212"/>
        <v>South</v>
      </c>
      <c r="P888" t="s">
        <v>338</v>
      </c>
      <c r="Q888" t="s">
        <v>339</v>
      </c>
      <c r="R888" t="s">
        <v>85</v>
      </c>
      <c r="S888" s="3" t="str">
        <f t="shared" si="213"/>
        <v>Technology</v>
      </c>
      <c r="T888" t="s">
        <v>86</v>
      </c>
      <c r="U888" t="s">
        <v>4038</v>
      </c>
      <c r="V888" t="s">
        <v>55</v>
      </c>
      <c r="W888" s="3" t="str">
        <f t="shared" si="214"/>
        <v>First Class</v>
      </c>
      <c r="X888">
        <v>7</v>
      </c>
      <c r="Y888">
        <v>3989.9</v>
      </c>
      <c r="Z888">
        <v>0.15</v>
      </c>
      <c r="AA888">
        <f t="shared" si="218"/>
        <v>0.15</v>
      </c>
      <c r="AB888">
        <f t="shared" si="219"/>
        <v>23739.904999999999</v>
      </c>
      <c r="AC888">
        <v>23739.9</v>
      </c>
      <c r="AD888">
        <v>17716.52</v>
      </c>
      <c r="AE888">
        <v>6023.38</v>
      </c>
      <c r="AF888" t="s">
        <v>33</v>
      </c>
      <c r="AG888" t="s">
        <v>77</v>
      </c>
      <c r="AH888" t="str">
        <f t="shared" si="215"/>
        <v>Cancelled</v>
      </c>
      <c r="AI888" t="str">
        <f t="shared" si="216"/>
        <v>Valid</v>
      </c>
      <c r="AJ888">
        <f t="shared" si="217"/>
        <v>6023.380000000001</v>
      </c>
      <c r="AK888" s="12">
        <f t="shared" si="220"/>
        <v>0.25372384598843178</v>
      </c>
      <c r="AL888">
        <f t="shared" si="221"/>
        <v>4</v>
      </c>
      <c r="AM888">
        <f t="shared" si="222"/>
        <v>2025</v>
      </c>
      <c r="AN888" t="str">
        <f t="shared" si="223"/>
        <v>Clean</v>
      </c>
    </row>
    <row r="889" spans="1:40">
      <c r="A889" t="s">
        <v>4039</v>
      </c>
      <c r="B889" s="3" t="s">
        <v>3917</v>
      </c>
      <c r="C889" s="10">
        <v>45455</v>
      </c>
      <c r="D889" s="3" t="s">
        <v>683</v>
      </c>
      <c r="E889" s="10">
        <v>45461</v>
      </c>
      <c r="F889" s="6" t="str">
        <f t="shared" si="208"/>
        <v>Valid</v>
      </c>
      <c r="G889" s="8">
        <f t="shared" si="209"/>
        <v>6</v>
      </c>
      <c r="H889" s="8" t="str">
        <f t="shared" si="210"/>
        <v>Valid</v>
      </c>
      <c r="I889" t="s">
        <v>4040</v>
      </c>
      <c r="J889" t="s">
        <v>161</v>
      </c>
      <c r="K889" t="s">
        <v>161</v>
      </c>
      <c r="L889" t="s">
        <v>40</v>
      </c>
      <c r="M889" s="3" t="str">
        <f t="shared" si="211"/>
        <v>Small Business</v>
      </c>
      <c r="N889" t="s">
        <v>61</v>
      </c>
      <c r="O889" s="3" t="str">
        <f t="shared" si="212"/>
        <v>South</v>
      </c>
      <c r="P889" t="s">
        <v>99</v>
      </c>
      <c r="Q889" t="s">
        <v>100</v>
      </c>
      <c r="R889" t="s">
        <v>29</v>
      </c>
      <c r="S889" s="3" t="str">
        <f t="shared" si="213"/>
        <v>Office Supplies</v>
      </c>
      <c r="T889" t="s">
        <v>53</v>
      </c>
      <c r="U889" t="s">
        <v>4041</v>
      </c>
      <c r="V889" t="s">
        <v>66</v>
      </c>
      <c r="W889" s="3" t="str">
        <f t="shared" si="214"/>
        <v>Standard Class</v>
      </c>
      <c r="X889">
        <v>4</v>
      </c>
      <c r="Y889">
        <v>4176.13</v>
      </c>
      <c r="Z889">
        <v>0</v>
      </c>
      <c r="AA889">
        <f t="shared" si="218"/>
        <v>0</v>
      </c>
      <c r="AB889">
        <f t="shared" si="219"/>
        <v>16704.52</v>
      </c>
      <c r="AC889">
        <v>16704.52</v>
      </c>
      <c r="AD889">
        <v>10158.280000000001</v>
      </c>
      <c r="AE889">
        <v>6546.24</v>
      </c>
      <c r="AF889" t="s">
        <v>33</v>
      </c>
      <c r="AG889" t="s">
        <v>34</v>
      </c>
      <c r="AH889" t="str">
        <f t="shared" si="215"/>
        <v>Completed</v>
      </c>
      <c r="AI889" t="str">
        <f t="shared" si="216"/>
        <v>Valid</v>
      </c>
      <c r="AJ889">
        <f t="shared" si="217"/>
        <v>6546.24</v>
      </c>
      <c r="AK889" s="12">
        <f t="shared" si="220"/>
        <v>0.39188435225914897</v>
      </c>
      <c r="AL889">
        <f t="shared" si="221"/>
        <v>6</v>
      </c>
      <c r="AM889">
        <f t="shared" si="222"/>
        <v>2024</v>
      </c>
      <c r="AN889" t="str">
        <f t="shared" si="223"/>
        <v>Clean</v>
      </c>
    </row>
    <row r="890" spans="1:40">
      <c r="A890" t="s">
        <v>4042</v>
      </c>
      <c r="B890" s="3" t="s">
        <v>4043</v>
      </c>
      <c r="C890" s="10">
        <v>45875</v>
      </c>
      <c r="D890" s="3" t="s">
        <v>3577</v>
      </c>
      <c r="E890" s="10">
        <v>45876</v>
      </c>
      <c r="F890" s="6" t="str">
        <f t="shared" si="208"/>
        <v>Valid</v>
      </c>
      <c r="G890" s="8">
        <f t="shared" si="209"/>
        <v>1</v>
      </c>
      <c r="H890" s="8" t="str">
        <f t="shared" si="210"/>
        <v>Valid</v>
      </c>
      <c r="I890" t="s">
        <v>4044</v>
      </c>
      <c r="J890" t="s">
        <v>147</v>
      </c>
      <c r="K890" t="s">
        <v>147</v>
      </c>
      <c r="L890" t="s">
        <v>40</v>
      </c>
      <c r="M890" s="3" t="str">
        <f t="shared" si="211"/>
        <v>Small Business</v>
      </c>
      <c r="N890" t="s">
        <v>72</v>
      </c>
      <c r="O890" s="3" t="str">
        <f t="shared" si="212"/>
        <v>West</v>
      </c>
      <c r="P890" t="s">
        <v>73</v>
      </c>
      <c r="Q890" t="s">
        <v>74</v>
      </c>
      <c r="R890" t="s">
        <v>29</v>
      </c>
      <c r="S890" s="3" t="str">
        <f t="shared" si="213"/>
        <v>Office Supplies</v>
      </c>
      <c r="T890" t="s">
        <v>53</v>
      </c>
      <c r="U890" t="s">
        <v>4045</v>
      </c>
      <c r="V890" t="s">
        <v>66</v>
      </c>
      <c r="W890" s="3" t="str">
        <f t="shared" si="214"/>
        <v>Standard Class</v>
      </c>
      <c r="X890">
        <v>4</v>
      </c>
      <c r="Y890">
        <v>3523.64</v>
      </c>
      <c r="Z890">
        <v>0.1</v>
      </c>
      <c r="AA890">
        <f t="shared" si="218"/>
        <v>0.1</v>
      </c>
      <c r="AB890">
        <f t="shared" si="219"/>
        <v>12685.103999999999</v>
      </c>
      <c r="AC890">
        <v>12685.1</v>
      </c>
      <c r="AD890">
        <v>10779.56</v>
      </c>
      <c r="AE890">
        <v>1905.54</v>
      </c>
      <c r="AF890" t="s">
        <v>123</v>
      </c>
      <c r="AG890" t="s">
        <v>77</v>
      </c>
      <c r="AH890" t="str">
        <f t="shared" si="215"/>
        <v>Cancelled</v>
      </c>
      <c r="AI890" t="str">
        <f t="shared" si="216"/>
        <v>Valid</v>
      </c>
      <c r="AJ890">
        <f t="shared" si="217"/>
        <v>1905.5400000000009</v>
      </c>
      <c r="AK890" s="12">
        <f t="shared" si="220"/>
        <v>0.15021871322458225</v>
      </c>
      <c r="AL890">
        <f t="shared" si="221"/>
        <v>8</v>
      </c>
      <c r="AM890">
        <f t="shared" si="222"/>
        <v>2025</v>
      </c>
      <c r="AN890" t="str">
        <f t="shared" si="223"/>
        <v>Clean</v>
      </c>
    </row>
    <row r="891" spans="1:40">
      <c r="A891" t="s">
        <v>4046</v>
      </c>
      <c r="B891" s="3" t="s">
        <v>4047</v>
      </c>
      <c r="C891" s="10">
        <v>45726</v>
      </c>
      <c r="D891" s="3" t="s">
        <v>4048</v>
      </c>
      <c r="E891" s="10">
        <v>45727</v>
      </c>
      <c r="F891" s="6" t="str">
        <f t="shared" si="208"/>
        <v>Valid</v>
      </c>
      <c r="G891" s="8">
        <f t="shared" si="209"/>
        <v>1</v>
      </c>
      <c r="H891" s="8" t="str">
        <f t="shared" si="210"/>
        <v>Valid</v>
      </c>
      <c r="I891" t="s">
        <v>1348</v>
      </c>
      <c r="J891" t="s">
        <v>106</v>
      </c>
      <c r="K891" t="s">
        <v>106</v>
      </c>
      <c r="L891" t="s">
        <v>114</v>
      </c>
      <c r="M891" s="3" t="str">
        <f t="shared" si="211"/>
        <v>Home Office</v>
      </c>
      <c r="N891" t="s">
        <v>72</v>
      </c>
      <c r="O891" s="3" t="str">
        <f t="shared" si="212"/>
        <v>West</v>
      </c>
      <c r="P891" t="s">
        <v>83</v>
      </c>
      <c r="Q891" t="s">
        <v>84</v>
      </c>
      <c r="R891" t="s">
        <v>29</v>
      </c>
      <c r="S891" s="3" t="str">
        <f t="shared" si="213"/>
        <v>Office Supplies</v>
      </c>
      <c r="T891" t="s">
        <v>155</v>
      </c>
      <c r="U891" t="s">
        <v>4049</v>
      </c>
      <c r="V891" t="s">
        <v>55</v>
      </c>
      <c r="W891" s="3" t="str">
        <f t="shared" si="214"/>
        <v>First Class</v>
      </c>
      <c r="X891">
        <v>2</v>
      </c>
      <c r="Y891">
        <v>3922.08</v>
      </c>
      <c r="Z891">
        <v>0.25</v>
      </c>
      <c r="AA891">
        <f t="shared" si="218"/>
        <v>0.25</v>
      </c>
      <c r="AB891">
        <f t="shared" si="219"/>
        <v>5883.12</v>
      </c>
      <c r="AC891">
        <v>5883.12</v>
      </c>
      <c r="AD891">
        <v>4647.91</v>
      </c>
      <c r="AE891">
        <v>1235.21</v>
      </c>
      <c r="AF891" t="s">
        <v>33</v>
      </c>
      <c r="AG891" t="s">
        <v>124</v>
      </c>
      <c r="AH891" t="str">
        <f t="shared" si="215"/>
        <v>Returned</v>
      </c>
      <c r="AI891" t="str">
        <f t="shared" si="216"/>
        <v>Valid</v>
      </c>
      <c r="AJ891">
        <f t="shared" si="217"/>
        <v>1235.21</v>
      </c>
      <c r="AK891" s="12">
        <f t="shared" si="220"/>
        <v>0.20995832143488491</v>
      </c>
      <c r="AL891">
        <f t="shared" si="221"/>
        <v>3</v>
      </c>
      <c r="AM891">
        <f t="shared" si="222"/>
        <v>2025</v>
      </c>
      <c r="AN891" t="str">
        <f t="shared" si="223"/>
        <v>Clean</v>
      </c>
    </row>
    <row r="892" spans="1:40">
      <c r="A892" t="s">
        <v>4050</v>
      </c>
      <c r="B892" s="3" t="s">
        <v>159</v>
      </c>
      <c r="C892" s="10">
        <v>45427</v>
      </c>
      <c r="D892" s="3" t="s">
        <v>1139</v>
      </c>
      <c r="E892" s="10">
        <v>45433</v>
      </c>
      <c r="F892" s="6" t="str">
        <f t="shared" si="208"/>
        <v>Valid</v>
      </c>
      <c r="G892" s="8">
        <f t="shared" si="209"/>
        <v>6</v>
      </c>
      <c r="H892" s="8" t="str">
        <f t="shared" si="210"/>
        <v>Valid</v>
      </c>
      <c r="I892" t="s">
        <v>4051</v>
      </c>
      <c r="J892" t="s">
        <v>24</v>
      </c>
      <c r="K892" t="s">
        <v>24</v>
      </c>
      <c r="L892" t="s">
        <v>25</v>
      </c>
      <c r="M892" s="3" t="str">
        <f t="shared" si="211"/>
        <v>Consumer</v>
      </c>
      <c r="N892" t="s">
        <v>72</v>
      </c>
      <c r="O892" s="3" t="str">
        <f t="shared" si="212"/>
        <v>West</v>
      </c>
      <c r="P892" t="s">
        <v>248</v>
      </c>
      <c r="Q892" t="s">
        <v>249</v>
      </c>
      <c r="R892" t="s">
        <v>29</v>
      </c>
      <c r="S892" s="3" t="str">
        <f t="shared" si="213"/>
        <v>Office Supplies</v>
      </c>
      <c r="T892" t="s">
        <v>155</v>
      </c>
      <c r="U892" t="s">
        <v>4052</v>
      </c>
      <c r="V892" t="s">
        <v>66</v>
      </c>
      <c r="W892" s="3" t="str">
        <f t="shared" si="214"/>
        <v>Standard Class</v>
      </c>
      <c r="X892">
        <v>6</v>
      </c>
      <c r="Y892">
        <v>2909.56</v>
      </c>
      <c r="Z892">
        <v>0.2</v>
      </c>
      <c r="AA892">
        <f t="shared" si="218"/>
        <v>0.2</v>
      </c>
      <c r="AB892">
        <f t="shared" si="219"/>
        <v>13965.888000000001</v>
      </c>
      <c r="AC892">
        <v>13965.89</v>
      </c>
      <c r="AD892">
        <v>11646.12</v>
      </c>
      <c r="AE892">
        <v>2319.77</v>
      </c>
      <c r="AF892" t="s">
        <v>33</v>
      </c>
      <c r="AG892" t="s">
        <v>34</v>
      </c>
      <c r="AH892" t="str">
        <f t="shared" si="215"/>
        <v>Completed</v>
      </c>
      <c r="AI892" t="str">
        <f t="shared" si="216"/>
        <v>Valid</v>
      </c>
      <c r="AJ892">
        <f t="shared" si="217"/>
        <v>2319.7699999999986</v>
      </c>
      <c r="AK892" s="12">
        <f t="shared" si="220"/>
        <v>0.16610257793847397</v>
      </c>
      <c r="AL892">
        <f t="shared" si="221"/>
        <v>5</v>
      </c>
      <c r="AM892">
        <f t="shared" si="222"/>
        <v>2024</v>
      </c>
      <c r="AN892" t="str">
        <f t="shared" si="223"/>
        <v>Clean</v>
      </c>
    </row>
    <row r="893" spans="1:40">
      <c r="A893" t="s">
        <v>4053</v>
      </c>
      <c r="B893" s="3" t="s">
        <v>3776</v>
      </c>
      <c r="C893" s="10">
        <v>45573</v>
      </c>
      <c r="D893" s="3" t="s">
        <v>2557</v>
      </c>
      <c r="E893" s="10">
        <v>45574</v>
      </c>
      <c r="F893" s="6" t="str">
        <f t="shared" si="208"/>
        <v>Valid</v>
      </c>
      <c r="G893" s="8">
        <f t="shared" si="209"/>
        <v>1</v>
      </c>
      <c r="H893" s="8" t="str">
        <f t="shared" si="210"/>
        <v>Valid</v>
      </c>
      <c r="I893" t="s">
        <v>4054</v>
      </c>
      <c r="J893" t="s">
        <v>365</v>
      </c>
      <c r="K893" t="s">
        <v>365</v>
      </c>
      <c r="L893" t="s">
        <v>107</v>
      </c>
      <c r="M893" s="3" t="str">
        <f t="shared" si="211"/>
        <v>Corporate</v>
      </c>
      <c r="N893" t="s">
        <v>61</v>
      </c>
      <c r="O893" s="3" t="str">
        <f t="shared" si="212"/>
        <v>South</v>
      </c>
      <c r="P893" t="s">
        <v>338</v>
      </c>
      <c r="Q893" t="s">
        <v>339</v>
      </c>
      <c r="R893" t="s">
        <v>85</v>
      </c>
      <c r="S893" s="3" t="str">
        <f t="shared" si="213"/>
        <v>Technology</v>
      </c>
      <c r="T893" t="s">
        <v>381</v>
      </c>
      <c r="U893" t="s">
        <v>4055</v>
      </c>
      <c r="V893" t="s">
        <v>47</v>
      </c>
      <c r="W893" s="3" t="str">
        <f t="shared" si="214"/>
        <v>Same Day</v>
      </c>
      <c r="X893">
        <v>5</v>
      </c>
      <c r="Y893">
        <v>2407.9699999999998</v>
      </c>
      <c r="Z893">
        <v>0.1</v>
      </c>
      <c r="AA893">
        <f t="shared" si="218"/>
        <v>0.1</v>
      </c>
      <c r="AB893">
        <f t="shared" si="219"/>
        <v>10835.865</v>
      </c>
      <c r="AC893">
        <v>10835.86</v>
      </c>
      <c r="AD893">
        <v>6419.92</v>
      </c>
      <c r="AE893">
        <v>4415.9399999999996</v>
      </c>
      <c r="AF893" t="s">
        <v>199</v>
      </c>
      <c r="AG893" t="s">
        <v>77</v>
      </c>
      <c r="AH893" t="str">
        <f t="shared" si="215"/>
        <v>Cancelled</v>
      </c>
      <c r="AI893" t="str">
        <f t="shared" si="216"/>
        <v>Valid</v>
      </c>
      <c r="AJ893">
        <f t="shared" si="217"/>
        <v>4415.9400000000005</v>
      </c>
      <c r="AK893" s="12">
        <f t="shared" si="220"/>
        <v>0.40752999414444535</v>
      </c>
      <c r="AL893">
        <f t="shared" si="221"/>
        <v>10</v>
      </c>
      <c r="AM893">
        <f t="shared" si="222"/>
        <v>2024</v>
      </c>
      <c r="AN893" t="str">
        <f t="shared" si="223"/>
        <v>Clean</v>
      </c>
    </row>
    <row r="894" spans="1:40">
      <c r="A894" t="s">
        <v>4056</v>
      </c>
      <c r="B894" s="3" t="s">
        <v>4057</v>
      </c>
      <c r="C894" s="10">
        <v>45759</v>
      </c>
      <c r="D894" s="3" t="s">
        <v>2999</v>
      </c>
      <c r="E894" s="10">
        <v>45765</v>
      </c>
      <c r="F894" s="6" t="str">
        <f t="shared" si="208"/>
        <v>Valid</v>
      </c>
      <c r="G894" s="8">
        <f t="shared" si="209"/>
        <v>6</v>
      </c>
      <c r="H894" s="8" t="str">
        <f t="shared" si="210"/>
        <v>Valid</v>
      </c>
      <c r="I894" t="s">
        <v>4058</v>
      </c>
      <c r="J894" t="s">
        <v>52</v>
      </c>
      <c r="K894" t="s">
        <v>52</v>
      </c>
      <c r="L894" t="s">
        <v>40</v>
      </c>
      <c r="M894" s="3" t="str">
        <f t="shared" si="211"/>
        <v>Small Business</v>
      </c>
      <c r="N894" t="s">
        <v>41</v>
      </c>
      <c r="O894" s="3" t="str">
        <f t="shared" si="212"/>
        <v>East</v>
      </c>
      <c r="P894" t="s">
        <v>310</v>
      </c>
      <c r="Q894" t="s">
        <v>311</v>
      </c>
      <c r="R894" t="s">
        <v>85</v>
      </c>
      <c r="S894" s="3" t="str">
        <f t="shared" si="213"/>
        <v>Technology</v>
      </c>
      <c r="T894" t="s">
        <v>93</v>
      </c>
      <c r="U894" t="s">
        <v>4059</v>
      </c>
      <c r="V894" t="s">
        <v>47</v>
      </c>
      <c r="W894" s="3" t="str">
        <f t="shared" si="214"/>
        <v>Same Day</v>
      </c>
      <c r="X894">
        <v>1</v>
      </c>
      <c r="Y894">
        <v>726.89</v>
      </c>
      <c r="Z894">
        <v>0.2</v>
      </c>
      <c r="AA894">
        <f t="shared" si="218"/>
        <v>0.2</v>
      </c>
      <c r="AB894">
        <f t="shared" si="219"/>
        <v>581.51200000000006</v>
      </c>
      <c r="AC894">
        <v>581.51</v>
      </c>
      <c r="AD894">
        <v>423.86</v>
      </c>
      <c r="AE894">
        <v>157.65</v>
      </c>
      <c r="AF894" t="s">
        <v>33</v>
      </c>
      <c r="AG894" t="s">
        <v>34</v>
      </c>
      <c r="AH894" t="str">
        <f t="shared" si="215"/>
        <v>Completed</v>
      </c>
      <c r="AI894" t="str">
        <f t="shared" si="216"/>
        <v>Valid</v>
      </c>
      <c r="AJ894">
        <f t="shared" si="217"/>
        <v>157.64999999999998</v>
      </c>
      <c r="AK894" s="12">
        <f t="shared" si="220"/>
        <v>0.27110360577253773</v>
      </c>
      <c r="AL894">
        <f t="shared" si="221"/>
        <v>4</v>
      </c>
      <c r="AM894">
        <f t="shared" si="222"/>
        <v>2025</v>
      </c>
      <c r="AN894" t="str">
        <f t="shared" si="223"/>
        <v>Clean</v>
      </c>
    </row>
    <row r="895" spans="1:40">
      <c r="A895" t="s">
        <v>4060</v>
      </c>
      <c r="B895" s="3" t="s">
        <v>4061</v>
      </c>
      <c r="C895" s="10">
        <v>45449</v>
      </c>
      <c r="D895" s="3" t="s">
        <v>4062</v>
      </c>
      <c r="E895" s="10">
        <v>45451</v>
      </c>
      <c r="F895" s="6" t="str">
        <f t="shared" si="208"/>
        <v>Valid</v>
      </c>
      <c r="G895" s="8">
        <f t="shared" si="209"/>
        <v>2</v>
      </c>
      <c r="H895" s="8" t="str">
        <f t="shared" si="210"/>
        <v>Valid</v>
      </c>
      <c r="I895" t="s">
        <v>4063</v>
      </c>
      <c r="J895" t="s">
        <v>161</v>
      </c>
      <c r="K895" t="s">
        <v>161</v>
      </c>
      <c r="L895" t="s">
        <v>107</v>
      </c>
      <c r="M895" s="3" t="str">
        <f t="shared" si="211"/>
        <v>Corporate</v>
      </c>
      <c r="N895" t="s">
        <v>61</v>
      </c>
      <c r="O895" s="3" t="str">
        <f t="shared" si="212"/>
        <v>South</v>
      </c>
      <c r="P895" t="s">
        <v>228</v>
      </c>
      <c r="Q895" t="s">
        <v>229</v>
      </c>
      <c r="R895" t="s">
        <v>44</v>
      </c>
      <c r="S895" s="3" t="str">
        <f t="shared" si="213"/>
        <v>Furniture</v>
      </c>
      <c r="T895" t="s">
        <v>45</v>
      </c>
      <c r="U895" t="s">
        <v>4064</v>
      </c>
      <c r="V895" t="s">
        <v>32</v>
      </c>
      <c r="W895" s="3" t="str">
        <f t="shared" si="214"/>
        <v>Second Class</v>
      </c>
      <c r="X895">
        <v>3</v>
      </c>
      <c r="Y895">
        <v>395.49</v>
      </c>
      <c r="Z895">
        <v>0.05</v>
      </c>
      <c r="AA895">
        <f t="shared" si="218"/>
        <v>0.05</v>
      </c>
      <c r="AB895">
        <f t="shared" si="219"/>
        <v>1127.1465000000001</v>
      </c>
      <c r="AC895">
        <v>1127.1500000000001</v>
      </c>
      <c r="AD895">
        <v>845.62</v>
      </c>
      <c r="AE895">
        <v>281.52999999999997</v>
      </c>
      <c r="AF895" t="s">
        <v>33</v>
      </c>
      <c r="AG895" t="s">
        <v>124</v>
      </c>
      <c r="AH895" t="str">
        <f t="shared" si="215"/>
        <v>Returned</v>
      </c>
      <c r="AI895" t="str">
        <f t="shared" si="216"/>
        <v>Valid</v>
      </c>
      <c r="AJ895">
        <f t="shared" si="217"/>
        <v>281.53000000000009</v>
      </c>
      <c r="AK895" s="12">
        <f t="shared" si="220"/>
        <v>0.2497723232960401</v>
      </c>
      <c r="AL895">
        <f t="shared" si="221"/>
        <v>6</v>
      </c>
      <c r="AM895">
        <f t="shared" si="222"/>
        <v>2024</v>
      </c>
      <c r="AN895" t="str">
        <f t="shared" si="223"/>
        <v>Clean</v>
      </c>
    </row>
    <row r="896" spans="1:40">
      <c r="A896" t="s">
        <v>4065</v>
      </c>
      <c r="B896" s="3" t="s">
        <v>1944</v>
      </c>
      <c r="C896" s="10">
        <v>45344</v>
      </c>
      <c r="D896" s="3" t="s">
        <v>4066</v>
      </c>
      <c r="E896" s="10">
        <v>45351</v>
      </c>
      <c r="F896" s="6" t="str">
        <f t="shared" si="208"/>
        <v>Valid</v>
      </c>
      <c r="G896" s="8">
        <f t="shared" si="209"/>
        <v>7</v>
      </c>
      <c r="H896" s="8" t="str">
        <f t="shared" si="210"/>
        <v>Valid</v>
      </c>
      <c r="I896" t="s">
        <v>4067</v>
      </c>
      <c r="J896" t="s">
        <v>52</v>
      </c>
      <c r="K896" t="s">
        <v>52</v>
      </c>
      <c r="L896" t="s">
        <v>114</v>
      </c>
      <c r="M896" s="3" t="str">
        <f t="shared" si="211"/>
        <v>Home Office</v>
      </c>
      <c r="N896" t="s">
        <v>61</v>
      </c>
      <c r="O896" s="3" t="str">
        <f t="shared" si="212"/>
        <v>South</v>
      </c>
      <c r="P896" t="s">
        <v>62</v>
      </c>
      <c r="Q896" t="s">
        <v>63</v>
      </c>
      <c r="R896" t="s">
        <v>44</v>
      </c>
      <c r="S896" s="3" t="str">
        <f t="shared" si="213"/>
        <v>Furniture</v>
      </c>
      <c r="T896" t="s">
        <v>45</v>
      </c>
      <c r="U896" t="s">
        <v>4068</v>
      </c>
      <c r="V896" t="s">
        <v>55</v>
      </c>
      <c r="W896" s="3" t="str">
        <f t="shared" si="214"/>
        <v>First Class</v>
      </c>
      <c r="X896">
        <v>6</v>
      </c>
      <c r="Y896">
        <v>4254.05</v>
      </c>
      <c r="Z896">
        <v>0</v>
      </c>
      <c r="AA896">
        <f t="shared" si="218"/>
        <v>0</v>
      </c>
      <c r="AB896">
        <f t="shared" si="219"/>
        <v>25524.300000000003</v>
      </c>
      <c r="AC896">
        <v>25524.3</v>
      </c>
      <c r="AD896">
        <v>16711.93</v>
      </c>
      <c r="AE896">
        <v>8812.3700000000008</v>
      </c>
      <c r="AF896" t="s">
        <v>33</v>
      </c>
      <c r="AG896" t="s">
        <v>34</v>
      </c>
      <c r="AH896" t="str">
        <f t="shared" si="215"/>
        <v>Completed</v>
      </c>
      <c r="AI896" t="str">
        <f t="shared" si="216"/>
        <v>Valid</v>
      </c>
      <c r="AJ896">
        <f t="shared" si="217"/>
        <v>8812.369999999999</v>
      </c>
      <c r="AK896" s="12">
        <f t="shared" si="220"/>
        <v>0.3452541303777184</v>
      </c>
      <c r="AL896">
        <f t="shared" si="221"/>
        <v>2</v>
      </c>
      <c r="AM896">
        <f t="shared" si="222"/>
        <v>2024</v>
      </c>
      <c r="AN896" t="str">
        <f t="shared" si="223"/>
        <v>Clean</v>
      </c>
    </row>
    <row r="897" spans="1:40">
      <c r="A897" t="s">
        <v>4069</v>
      </c>
      <c r="B897" s="3" t="s">
        <v>4070</v>
      </c>
      <c r="C897" s="10">
        <v>45601</v>
      </c>
      <c r="D897" s="3" t="s">
        <v>104</v>
      </c>
      <c r="E897" s="10">
        <v>45606</v>
      </c>
      <c r="F897" s="6" t="str">
        <f t="shared" si="208"/>
        <v>Valid</v>
      </c>
      <c r="G897" s="8">
        <f t="shared" si="209"/>
        <v>5</v>
      </c>
      <c r="H897" s="8" t="str">
        <f t="shared" si="210"/>
        <v>Valid</v>
      </c>
      <c r="I897" t="s">
        <v>4071</v>
      </c>
      <c r="J897" t="s">
        <v>60</v>
      </c>
      <c r="K897" t="s">
        <v>60</v>
      </c>
      <c r="L897" t="s">
        <v>25</v>
      </c>
      <c r="M897" s="3" t="str">
        <f t="shared" si="211"/>
        <v>Consumer</v>
      </c>
      <c r="N897" t="s">
        <v>61</v>
      </c>
      <c r="O897" s="3" t="str">
        <f t="shared" si="212"/>
        <v>South</v>
      </c>
      <c r="P897" t="s">
        <v>241</v>
      </c>
      <c r="Q897" t="s">
        <v>242</v>
      </c>
      <c r="R897" t="s">
        <v>44</v>
      </c>
      <c r="S897" s="3" t="str">
        <f t="shared" si="213"/>
        <v>Furniture</v>
      </c>
      <c r="T897" t="s">
        <v>75</v>
      </c>
      <c r="U897" t="s">
        <v>4072</v>
      </c>
      <c r="V897" t="s">
        <v>47</v>
      </c>
      <c r="W897" s="3" t="str">
        <f t="shared" si="214"/>
        <v>Same Day</v>
      </c>
      <c r="X897">
        <v>4</v>
      </c>
      <c r="Y897">
        <v>711.18</v>
      </c>
      <c r="Z897">
        <v>0.15</v>
      </c>
      <c r="AA897">
        <f t="shared" si="218"/>
        <v>0.15</v>
      </c>
      <c r="AB897">
        <f t="shared" si="219"/>
        <v>2418.0119999999997</v>
      </c>
      <c r="AC897">
        <v>2418.0100000000002</v>
      </c>
      <c r="AD897">
        <v>1441.89</v>
      </c>
      <c r="AE897">
        <v>976.12</v>
      </c>
      <c r="AF897" t="s">
        <v>136</v>
      </c>
      <c r="AG897" t="s">
        <v>124</v>
      </c>
      <c r="AH897" t="str">
        <f t="shared" si="215"/>
        <v>Returned</v>
      </c>
      <c r="AI897" t="str">
        <f t="shared" si="216"/>
        <v>Valid</v>
      </c>
      <c r="AJ897">
        <f t="shared" si="217"/>
        <v>976.12000000000012</v>
      </c>
      <c r="AK897" s="12">
        <f t="shared" si="220"/>
        <v>0.40368699576346201</v>
      </c>
      <c r="AL897">
        <f t="shared" si="221"/>
        <v>11</v>
      </c>
      <c r="AM897">
        <f t="shared" si="222"/>
        <v>2024</v>
      </c>
      <c r="AN897" t="str">
        <f t="shared" si="223"/>
        <v>Clean</v>
      </c>
    </row>
    <row r="898" spans="1:40">
      <c r="A898" t="s">
        <v>4073</v>
      </c>
      <c r="B898" s="3" t="s">
        <v>4074</v>
      </c>
      <c r="C898" s="10">
        <v>45650</v>
      </c>
      <c r="D898" s="3" t="s">
        <v>2357</v>
      </c>
      <c r="E898" s="10">
        <v>45651</v>
      </c>
      <c r="F898" s="6" t="str">
        <f t="shared" ref="F898:F961" si="224">IF(E898&lt;C898,"Invalid Shipping Record","Valid")</f>
        <v>Valid</v>
      </c>
      <c r="G898" s="8">
        <f t="shared" ref="G898:G913" si="225">E898-C898</f>
        <v>1</v>
      </c>
      <c r="H898" s="8" t="str">
        <f t="shared" ref="H898:H913" si="226">IF(OR(C898="",E898=""),"Missing Date",IF(OR(NOT(ISNUMBER(C898)),NOT(ISNUMBER(E898))),"Invalid Date",IF(E898&lt;C898,"Invalid Shipping Record","Valid")))</f>
        <v>Valid</v>
      </c>
      <c r="I898" t="s">
        <v>4075</v>
      </c>
      <c r="J898" t="s">
        <v>71</v>
      </c>
      <c r="K898" t="s">
        <v>71</v>
      </c>
      <c r="L898" t="s">
        <v>40</v>
      </c>
      <c r="M898" s="3" t="str">
        <f t="shared" ref="M898:M961" si="227">PROPER(TRIM(L898))</f>
        <v>Small Business</v>
      </c>
      <c r="N898" t="s">
        <v>61</v>
      </c>
      <c r="O898" s="3" t="str">
        <f t="shared" ref="O898:O961" si="228">IF(TRIM(N898)="","Unknown",PROPER(TRIM(N898)))</f>
        <v>South</v>
      </c>
      <c r="P898" t="s">
        <v>338</v>
      </c>
      <c r="Q898" t="s">
        <v>339</v>
      </c>
      <c r="R898" t="s">
        <v>85</v>
      </c>
      <c r="S898" s="3" t="str">
        <f t="shared" ref="S898:S961" si="229">PROPER(TRIM(R898))</f>
        <v>Technology</v>
      </c>
      <c r="T898" t="s">
        <v>93</v>
      </c>
      <c r="U898" t="s">
        <v>4076</v>
      </c>
      <c r="V898" t="s">
        <v>32</v>
      </c>
      <c r="W898" s="3" t="str">
        <f t="shared" ref="W898:W961" si="230">IF(TRIM(V898)="","Unknown",PROPER(TRIM(V898)))</f>
        <v>Second Class</v>
      </c>
      <c r="X898">
        <v>1</v>
      </c>
      <c r="Y898">
        <v>3693.03</v>
      </c>
      <c r="Z898">
        <v>0.05</v>
      </c>
      <c r="AA898">
        <f t="shared" si="218"/>
        <v>0.05</v>
      </c>
      <c r="AB898">
        <f t="shared" si="219"/>
        <v>3508.3784999999998</v>
      </c>
      <c r="AC898">
        <v>3508.38</v>
      </c>
      <c r="AD898">
        <v>2828.06</v>
      </c>
      <c r="AE898">
        <v>680.32</v>
      </c>
      <c r="AF898" t="s">
        <v>199</v>
      </c>
      <c r="AG898" t="s">
        <v>124</v>
      </c>
      <c r="AH898" t="str">
        <f t="shared" ref="AH898:AH961" si="231">PROPER(TRIM(AG898))</f>
        <v>Returned</v>
      </c>
      <c r="AI898" t="str">
        <f t="shared" ref="AI898:AI913" si="232">IF(Z898&lt;0,"Invalid - Negative Discount",IF(Z898&gt;1,"Invalid - Discount Above Range","Valid"))</f>
        <v>Valid</v>
      </c>
      <c r="AJ898">
        <f t="shared" ref="AJ898:AJ913" si="233">AC898-AD898</f>
        <v>680.32000000000016</v>
      </c>
      <c r="AK898" s="12">
        <f t="shared" si="220"/>
        <v>0.19391294297351333</v>
      </c>
      <c r="AL898">
        <f t="shared" si="221"/>
        <v>12</v>
      </c>
      <c r="AM898">
        <f t="shared" si="222"/>
        <v>2024</v>
      </c>
      <c r="AN898" t="str">
        <f t="shared" si="223"/>
        <v>Clean</v>
      </c>
    </row>
    <row r="899" spans="1:40">
      <c r="A899" t="s">
        <v>4077</v>
      </c>
      <c r="B899" s="3" t="s">
        <v>1180</v>
      </c>
      <c r="C899" s="10">
        <v>45776</v>
      </c>
      <c r="D899" s="3" t="s">
        <v>4078</v>
      </c>
      <c r="E899" s="10">
        <v>45780</v>
      </c>
      <c r="F899" s="6" t="str">
        <f t="shared" si="224"/>
        <v>Valid</v>
      </c>
      <c r="G899" s="8">
        <f t="shared" si="225"/>
        <v>4</v>
      </c>
      <c r="H899" s="8" t="str">
        <f t="shared" si="226"/>
        <v>Valid</v>
      </c>
      <c r="I899" t="s">
        <v>3199</v>
      </c>
      <c r="J899" t="s">
        <v>179</v>
      </c>
      <c r="K899" t="s">
        <v>179</v>
      </c>
      <c r="L899" t="s">
        <v>107</v>
      </c>
      <c r="M899" s="3" t="str">
        <f t="shared" si="227"/>
        <v>Corporate</v>
      </c>
      <c r="N899" t="s">
        <v>26</v>
      </c>
      <c r="O899" s="3" t="str">
        <f t="shared" si="228"/>
        <v>North</v>
      </c>
      <c r="P899" t="s">
        <v>322</v>
      </c>
      <c r="Q899" t="s">
        <v>323</v>
      </c>
      <c r="R899" t="s">
        <v>29</v>
      </c>
      <c r="S899" s="3" t="str">
        <f t="shared" si="229"/>
        <v>Office Supplies</v>
      </c>
      <c r="T899" t="s">
        <v>30</v>
      </c>
      <c r="U899" t="s">
        <v>4079</v>
      </c>
      <c r="V899" t="s">
        <v>55</v>
      </c>
      <c r="W899" s="3" t="str">
        <f t="shared" si="230"/>
        <v>First Class</v>
      </c>
      <c r="X899">
        <v>4</v>
      </c>
      <c r="Y899">
        <v>1786.65</v>
      </c>
      <c r="Z899">
        <v>0.05</v>
      </c>
      <c r="AA899">
        <f t="shared" ref="AA899:AA913" si="234">IF(Z899="",0,Z899)</f>
        <v>0.05</v>
      </c>
      <c r="AB899">
        <f t="shared" ref="AB899:AB913" si="235">X899*Y899*(1-Z899)</f>
        <v>6789.27</v>
      </c>
      <c r="AC899">
        <v>6789.27</v>
      </c>
      <c r="AD899">
        <v>5626.43</v>
      </c>
      <c r="AE899">
        <v>1162.8399999999999</v>
      </c>
      <c r="AF899" t="s">
        <v>33</v>
      </c>
      <c r="AG899" t="s">
        <v>34</v>
      </c>
      <c r="AH899" t="str">
        <f t="shared" si="231"/>
        <v>Completed</v>
      </c>
      <c r="AI899" t="str">
        <f t="shared" si="232"/>
        <v>Valid</v>
      </c>
      <c r="AJ899">
        <f t="shared" si="233"/>
        <v>1162.8400000000001</v>
      </c>
      <c r="AK899" s="12">
        <f t="shared" ref="AK899:AK913" si="236">IF(AB899=0,"",AJ899/AB899)</f>
        <v>0.17127614603631908</v>
      </c>
      <c r="AL899">
        <f t="shared" ref="AL899:AL913" si="237">MONTH(C899)</f>
        <v>4</v>
      </c>
      <c r="AM899">
        <f t="shared" ref="AM899:AM913" si="238">YEAR(C899)</f>
        <v>2025</v>
      </c>
      <c r="AN899" t="str">
        <f t="shared" ref="AN899:AN913" si="239">IF(H899="Invalid Shipping Record","Invalid","Clean")</f>
        <v>Clean</v>
      </c>
    </row>
    <row r="900" spans="1:40">
      <c r="A900" t="s">
        <v>4080</v>
      </c>
      <c r="B900" s="3" t="s">
        <v>3643</v>
      </c>
      <c r="C900" s="10">
        <v>45445</v>
      </c>
      <c r="D900" s="3" t="s">
        <v>49</v>
      </c>
      <c r="E900" s="10">
        <v>45451</v>
      </c>
      <c r="F900" s="6" t="str">
        <f t="shared" si="224"/>
        <v>Valid</v>
      </c>
      <c r="G900" s="8">
        <f t="shared" si="225"/>
        <v>6</v>
      </c>
      <c r="H900" s="8" t="str">
        <f t="shared" si="226"/>
        <v>Valid</v>
      </c>
      <c r="I900" t="s">
        <v>4081</v>
      </c>
      <c r="J900" t="s">
        <v>82</v>
      </c>
      <c r="K900" t="s">
        <v>82</v>
      </c>
      <c r="L900" t="s">
        <v>25</v>
      </c>
      <c r="M900" s="3" t="str">
        <f t="shared" si="227"/>
        <v>Consumer</v>
      </c>
      <c r="N900" t="s">
        <v>26</v>
      </c>
      <c r="O900" s="3" t="str">
        <f t="shared" si="228"/>
        <v>North</v>
      </c>
      <c r="P900" t="s">
        <v>505</v>
      </c>
      <c r="Q900" t="s">
        <v>506</v>
      </c>
      <c r="R900" t="s">
        <v>44</v>
      </c>
      <c r="S900" s="3" t="str">
        <f t="shared" si="229"/>
        <v>Furniture</v>
      </c>
      <c r="T900" t="s">
        <v>45</v>
      </c>
      <c r="U900" t="s">
        <v>4082</v>
      </c>
      <c r="V900" t="s">
        <v>55</v>
      </c>
      <c r="W900" s="3" t="str">
        <f t="shared" si="230"/>
        <v>First Class</v>
      </c>
      <c r="X900">
        <v>4</v>
      </c>
      <c r="Y900">
        <v>1536.7</v>
      </c>
      <c r="Z900">
        <v>0.2</v>
      </c>
      <c r="AA900">
        <f t="shared" si="234"/>
        <v>0.2</v>
      </c>
      <c r="AB900">
        <f t="shared" si="235"/>
        <v>4917.4400000000005</v>
      </c>
      <c r="AC900">
        <v>4917.4399999999996</v>
      </c>
      <c r="AD900">
        <v>3846.77</v>
      </c>
      <c r="AE900">
        <v>1070.67</v>
      </c>
      <c r="AF900" t="s">
        <v>33</v>
      </c>
      <c r="AG900" t="s">
        <v>34</v>
      </c>
      <c r="AH900" t="str">
        <f t="shared" si="231"/>
        <v>Completed</v>
      </c>
      <c r="AI900" t="str">
        <f t="shared" si="232"/>
        <v>Valid</v>
      </c>
      <c r="AJ900">
        <f t="shared" si="233"/>
        <v>1070.6699999999996</v>
      </c>
      <c r="AK900" s="12">
        <f t="shared" si="236"/>
        <v>0.21772914361944418</v>
      </c>
      <c r="AL900">
        <f t="shared" si="237"/>
        <v>6</v>
      </c>
      <c r="AM900">
        <f t="shared" si="238"/>
        <v>2024</v>
      </c>
      <c r="AN900" t="str">
        <f t="shared" si="239"/>
        <v>Clean</v>
      </c>
    </row>
    <row r="901" spans="1:40">
      <c r="A901" t="s">
        <v>4083</v>
      </c>
      <c r="B901" s="3" t="s">
        <v>1681</v>
      </c>
      <c r="C901" s="10">
        <v>45804</v>
      </c>
      <c r="D901" s="3" t="s">
        <v>4084</v>
      </c>
      <c r="E901" s="10">
        <v>45811</v>
      </c>
      <c r="F901" s="6" t="str">
        <f t="shared" si="224"/>
        <v>Valid</v>
      </c>
      <c r="G901" s="8">
        <f t="shared" si="225"/>
        <v>7</v>
      </c>
      <c r="H901" s="8" t="str">
        <f t="shared" si="226"/>
        <v>Valid</v>
      </c>
      <c r="I901" t="s">
        <v>4085</v>
      </c>
      <c r="J901" t="s">
        <v>24</v>
      </c>
      <c r="K901" t="s">
        <v>24</v>
      </c>
      <c r="L901" t="s">
        <v>25</v>
      </c>
      <c r="M901" s="3" t="str">
        <f t="shared" si="227"/>
        <v>Consumer</v>
      </c>
      <c r="N901" t="s">
        <v>26</v>
      </c>
      <c r="O901" s="3" t="str">
        <f t="shared" si="228"/>
        <v>North</v>
      </c>
      <c r="P901" t="s">
        <v>153</v>
      </c>
      <c r="Q901" t="s">
        <v>154</v>
      </c>
      <c r="R901" t="s">
        <v>44</v>
      </c>
      <c r="S901" s="3" t="str">
        <f t="shared" si="229"/>
        <v>Furniture</v>
      </c>
      <c r="T901" t="s">
        <v>75</v>
      </c>
      <c r="U901" t="s">
        <v>4086</v>
      </c>
      <c r="V901" t="s">
        <v>55</v>
      </c>
      <c r="W901" s="3" t="str">
        <f t="shared" si="230"/>
        <v>First Class</v>
      </c>
      <c r="X901">
        <v>5</v>
      </c>
      <c r="Y901">
        <v>881.08</v>
      </c>
      <c r="Z901">
        <v>0.25</v>
      </c>
      <c r="AA901">
        <f t="shared" si="234"/>
        <v>0.25</v>
      </c>
      <c r="AB901">
        <f t="shared" si="235"/>
        <v>3304.05</v>
      </c>
      <c r="AC901">
        <v>3304.05</v>
      </c>
      <c r="AD901">
        <v>2279.41</v>
      </c>
      <c r="AE901">
        <v>1024.6400000000001</v>
      </c>
      <c r="AF901" t="s">
        <v>199</v>
      </c>
      <c r="AG901" t="s">
        <v>77</v>
      </c>
      <c r="AH901" t="str">
        <f t="shared" si="231"/>
        <v>Cancelled</v>
      </c>
      <c r="AI901" t="str">
        <f t="shared" si="232"/>
        <v>Valid</v>
      </c>
      <c r="AJ901">
        <f t="shared" si="233"/>
        <v>1024.6400000000003</v>
      </c>
      <c r="AK901" s="12">
        <f t="shared" si="236"/>
        <v>0.31011637233092726</v>
      </c>
      <c r="AL901">
        <f t="shared" si="237"/>
        <v>5</v>
      </c>
      <c r="AM901">
        <f t="shared" si="238"/>
        <v>2025</v>
      </c>
      <c r="AN901" t="str">
        <f t="shared" si="239"/>
        <v>Clean</v>
      </c>
    </row>
    <row r="902" spans="1:40">
      <c r="A902" t="s">
        <v>1676</v>
      </c>
      <c r="B902" s="3" t="s">
        <v>704</v>
      </c>
      <c r="C902" s="10">
        <v>45630</v>
      </c>
      <c r="D902" s="3" t="s">
        <v>1677</v>
      </c>
      <c r="E902" s="10">
        <v>45632</v>
      </c>
      <c r="F902" s="6" t="str">
        <f t="shared" si="224"/>
        <v>Valid</v>
      </c>
      <c r="G902" s="8">
        <f t="shared" si="225"/>
        <v>2</v>
      </c>
      <c r="H902" s="8" t="str">
        <f t="shared" si="226"/>
        <v>Valid</v>
      </c>
      <c r="I902" t="s">
        <v>1678</v>
      </c>
      <c r="J902" t="s">
        <v>167</v>
      </c>
      <c r="K902" t="s">
        <v>167</v>
      </c>
      <c r="L902" t="s">
        <v>114</v>
      </c>
      <c r="M902" s="3" t="str">
        <f t="shared" si="227"/>
        <v>Home Office</v>
      </c>
      <c r="N902" t="s">
        <v>41</v>
      </c>
      <c r="O902" s="3" t="str">
        <f t="shared" si="228"/>
        <v>East</v>
      </c>
      <c r="P902" t="s">
        <v>42</v>
      </c>
      <c r="Q902" t="s">
        <v>43</v>
      </c>
      <c r="R902" t="s">
        <v>29</v>
      </c>
      <c r="S902" s="3" t="str">
        <f t="shared" si="229"/>
        <v>Office Supplies</v>
      </c>
      <c r="T902" t="s">
        <v>197</v>
      </c>
      <c r="U902" t="s">
        <v>1679</v>
      </c>
      <c r="V902" t="s">
        <v>32</v>
      </c>
      <c r="W902" s="3" t="str">
        <f t="shared" si="230"/>
        <v>Second Class</v>
      </c>
      <c r="X902">
        <v>4</v>
      </c>
      <c r="Y902">
        <v>2685.66</v>
      </c>
      <c r="Z902">
        <v>0</v>
      </c>
      <c r="AA902">
        <f t="shared" si="234"/>
        <v>0</v>
      </c>
      <c r="AB902">
        <f t="shared" si="235"/>
        <v>10742.64</v>
      </c>
      <c r="AC902">
        <v>10989.89</v>
      </c>
      <c r="AD902">
        <v>6477.37</v>
      </c>
      <c r="AE902">
        <v>4265.2700000000004</v>
      </c>
      <c r="AF902" t="s">
        <v>33</v>
      </c>
      <c r="AG902" t="s">
        <v>34</v>
      </c>
      <c r="AH902" t="str">
        <f t="shared" si="231"/>
        <v>Completed</v>
      </c>
      <c r="AI902" t="str">
        <f t="shared" si="232"/>
        <v>Valid</v>
      </c>
      <c r="AJ902">
        <f t="shared" si="233"/>
        <v>4512.5199999999995</v>
      </c>
      <c r="AK902" s="12">
        <f t="shared" si="236"/>
        <v>0.42005689476702185</v>
      </c>
      <c r="AL902">
        <f t="shared" si="237"/>
        <v>12</v>
      </c>
      <c r="AM902">
        <f t="shared" si="238"/>
        <v>2024</v>
      </c>
      <c r="AN902" t="str">
        <f t="shared" si="239"/>
        <v>Clean</v>
      </c>
    </row>
    <row r="903" spans="1:40">
      <c r="A903" t="s">
        <v>548</v>
      </c>
      <c r="B903" s="3" t="s">
        <v>549</v>
      </c>
      <c r="C903" s="10">
        <v>45893</v>
      </c>
      <c r="D903" s="3" t="s">
        <v>68</v>
      </c>
      <c r="E903" s="10">
        <v>45898</v>
      </c>
      <c r="F903" s="6" t="str">
        <f t="shared" si="224"/>
        <v>Valid</v>
      </c>
      <c r="G903" s="8">
        <f t="shared" si="225"/>
        <v>5</v>
      </c>
      <c r="H903" s="8" t="str">
        <f t="shared" si="226"/>
        <v>Valid</v>
      </c>
      <c r="I903" t="s">
        <v>550</v>
      </c>
      <c r="J903" t="s">
        <v>161</v>
      </c>
      <c r="K903" t="s">
        <v>161</v>
      </c>
      <c r="L903" t="s">
        <v>40</v>
      </c>
      <c r="M903" s="3" t="str">
        <f t="shared" si="227"/>
        <v>Small Business</v>
      </c>
      <c r="N903" t="s">
        <v>41</v>
      </c>
      <c r="O903" s="3" t="str">
        <f t="shared" si="228"/>
        <v>East</v>
      </c>
      <c r="P903" t="s">
        <v>185</v>
      </c>
      <c r="Q903" t="s">
        <v>186</v>
      </c>
      <c r="R903" t="s">
        <v>85</v>
      </c>
      <c r="S903" s="3" t="str">
        <f t="shared" si="229"/>
        <v>Technology</v>
      </c>
      <c r="T903" t="s">
        <v>93</v>
      </c>
      <c r="U903" t="s">
        <v>551</v>
      </c>
      <c r="V903" t="s">
        <v>55</v>
      </c>
      <c r="W903" s="3" t="str">
        <f t="shared" si="230"/>
        <v>First Class</v>
      </c>
      <c r="X903">
        <v>3</v>
      </c>
      <c r="Y903">
        <v>3703.96</v>
      </c>
      <c r="Z903">
        <v>0.15</v>
      </c>
      <c r="AA903">
        <f t="shared" si="234"/>
        <v>0.15</v>
      </c>
      <c r="AB903">
        <f t="shared" si="235"/>
        <v>9445.098</v>
      </c>
      <c r="AC903">
        <v>9549.44</v>
      </c>
      <c r="AD903">
        <v>5586.28</v>
      </c>
      <c r="AE903">
        <v>3858.82</v>
      </c>
      <c r="AF903" t="s">
        <v>33</v>
      </c>
      <c r="AG903" t="s">
        <v>124</v>
      </c>
      <c r="AH903" t="str">
        <f t="shared" si="231"/>
        <v>Returned</v>
      </c>
      <c r="AI903" t="str">
        <f t="shared" si="232"/>
        <v>Valid</v>
      </c>
      <c r="AJ903">
        <f t="shared" si="233"/>
        <v>3963.1600000000008</v>
      </c>
      <c r="AK903" s="12">
        <f t="shared" si="236"/>
        <v>0.41959966958521772</v>
      </c>
      <c r="AL903">
        <f t="shared" si="237"/>
        <v>8</v>
      </c>
      <c r="AM903">
        <f t="shared" si="238"/>
        <v>2025</v>
      </c>
      <c r="AN903" t="str">
        <f t="shared" si="239"/>
        <v>Clean</v>
      </c>
    </row>
    <row r="904" spans="1:40">
      <c r="A904" t="s">
        <v>1860</v>
      </c>
      <c r="B904" s="3" t="s">
        <v>1861</v>
      </c>
      <c r="C904" s="10">
        <v>45760</v>
      </c>
      <c r="D904" s="3" t="s">
        <v>1861</v>
      </c>
      <c r="E904" s="10">
        <v>45760</v>
      </c>
      <c r="F904" s="6" t="str">
        <f t="shared" si="224"/>
        <v>Valid</v>
      </c>
      <c r="G904" s="8">
        <f t="shared" si="225"/>
        <v>0</v>
      </c>
      <c r="H904" s="8" t="str">
        <f t="shared" si="226"/>
        <v>Valid</v>
      </c>
      <c r="I904" t="s">
        <v>1862</v>
      </c>
      <c r="J904" t="s">
        <v>167</v>
      </c>
      <c r="K904" t="s">
        <v>167</v>
      </c>
      <c r="L904" t="s">
        <v>40</v>
      </c>
      <c r="M904" s="3" t="str">
        <f t="shared" si="227"/>
        <v>Small Business</v>
      </c>
      <c r="N904" t="s">
        <v>26</v>
      </c>
      <c r="O904" s="3" t="str">
        <f t="shared" si="228"/>
        <v>North</v>
      </c>
      <c r="P904" t="s">
        <v>173</v>
      </c>
      <c r="Q904" t="s">
        <v>174</v>
      </c>
      <c r="R904" t="s">
        <v>29</v>
      </c>
      <c r="S904" s="3" t="str">
        <f t="shared" si="229"/>
        <v>Office Supplies</v>
      </c>
      <c r="T904" t="s">
        <v>155</v>
      </c>
      <c r="U904" t="s">
        <v>1863</v>
      </c>
      <c r="V904" t="s">
        <v>32</v>
      </c>
      <c r="W904" s="3" t="str">
        <f t="shared" si="230"/>
        <v>Second Class</v>
      </c>
      <c r="X904">
        <v>9</v>
      </c>
      <c r="Y904">
        <v>1118.68</v>
      </c>
      <c r="Z904">
        <v>0</v>
      </c>
      <c r="AA904">
        <f t="shared" si="234"/>
        <v>0</v>
      </c>
      <c r="AB904">
        <f t="shared" si="235"/>
        <v>10068.120000000001</v>
      </c>
      <c r="AC904">
        <v>10348.43</v>
      </c>
      <c r="AD904">
        <v>8595.3700000000008</v>
      </c>
      <c r="AE904">
        <v>1472.75</v>
      </c>
      <c r="AF904" t="s">
        <v>33</v>
      </c>
      <c r="AG904" t="s">
        <v>124</v>
      </c>
      <c r="AH904" t="str">
        <f t="shared" si="231"/>
        <v>Returned</v>
      </c>
      <c r="AI904" t="str">
        <f t="shared" si="232"/>
        <v>Valid</v>
      </c>
      <c r="AJ904">
        <f t="shared" si="233"/>
        <v>1753.0599999999995</v>
      </c>
      <c r="AK904" s="12">
        <f t="shared" si="236"/>
        <v>0.17411989527339755</v>
      </c>
      <c r="AL904">
        <f t="shared" si="237"/>
        <v>4</v>
      </c>
      <c r="AM904">
        <f t="shared" si="238"/>
        <v>2025</v>
      </c>
      <c r="AN904" t="str">
        <f t="shared" si="239"/>
        <v>Clean</v>
      </c>
    </row>
    <row r="905" spans="1:40">
      <c r="A905" t="s">
        <v>1188</v>
      </c>
      <c r="B905" s="3" t="s">
        <v>1189</v>
      </c>
      <c r="C905" s="10">
        <v>45932</v>
      </c>
      <c r="D905" s="3" t="s">
        <v>1190</v>
      </c>
      <c r="E905" s="10">
        <v>45938</v>
      </c>
      <c r="F905" s="6" t="str">
        <f t="shared" si="224"/>
        <v>Valid</v>
      </c>
      <c r="G905" s="8">
        <f t="shared" si="225"/>
        <v>6</v>
      </c>
      <c r="H905" s="8" t="str">
        <f t="shared" si="226"/>
        <v>Valid</v>
      </c>
      <c r="I905" t="s">
        <v>1191</v>
      </c>
      <c r="J905" t="s">
        <v>52</v>
      </c>
      <c r="K905" t="s">
        <v>52</v>
      </c>
      <c r="L905" t="s">
        <v>40</v>
      </c>
      <c r="M905" s="3" t="str">
        <f t="shared" si="227"/>
        <v>Small Business</v>
      </c>
      <c r="N905" t="s">
        <v>26</v>
      </c>
      <c r="O905" s="3" t="str">
        <f t="shared" si="228"/>
        <v>North</v>
      </c>
      <c r="P905" t="s">
        <v>153</v>
      </c>
      <c r="Q905" t="s">
        <v>154</v>
      </c>
      <c r="R905" t="s">
        <v>44</v>
      </c>
      <c r="S905" s="3" t="str">
        <f t="shared" si="229"/>
        <v>Furniture</v>
      </c>
      <c r="T905" t="s">
        <v>64</v>
      </c>
      <c r="U905" t="s">
        <v>1192</v>
      </c>
      <c r="V905" t="s">
        <v>66</v>
      </c>
      <c r="W905" s="3" t="str">
        <f t="shared" si="230"/>
        <v>Standard Class</v>
      </c>
      <c r="X905">
        <v>4</v>
      </c>
      <c r="Y905">
        <v>3944.64</v>
      </c>
      <c r="Z905">
        <v>0.25</v>
      </c>
      <c r="AA905">
        <f t="shared" si="234"/>
        <v>0.25</v>
      </c>
      <c r="AB905">
        <f t="shared" si="235"/>
        <v>11833.92</v>
      </c>
      <c r="AC905">
        <v>12116.89</v>
      </c>
      <c r="AD905">
        <v>6682.92</v>
      </c>
      <c r="AE905">
        <v>5151</v>
      </c>
      <c r="AF905" t="s">
        <v>33</v>
      </c>
      <c r="AG905" t="s">
        <v>124</v>
      </c>
      <c r="AH905" t="str">
        <f t="shared" si="231"/>
        <v>Returned</v>
      </c>
      <c r="AI905" t="str">
        <f t="shared" si="232"/>
        <v>Valid</v>
      </c>
      <c r="AJ905">
        <f t="shared" si="233"/>
        <v>5433.9699999999993</v>
      </c>
      <c r="AK905" s="12">
        <f t="shared" si="236"/>
        <v>0.45918596711824983</v>
      </c>
      <c r="AL905">
        <f t="shared" si="237"/>
        <v>10</v>
      </c>
      <c r="AM905">
        <f t="shared" si="238"/>
        <v>2025</v>
      </c>
      <c r="AN905" t="str">
        <f t="shared" si="239"/>
        <v>Clean</v>
      </c>
    </row>
    <row r="906" spans="1:40">
      <c r="A906" t="s">
        <v>1601</v>
      </c>
      <c r="B906" s="3" t="s">
        <v>1103</v>
      </c>
      <c r="C906" s="10">
        <v>45795</v>
      </c>
      <c r="D906" s="3" t="s">
        <v>117</v>
      </c>
      <c r="E906" s="10">
        <v>45797</v>
      </c>
      <c r="F906" s="6" t="str">
        <f t="shared" si="224"/>
        <v>Valid</v>
      </c>
      <c r="G906" s="8">
        <f t="shared" si="225"/>
        <v>2</v>
      </c>
      <c r="H906" s="8" t="str">
        <f t="shared" si="226"/>
        <v>Valid</v>
      </c>
      <c r="I906" t="s">
        <v>1602</v>
      </c>
      <c r="J906" t="s">
        <v>52</v>
      </c>
      <c r="K906" t="s">
        <v>52</v>
      </c>
      <c r="L906" t="s">
        <v>107</v>
      </c>
      <c r="M906" s="3" t="str">
        <f t="shared" si="227"/>
        <v>Corporate</v>
      </c>
      <c r="N906" t="s">
        <v>72</v>
      </c>
      <c r="O906" s="3" t="str">
        <f t="shared" si="228"/>
        <v>West</v>
      </c>
      <c r="P906" t="s">
        <v>83</v>
      </c>
      <c r="Q906" t="s">
        <v>84</v>
      </c>
      <c r="R906" t="s">
        <v>29</v>
      </c>
      <c r="S906" s="3" t="str">
        <f t="shared" si="229"/>
        <v>Office Supplies</v>
      </c>
      <c r="T906" t="s">
        <v>108</v>
      </c>
      <c r="U906" t="s">
        <v>1603</v>
      </c>
      <c r="V906" t="s">
        <v>66</v>
      </c>
      <c r="W906" s="3" t="str">
        <f t="shared" si="230"/>
        <v>Standard Class</v>
      </c>
      <c r="X906">
        <v>9</v>
      </c>
      <c r="Y906">
        <v>847.76</v>
      </c>
      <c r="Z906">
        <v>0.15</v>
      </c>
      <c r="AA906">
        <f t="shared" si="234"/>
        <v>0.15</v>
      </c>
      <c r="AB906">
        <f t="shared" si="235"/>
        <v>6485.3639999999996</v>
      </c>
      <c r="AC906">
        <v>6589.37</v>
      </c>
      <c r="AD906">
        <v>5376.17</v>
      </c>
      <c r="AE906">
        <v>1109.19</v>
      </c>
      <c r="AF906" t="s">
        <v>199</v>
      </c>
      <c r="AG906" t="s">
        <v>34</v>
      </c>
      <c r="AH906" t="str">
        <f t="shared" si="231"/>
        <v>Completed</v>
      </c>
      <c r="AI906" t="str">
        <f t="shared" si="232"/>
        <v>Valid</v>
      </c>
      <c r="AJ906">
        <f t="shared" si="233"/>
        <v>1213.1999999999998</v>
      </c>
      <c r="AK906" s="12">
        <f t="shared" si="236"/>
        <v>0.18706737200872608</v>
      </c>
      <c r="AL906">
        <f t="shared" si="237"/>
        <v>5</v>
      </c>
      <c r="AM906">
        <f t="shared" si="238"/>
        <v>2025</v>
      </c>
      <c r="AN906" t="str">
        <f t="shared" si="239"/>
        <v>Clean</v>
      </c>
    </row>
    <row r="907" spans="1:40">
      <c r="A907" t="s">
        <v>933</v>
      </c>
      <c r="B907" s="3" t="s">
        <v>111</v>
      </c>
      <c r="C907" s="10">
        <v>45907</v>
      </c>
      <c r="D907" s="3" t="s">
        <v>934</v>
      </c>
      <c r="E907" s="10">
        <v>45915</v>
      </c>
      <c r="F907" s="6" t="str">
        <f t="shared" si="224"/>
        <v>Valid</v>
      </c>
      <c r="G907" s="8">
        <f t="shared" si="225"/>
        <v>8</v>
      </c>
      <c r="H907" s="8" t="str">
        <f t="shared" si="226"/>
        <v>Valid</v>
      </c>
      <c r="I907" t="s">
        <v>935</v>
      </c>
      <c r="J907" t="s">
        <v>179</v>
      </c>
      <c r="K907" t="s">
        <v>179</v>
      </c>
      <c r="L907" t="s">
        <v>107</v>
      </c>
      <c r="M907" s="3" t="str">
        <f t="shared" si="227"/>
        <v>Corporate</v>
      </c>
      <c r="N907" t="s">
        <v>41</v>
      </c>
      <c r="O907" s="3" t="str">
        <f t="shared" si="228"/>
        <v>East</v>
      </c>
      <c r="P907" t="s">
        <v>185</v>
      </c>
      <c r="Q907" t="s">
        <v>186</v>
      </c>
      <c r="R907" t="s">
        <v>85</v>
      </c>
      <c r="S907" s="3" t="str">
        <f t="shared" si="229"/>
        <v>Technology</v>
      </c>
      <c r="T907" t="s">
        <v>93</v>
      </c>
      <c r="U907" t="s">
        <v>936</v>
      </c>
      <c r="V907" t="s">
        <v>66</v>
      </c>
      <c r="W907" s="3" t="str">
        <f t="shared" si="230"/>
        <v>Standard Class</v>
      </c>
      <c r="X907">
        <v>3</v>
      </c>
      <c r="Y907">
        <v>1711.32</v>
      </c>
      <c r="Z907">
        <v>0</v>
      </c>
      <c r="AA907">
        <f t="shared" si="234"/>
        <v>0</v>
      </c>
      <c r="AB907">
        <f t="shared" si="235"/>
        <v>5133.96</v>
      </c>
      <c r="AC907">
        <v>5206.53</v>
      </c>
      <c r="AD907">
        <v>3930</v>
      </c>
      <c r="AE907">
        <v>1203.96</v>
      </c>
      <c r="AF907" t="s">
        <v>33</v>
      </c>
      <c r="AG907" t="s">
        <v>124</v>
      </c>
      <c r="AH907" t="str">
        <f t="shared" si="231"/>
        <v>Returned</v>
      </c>
      <c r="AI907" t="str">
        <f t="shared" si="232"/>
        <v>Valid</v>
      </c>
      <c r="AJ907">
        <f t="shared" si="233"/>
        <v>1276.5299999999997</v>
      </c>
      <c r="AK907" s="12">
        <f t="shared" si="236"/>
        <v>0.24864432134258929</v>
      </c>
      <c r="AL907">
        <f t="shared" si="237"/>
        <v>9</v>
      </c>
      <c r="AM907">
        <f t="shared" si="238"/>
        <v>2025</v>
      </c>
      <c r="AN907" t="str">
        <f t="shared" si="239"/>
        <v>Clean</v>
      </c>
    </row>
    <row r="908" spans="1:40">
      <c r="A908" t="s">
        <v>2086</v>
      </c>
      <c r="B908" s="3" t="s">
        <v>2087</v>
      </c>
      <c r="C908" s="10">
        <v>45342</v>
      </c>
      <c r="D908" s="3" t="s">
        <v>2088</v>
      </c>
      <c r="E908" s="10">
        <v>45349</v>
      </c>
      <c r="F908" s="6" t="str">
        <f t="shared" si="224"/>
        <v>Valid</v>
      </c>
      <c r="G908" s="8">
        <f t="shared" si="225"/>
        <v>7</v>
      </c>
      <c r="H908" s="8" t="str">
        <f t="shared" si="226"/>
        <v>Valid</v>
      </c>
      <c r="I908" t="s">
        <v>2089</v>
      </c>
      <c r="J908" t="s">
        <v>209</v>
      </c>
      <c r="K908" t="s">
        <v>209</v>
      </c>
      <c r="L908" t="s">
        <v>25</v>
      </c>
      <c r="M908" s="3" t="str">
        <f t="shared" si="227"/>
        <v>Consumer</v>
      </c>
      <c r="N908" t="s">
        <v>61</v>
      </c>
      <c r="O908" s="3" t="str">
        <f t="shared" si="228"/>
        <v>South</v>
      </c>
      <c r="P908" t="s">
        <v>241</v>
      </c>
      <c r="Q908" t="s">
        <v>242</v>
      </c>
      <c r="R908" t="s">
        <v>85</v>
      </c>
      <c r="S908" s="3" t="str">
        <f t="shared" si="229"/>
        <v>Technology</v>
      </c>
      <c r="T908" t="s">
        <v>86</v>
      </c>
      <c r="U908" t="s">
        <v>2090</v>
      </c>
      <c r="V908" t="s">
        <v>2091</v>
      </c>
      <c r="W908" s="3" t="str">
        <f t="shared" si="230"/>
        <v>First Class</v>
      </c>
      <c r="X908">
        <v>9</v>
      </c>
      <c r="Y908">
        <v>3779.31</v>
      </c>
      <c r="Z908">
        <v>0.2</v>
      </c>
      <c r="AA908">
        <f t="shared" si="234"/>
        <v>0.2</v>
      </c>
      <c r="AB908">
        <f t="shared" si="235"/>
        <v>27211.032000000003</v>
      </c>
      <c r="AC908">
        <v>27322.9</v>
      </c>
      <c r="AD908">
        <v>17940.43</v>
      </c>
      <c r="AE908">
        <v>9270.6</v>
      </c>
      <c r="AF908" t="s">
        <v>33</v>
      </c>
      <c r="AG908" t="s">
        <v>124</v>
      </c>
      <c r="AH908" t="str">
        <f t="shared" si="231"/>
        <v>Returned</v>
      </c>
      <c r="AI908" t="str">
        <f t="shared" si="232"/>
        <v>Valid</v>
      </c>
      <c r="AJ908">
        <f t="shared" si="233"/>
        <v>9382.4700000000012</v>
      </c>
      <c r="AK908" s="12">
        <f t="shared" si="236"/>
        <v>0.34480390159402996</v>
      </c>
      <c r="AL908">
        <f t="shared" si="237"/>
        <v>2</v>
      </c>
      <c r="AM908">
        <f t="shared" si="238"/>
        <v>2024</v>
      </c>
      <c r="AN908" t="str">
        <f t="shared" si="239"/>
        <v>Clean</v>
      </c>
    </row>
    <row r="909" spans="1:40">
      <c r="A909" t="s">
        <v>2738</v>
      </c>
      <c r="B909" s="3" t="s">
        <v>2674</v>
      </c>
      <c r="C909" s="10">
        <v>45698</v>
      </c>
      <c r="D909" s="3" t="s">
        <v>2739</v>
      </c>
      <c r="E909" s="10">
        <v>45702</v>
      </c>
      <c r="F909" s="6" t="str">
        <f t="shared" si="224"/>
        <v>Valid</v>
      </c>
      <c r="G909" s="8">
        <f t="shared" si="225"/>
        <v>4</v>
      </c>
      <c r="H909" s="8" t="str">
        <f t="shared" si="226"/>
        <v>Valid</v>
      </c>
      <c r="I909" t="s">
        <v>2740</v>
      </c>
      <c r="J909" t="s">
        <v>141</v>
      </c>
      <c r="K909" t="s">
        <v>141</v>
      </c>
      <c r="L909" t="s">
        <v>40</v>
      </c>
      <c r="M909" s="3" t="str">
        <f t="shared" si="227"/>
        <v>Small Business</v>
      </c>
      <c r="N909" t="s">
        <v>26</v>
      </c>
      <c r="O909" s="3" t="str">
        <f t="shared" si="228"/>
        <v>North</v>
      </c>
      <c r="P909" t="s">
        <v>173</v>
      </c>
      <c r="Q909" t="s">
        <v>174</v>
      </c>
      <c r="R909" t="s">
        <v>85</v>
      </c>
      <c r="S909" s="3" t="str">
        <f t="shared" si="229"/>
        <v>Technology</v>
      </c>
      <c r="T909" t="s">
        <v>222</v>
      </c>
      <c r="U909" t="s">
        <v>2741</v>
      </c>
      <c r="W909" s="3" t="str">
        <f t="shared" si="230"/>
        <v>Unknown</v>
      </c>
      <c r="X909">
        <v>5</v>
      </c>
      <c r="Y909">
        <v>4276.29</v>
      </c>
      <c r="Z909">
        <v>0</v>
      </c>
      <c r="AA909">
        <f t="shared" si="234"/>
        <v>0</v>
      </c>
      <c r="AB909">
        <f t="shared" si="235"/>
        <v>21381.45</v>
      </c>
      <c r="AC909">
        <v>21443.63</v>
      </c>
      <c r="AD909">
        <v>13240.21</v>
      </c>
      <c r="AE909">
        <v>8141.24</v>
      </c>
      <c r="AF909" t="s">
        <v>199</v>
      </c>
      <c r="AG909" t="s">
        <v>34</v>
      </c>
      <c r="AH909" t="str">
        <f t="shared" si="231"/>
        <v>Completed</v>
      </c>
      <c r="AI909" t="str">
        <f t="shared" si="232"/>
        <v>Valid</v>
      </c>
      <c r="AJ909">
        <f t="shared" si="233"/>
        <v>8203.4200000000019</v>
      </c>
      <c r="AK909" s="12">
        <f t="shared" si="236"/>
        <v>0.38366995690189398</v>
      </c>
      <c r="AL909">
        <f t="shared" si="237"/>
        <v>2</v>
      </c>
      <c r="AM909">
        <f t="shared" si="238"/>
        <v>2025</v>
      </c>
      <c r="AN909" t="str">
        <f t="shared" si="239"/>
        <v>Clean</v>
      </c>
    </row>
    <row r="910" spans="1:40">
      <c r="A910" t="s">
        <v>799</v>
      </c>
      <c r="B910" s="3" t="s">
        <v>800</v>
      </c>
      <c r="C910" s="10">
        <v>45381</v>
      </c>
      <c r="D910" s="3" t="s">
        <v>801</v>
      </c>
      <c r="E910" s="10">
        <v>45377</v>
      </c>
      <c r="F910" s="6" t="str">
        <f t="shared" si="224"/>
        <v>Invalid Shipping Record</v>
      </c>
      <c r="G910" s="8">
        <f t="shared" si="225"/>
        <v>-4</v>
      </c>
      <c r="H910" s="8" t="str">
        <f t="shared" si="226"/>
        <v>Invalid Shipping Record</v>
      </c>
      <c r="I910" t="s">
        <v>802</v>
      </c>
      <c r="J910" t="s">
        <v>106</v>
      </c>
      <c r="K910" t="s">
        <v>106</v>
      </c>
      <c r="L910" t="s">
        <v>114</v>
      </c>
      <c r="M910" s="3" t="str">
        <f t="shared" si="227"/>
        <v>Home Office</v>
      </c>
      <c r="N910" t="s">
        <v>26</v>
      </c>
      <c r="O910" s="3" t="str">
        <f t="shared" si="228"/>
        <v>North</v>
      </c>
      <c r="P910" t="s">
        <v>27</v>
      </c>
      <c r="Q910" t="s">
        <v>28</v>
      </c>
      <c r="R910" t="s">
        <v>85</v>
      </c>
      <c r="S910" s="3" t="str">
        <f t="shared" si="229"/>
        <v>Technology</v>
      </c>
      <c r="T910" t="s">
        <v>222</v>
      </c>
      <c r="U910" t="s">
        <v>803</v>
      </c>
      <c r="V910" t="s">
        <v>32</v>
      </c>
      <c r="W910" s="3" t="str">
        <f t="shared" si="230"/>
        <v>Second Class</v>
      </c>
      <c r="X910">
        <v>5</v>
      </c>
      <c r="Y910">
        <v>907.54</v>
      </c>
      <c r="Z910">
        <v>0.15</v>
      </c>
      <c r="AA910">
        <f t="shared" si="234"/>
        <v>0.15</v>
      </c>
      <c r="AB910">
        <f t="shared" si="235"/>
        <v>3857.0449999999996</v>
      </c>
      <c r="AC910">
        <v>4099.6899999999996</v>
      </c>
      <c r="AD910">
        <v>2769.26</v>
      </c>
      <c r="AE910">
        <v>1087.78</v>
      </c>
      <c r="AF910" t="s">
        <v>33</v>
      </c>
      <c r="AG910" t="s">
        <v>124</v>
      </c>
      <c r="AH910" t="str">
        <f t="shared" si="231"/>
        <v>Returned</v>
      </c>
      <c r="AI910" t="str">
        <f t="shared" si="232"/>
        <v>Valid</v>
      </c>
      <c r="AJ910">
        <f t="shared" si="233"/>
        <v>1330.4299999999994</v>
      </c>
      <c r="AK910" s="12">
        <f t="shared" si="236"/>
        <v>0.34493504742620307</v>
      </c>
      <c r="AL910">
        <f t="shared" si="237"/>
        <v>3</v>
      </c>
      <c r="AM910">
        <f t="shared" si="238"/>
        <v>2024</v>
      </c>
      <c r="AN910" t="str">
        <f t="shared" si="239"/>
        <v>Invalid</v>
      </c>
    </row>
    <row r="911" spans="1:40">
      <c r="A911" t="s">
        <v>1407</v>
      </c>
      <c r="B911" s="3" t="s">
        <v>1408</v>
      </c>
      <c r="C911" s="10">
        <v>45522</v>
      </c>
      <c r="D911" s="3" t="s">
        <v>1409</v>
      </c>
      <c r="E911" s="10">
        <v>45528</v>
      </c>
      <c r="F911" s="6" t="str">
        <f t="shared" si="224"/>
        <v>Valid</v>
      </c>
      <c r="G911" s="8">
        <f t="shared" si="225"/>
        <v>6</v>
      </c>
      <c r="H911" s="8" t="str">
        <f t="shared" si="226"/>
        <v>Valid</v>
      </c>
      <c r="I911" t="s">
        <v>1410</v>
      </c>
      <c r="J911" t="s">
        <v>60</v>
      </c>
      <c r="K911" t="s">
        <v>60</v>
      </c>
      <c r="L911" t="s">
        <v>25</v>
      </c>
      <c r="M911" s="3" t="str">
        <f t="shared" si="227"/>
        <v>Consumer</v>
      </c>
      <c r="N911" t="s">
        <v>61</v>
      </c>
      <c r="O911" s="3" t="str">
        <f t="shared" si="228"/>
        <v>South</v>
      </c>
      <c r="P911" t="s">
        <v>99</v>
      </c>
      <c r="Q911" t="s">
        <v>100</v>
      </c>
      <c r="R911" t="s">
        <v>44</v>
      </c>
      <c r="S911" s="3" t="str">
        <f t="shared" si="229"/>
        <v>Furniture</v>
      </c>
      <c r="T911" t="s">
        <v>75</v>
      </c>
      <c r="U911" t="s">
        <v>1411</v>
      </c>
      <c r="V911" t="s">
        <v>55</v>
      </c>
      <c r="W911" s="3" t="str">
        <f t="shared" si="230"/>
        <v>First Class</v>
      </c>
      <c r="X911">
        <v>7</v>
      </c>
      <c r="Y911">
        <v>557.21</v>
      </c>
      <c r="Z911">
        <v>0.1</v>
      </c>
      <c r="AA911">
        <f t="shared" si="234"/>
        <v>0.1</v>
      </c>
      <c r="AB911">
        <f t="shared" si="235"/>
        <v>3510.4230000000002</v>
      </c>
      <c r="AC911">
        <v>3797.79</v>
      </c>
      <c r="AD911">
        <v>2191.5</v>
      </c>
      <c r="AE911">
        <v>1213.48</v>
      </c>
      <c r="AF911" t="s">
        <v>33</v>
      </c>
      <c r="AG911" t="s">
        <v>124</v>
      </c>
      <c r="AH911" t="str">
        <f t="shared" si="231"/>
        <v>Returned</v>
      </c>
      <c r="AI911" t="str">
        <f t="shared" si="232"/>
        <v>Valid</v>
      </c>
      <c r="AJ911">
        <f t="shared" si="233"/>
        <v>1606.29</v>
      </c>
      <c r="AK911" s="12">
        <f t="shared" si="236"/>
        <v>0.45757733469727147</v>
      </c>
      <c r="AL911">
        <f t="shared" si="237"/>
        <v>8</v>
      </c>
      <c r="AM911">
        <f t="shared" si="238"/>
        <v>2024</v>
      </c>
      <c r="AN911" t="str">
        <f t="shared" si="239"/>
        <v>Clean</v>
      </c>
    </row>
    <row r="912" spans="1:40">
      <c r="A912" t="s">
        <v>707</v>
      </c>
      <c r="B912" s="3" t="s">
        <v>708</v>
      </c>
      <c r="C912" s="10">
        <v>45436</v>
      </c>
      <c r="D912" s="3" t="s">
        <v>709</v>
      </c>
      <c r="E912" s="10">
        <v>45437</v>
      </c>
      <c r="F912" s="6" t="str">
        <f t="shared" si="224"/>
        <v>Valid</v>
      </c>
      <c r="G912" s="8">
        <f t="shared" si="225"/>
        <v>1</v>
      </c>
      <c r="H912" s="8" t="str">
        <f t="shared" si="226"/>
        <v>Valid</v>
      </c>
      <c r="I912" t="s">
        <v>710</v>
      </c>
      <c r="J912" t="s">
        <v>167</v>
      </c>
      <c r="K912" t="s">
        <v>167</v>
      </c>
      <c r="L912" t="s">
        <v>40</v>
      </c>
      <c r="M912" s="3" t="str">
        <f t="shared" si="227"/>
        <v>Small Business</v>
      </c>
      <c r="N912" t="s">
        <v>711</v>
      </c>
      <c r="O912" s="3" t="str">
        <f t="shared" si="228"/>
        <v>North</v>
      </c>
      <c r="P912" t="s">
        <v>153</v>
      </c>
      <c r="Q912" t="s">
        <v>154</v>
      </c>
      <c r="R912" t="s">
        <v>85</v>
      </c>
      <c r="S912" s="3" t="str">
        <f t="shared" si="229"/>
        <v>Technology</v>
      </c>
      <c r="T912" t="s">
        <v>93</v>
      </c>
      <c r="U912" t="s">
        <v>712</v>
      </c>
      <c r="V912" t="s">
        <v>47</v>
      </c>
      <c r="W912" s="3" t="str">
        <f t="shared" si="230"/>
        <v>Same Day</v>
      </c>
      <c r="X912">
        <v>1</v>
      </c>
      <c r="Y912">
        <v>634.13</v>
      </c>
      <c r="Z912">
        <v>0</v>
      </c>
      <c r="AA912">
        <f t="shared" si="234"/>
        <v>0</v>
      </c>
      <c r="AB912">
        <f t="shared" si="235"/>
        <v>634.13</v>
      </c>
      <c r="AC912">
        <v>808.67</v>
      </c>
      <c r="AD912">
        <v>453.35</v>
      </c>
      <c r="AE912">
        <v>180.78</v>
      </c>
      <c r="AF912" t="s">
        <v>123</v>
      </c>
      <c r="AG912" t="s">
        <v>124</v>
      </c>
      <c r="AH912" t="str">
        <f t="shared" si="231"/>
        <v>Returned</v>
      </c>
      <c r="AI912" t="str">
        <f t="shared" si="232"/>
        <v>Valid</v>
      </c>
      <c r="AJ912">
        <f t="shared" si="233"/>
        <v>355.31999999999994</v>
      </c>
      <c r="AK912" s="12">
        <f t="shared" si="236"/>
        <v>0.56032674688155415</v>
      </c>
      <c r="AL912">
        <f t="shared" si="237"/>
        <v>5</v>
      </c>
      <c r="AM912">
        <f t="shared" si="238"/>
        <v>2024</v>
      </c>
      <c r="AN912" t="str">
        <f t="shared" si="239"/>
        <v>Clean</v>
      </c>
    </row>
    <row r="913" spans="1:40">
      <c r="A913" t="s">
        <v>1696</v>
      </c>
      <c r="B913" s="3" t="s">
        <v>1697</v>
      </c>
      <c r="C913" s="10">
        <v>45824</v>
      </c>
      <c r="D913" s="3" t="s">
        <v>1698</v>
      </c>
      <c r="E913" s="10">
        <v>45826</v>
      </c>
      <c r="F913" s="6" t="str">
        <f t="shared" si="224"/>
        <v>Valid</v>
      </c>
      <c r="G913" s="8">
        <f t="shared" si="225"/>
        <v>2</v>
      </c>
      <c r="H913" s="8" t="str">
        <f t="shared" si="226"/>
        <v>Valid</v>
      </c>
      <c r="I913" t="s">
        <v>1699</v>
      </c>
      <c r="J913" t="s">
        <v>147</v>
      </c>
      <c r="K913" t="s">
        <v>147</v>
      </c>
      <c r="L913" t="s">
        <v>114</v>
      </c>
      <c r="M913" s="3" t="str">
        <f t="shared" si="227"/>
        <v>Home Office</v>
      </c>
      <c r="N913" t="s">
        <v>72</v>
      </c>
      <c r="O913" s="3" t="str">
        <f t="shared" si="228"/>
        <v>West</v>
      </c>
      <c r="P913" t="s">
        <v>83</v>
      </c>
      <c r="Q913" t="s">
        <v>84</v>
      </c>
      <c r="R913" t="s">
        <v>29</v>
      </c>
      <c r="S913" s="3" t="str">
        <f t="shared" si="229"/>
        <v>Office Supplies</v>
      </c>
      <c r="T913" t="s">
        <v>30</v>
      </c>
      <c r="U913" t="s">
        <v>1700</v>
      </c>
      <c r="V913" t="s">
        <v>55</v>
      </c>
      <c r="W913" s="3" t="str">
        <f t="shared" si="230"/>
        <v>First Class</v>
      </c>
      <c r="X913">
        <v>3</v>
      </c>
      <c r="Y913">
        <v>4289.37</v>
      </c>
      <c r="Z913">
        <v>0.1</v>
      </c>
      <c r="AA913">
        <f t="shared" si="234"/>
        <v>0.1</v>
      </c>
      <c r="AB913">
        <f t="shared" si="235"/>
        <v>11581.299000000001</v>
      </c>
      <c r="AC913">
        <v>11778.71</v>
      </c>
      <c r="AD913">
        <v>6829.43</v>
      </c>
      <c r="AE913">
        <v>4751.87</v>
      </c>
      <c r="AF913" t="s">
        <v>33</v>
      </c>
      <c r="AG913" t="s">
        <v>124</v>
      </c>
      <c r="AH913" t="str">
        <f t="shared" si="231"/>
        <v>Returned</v>
      </c>
      <c r="AI913" t="str">
        <f t="shared" si="232"/>
        <v>Valid</v>
      </c>
      <c r="AJ913">
        <f t="shared" si="233"/>
        <v>4949.2799999999988</v>
      </c>
      <c r="AK913" s="12">
        <f t="shared" si="236"/>
        <v>0.42735102513111856</v>
      </c>
      <c r="AL913">
        <f t="shared" si="237"/>
        <v>6</v>
      </c>
      <c r="AM913">
        <f t="shared" si="238"/>
        <v>2025</v>
      </c>
      <c r="AN913" t="str">
        <f t="shared" si="239"/>
        <v>Clean</v>
      </c>
    </row>
    <row r="914" spans="1:40">
      <c r="C914" s="11"/>
      <c r="E914" s="11"/>
      <c r="F914"/>
      <c r="G914"/>
      <c r="H914"/>
    </row>
    <row r="915" spans="1:40">
      <c r="C915" s="11"/>
      <c r="E915" s="11"/>
      <c r="F915"/>
      <c r="G915"/>
      <c r="H915"/>
    </row>
    <row r="916" spans="1:40">
      <c r="C916" s="11"/>
      <c r="E916" s="11"/>
      <c r="F916"/>
      <c r="G916"/>
      <c r="H916"/>
    </row>
    <row r="917" spans="1:40">
      <c r="C917" s="11"/>
      <c r="E917" s="11"/>
      <c r="F917"/>
      <c r="G917"/>
      <c r="H917"/>
    </row>
    <row r="918" spans="1:40">
      <c r="C918" s="11"/>
      <c r="E918" s="11"/>
      <c r="F918"/>
      <c r="G918"/>
      <c r="H918"/>
    </row>
    <row r="919" spans="1:40">
      <c r="C919" s="11"/>
      <c r="E919" s="11"/>
      <c r="F919"/>
      <c r="G919"/>
      <c r="H919"/>
    </row>
    <row r="920" spans="1:40">
      <c r="C920" s="11"/>
      <c r="E920" s="11"/>
      <c r="F920"/>
      <c r="G920"/>
      <c r="H920"/>
    </row>
    <row r="921" spans="1:40">
      <c r="C921" s="11"/>
      <c r="E921" s="11"/>
      <c r="F921"/>
      <c r="G921"/>
      <c r="H921"/>
    </row>
    <row r="922" spans="1:40">
      <c r="C922" s="11"/>
      <c r="E922" s="11"/>
      <c r="F922"/>
      <c r="G922"/>
      <c r="H922"/>
    </row>
    <row r="923" spans="1:40">
      <c r="C923" s="11"/>
      <c r="E923" s="11"/>
      <c r="F923"/>
      <c r="G923"/>
      <c r="H923"/>
    </row>
    <row r="924" spans="1:40">
      <c r="C924" s="11"/>
      <c r="E924" s="11"/>
      <c r="F924"/>
      <c r="G924"/>
      <c r="H924"/>
    </row>
    <row r="925" spans="1:40">
      <c r="C925" s="11"/>
      <c r="E925" s="11"/>
      <c r="F925"/>
      <c r="G925"/>
      <c r="H925"/>
    </row>
    <row r="926" spans="1:40">
      <c r="C926" s="11"/>
      <c r="E926" s="11"/>
      <c r="F926"/>
      <c r="G926"/>
      <c r="H926"/>
    </row>
    <row r="927" spans="1:40">
      <c r="C927" s="11"/>
      <c r="E927" s="11"/>
      <c r="F927"/>
      <c r="G927"/>
      <c r="H927"/>
    </row>
    <row r="928" spans="1:40">
      <c r="C928" s="11"/>
      <c r="E928" s="11"/>
      <c r="F928"/>
      <c r="G928"/>
      <c r="H928"/>
    </row>
    <row r="929" spans="3:8">
      <c r="C929" s="11"/>
      <c r="E929" s="11"/>
      <c r="F929"/>
      <c r="G929"/>
      <c r="H929"/>
    </row>
    <row r="930" spans="3:8">
      <c r="C930" s="11"/>
      <c r="E930" s="11"/>
      <c r="F930"/>
      <c r="G930"/>
      <c r="H930"/>
    </row>
    <row r="931" spans="3:8">
      <c r="C931" s="11"/>
      <c r="E931" s="11"/>
      <c r="F931"/>
      <c r="G931"/>
      <c r="H931"/>
    </row>
    <row r="932" spans="3:8">
      <c r="C932" s="11"/>
      <c r="E932" s="11"/>
      <c r="F932"/>
      <c r="G932"/>
      <c r="H932"/>
    </row>
    <row r="933" spans="3:8">
      <c r="C933" s="11"/>
      <c r="E933" s="11"/>
      <c r="F933"/>
      <c r="G933"/>
      <c r="H933"/>
    </row>
  </sheetData>
  <autoFilter ref="A1:AJ933" xr:uid="{AF4E4ADA-5B4B-420F-A3D9-3DB196C74C50}"/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Sales_Profit_By_Region</vt:lpstr>
      <vt:lpstr>Category_Subcategory</vt:lpstr>
      <vt:lpstr>Order_Count_By_Ship_Mode</vt:lpstr>
      <vt:lpstr>Profit_Margin_By_Segment</vt:lpstr>
      <vt:lpstr>Order_Status_By_Region</vt:lpstr>
      <vt:lpstr>Monthly_Sales_Trend</vt:lpstr>
      <vt:lpstr>raw_orders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2026-06-25T17:10:35Z</dcterms:created>
  <dcterms:modified xsi:type="dcterms:W3CDTF">2026-06-25T17:10:35Z</dcterms:modified>
</cp:coreProperties>
</file>